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Lenovo\Documents\TRABAJO DELCOR\RRHH FIORELA\"/>
    </mc:Choice>
  </mc:AlternateContent>
  <xr:revisionPtr revIDLastSave="0" documentId="13_ncr:1_{589F03D8-8A47-41E6-B519-FC36FE5588A7}" xr6:coauthVersionLast="47" xr6:coauthVersionMax="47" xr10:uidLastSave="{00000000-0000-0000-0000-000000000000}"/>
  <bookViews>
    <workbookView xWindow="810" yWindow="-120" windowWidth="19800" windowHeight="11760" tabRatio="594" activeTab="4" xr2:uid="{00000000-000D-0000-FFFF-FFFF00000000}"/>
  </bookViews>
  <sheets>
    <sheet name="DNI" sheetId="12" r:id="rId1"/>
    <sheet name="RUBRO" sheetId="9" r:id="rId2"/>
    <sheet name="BD" sheetId="1" r:id="rId3"/>
    <sheet name="5ta" sheetId="20" r:id="rId4"/>
    <sheet name="5ta (2)" sheetId="22" r:id="rId5"/>
    <sheet name="4ta" sheetId="11" r:id="rId6"/>
    <sheet name="ACUMULADO HORAS (2)" sheetId="21" r:id="rId7"/>
  </sheets>
  <definedNames>
    <definedName name="_xlnm._FilterDatabase" localSheetId="2" hidden="1">BD!$A$5:$AC$5</definedName>
    <definedName name="_xlnm._FilterDatabase" localSheetId="0" hidden="1">DNI!$A$1:$B$98</definedName>
    <definedName name="_xlnm._FilterDatabase" localSheetId="1" hidden="1">RUBRO!$F$1:$O$126</definedName>
    <definedName name="_xlnm.Print_Area" localSheetId="5">'4ta'!$B$11:$M$25</definedName>
    <definedName name="_xlnm.Print_Area" localSheetId="3">'5ta'!$A$1:$M$43</definedName>
    <definedName name="_xlnm.Print_Area" localSheetId="4">'5ta (2)'!$A$1:$M$43</definedName>
    <definedName name="_xlnm.Print_Area" localSheetId="2">BD!$A$1:$AY$5</definedName>
  </definedNames>
  <calcPr calcId="191029"/>
  <pivotCaches>
    <pivotCache cacheId="8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07" i="1" l="1"/>
  <c r="B407" i="1"/>
  <c r="C407" i="1"/>
  <c r="D407" i="1"/>
  <c r="Q407" i="1"/>
  <c r="Z407" i="1" s="1"/>
  <c r="AF407" i="1"/>
  <c r="AG407" i="1"/>
  <c r="A380" i="1"/>
  <c r="B380" i="1"/>
  <c r="C380" i="1"/>
  <c r="D380" i="1"/>
  <c r="Q380" i="1"/>
  <c r="Z380" i="1" s="1"/>
  <c r="AF380" i="1"/>
  <c r="AG380" i="1"/>
  <c r="S407" i="1" l="1"/>
  <c r="AB407" i="1" s="1"/>
  <c r="R407" i="1"/>
  <c r="AA407" i="1" s="1"/>
  <c r="S380" i="1"/>
  <c r="R380" i="1"/>
  <c r="AA380" i="1" s="1"/>
  <c r="A357" i="1"/>
  <c r="B357" i="1"/>
  <c r="C357" i="1"/>
  <c r="D357" i="1"/>
  <c r="Q357" i="1"/>
  <c r="Z357" i="1" s="1"/>
  <c r="AF357" i="1"/>
  <c r="AG357" i="1"/>
  <c r="AB380" i="1" l="1"/>
  <c r="S357" i="1"/>
  <c r="AB357" i="1" s="1"/>
  <c r="R357" i="1"/>
  <c r="AA357" i="1" s="1"/>
  <c r="A348" i="1" l="1"/>
  <c r="A349" i="1"/>
  <c r="A350" i="1"/>
  <c r="A351" i="1"/>
  <c r="A352" i="1"/>
  <c r="A353" i="1"/>
  <c r="A354" i="1"/>
  <c r="A355" i="1"/>
  <c r="A356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B348" i="1"/>
  <c r="B349" i="1"/>
  <c r="B350" i="1"/>
  <c r="B351" i="1"/>
  <c r="B352" i="1"/>
  <c r="B353" i="1"/>
  <c r="B354" i="1"/>
  <c r="B355" i="1"/>
  <c r="B356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C348" i="1"/>
  <c r="C349" i="1"/>
  <c r="C350" i="1"/>
  <c r="C351" i="1"/>
  <c r="C352" i="1"/>
  <c r="C353" i="1"/>
  <c r="C354" i="1"/>
  <c r="C355" i="1"/>
  <c r="C356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D348" i="1"/>
  <c r="D349" i="1"/>
  <c r="D350" i="1"/>
  <c r="D351" i="1"/>
  <c r="D352" i="1"/>
  <c r="D353" i="1"/>
  <c r="D354" i="1"/>
  <c r="D355" i="1"/>
  <c r="D356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Q348" i="1"/>
  <c r="Z348" i="1" s="1"/>
  <c r="Q349" i="1"/>
  <c r="Z349" i="1" s="1"/>
  <c r="Q350" i="1"/>
  <c r="Z350" i="1" s="1"/>
  <c r="Q351" i="1"/>
  <c r="Z351" i="1" s="1"/>
  <c r="Q352" i="1"/>
  <c r="Z352" i="1" s="1"/>
  <c r="Q353" i="1"/>
  <c r="Z353" i="1" s="1"/>
  <c r="Q354" i="1"/>
  <c r="Z354" i="1" s="1"/>
  <c r="Q355" i="1"/>
  <c r="Z355" i="1" s="1"/>
  <c r="Q356" i="1"/>
  <c r="Z356" i="1" s="1"/>
  <c r="Q358" i="1"/>
  <c r="Z358" i="1" s="1"/>
  <c r="Q359" i="1"/>
  <c r="Z359" i="1" s="1"/>
  <c r="Q360" i="1"/>
  <c r="Z360" i="1" s="1"/>
  <c r="Q361" i="1"/>
  <c r="Z361" i="1" s="1"/>
  <c r="Q362" i="1"/>
  <c r="Z362" i="1" s="1"/>
  <c r="Q363" i="1"/>
  <c r="Z363" i="1" s="1"/>
  <c r="Q364" i="1"/>
  <c r="Z364" i="1" s="1"/>
  <c r="Q365" i="1"/>
  <c r="Z365" i="1" s="1"/>
  <c r="Q366" i="1"/>
  <c r="Z366" i="1" s="1"/>
  <c r="Q367" i="1"/>
  <c r="Z367" i="1" s="1"/>
  <c r="Q368" i="1"/>
  <c r="Z368" i="1" s="1"/>
  <c r="Q369" i="1"/>
  <c r="Z369" i="1" s="1"/>
  <c r="Q370" i="1"/>
  <c r="Z370" i="1" s="1"/>
  <c r="Q371" i="1"/>
  <c r="Z371" i="1" s="1"/>
  <c r="Q372" i="1"/>
  <c r="Z372" i="1" s="1"/>
  <c r="Q373" i="1"/>
  <c r="Z373" i="1" s="1"/>
  <c r="Q374" i="1"/>
  <c r="Z374" i="1" s="1"/>
  <c r="Q375" i="1"/>
  <c r="Z375" i="1" s="1"/>
  <c r="Q376" i="1"/>
  <c r="Z376" i="1" s="1"/>
  <c r="Q377" i="1"/>
  <c r="Z377" i="1" s="1"/>
  <c r="Q378" i="1"/>
  <c r="Z378" i="1" s="1"/>
  <c r="Q379" i="1"/>
  <c r="Z379" i="1" s="1"/>
  <c r="Q381" i="1"/>
  <c r="Z381" i="1" s="1"/>
  <c r="Q382" i="1"/>
  <c r="Z382" i="1" s="1"/>
  <c r="Q383" i="1"/>
  <c r="Z383" i="1" s="1"/>
  <c r="Q384" i="1"/>
  <c r="Z384" i="1" s="1"/>
  <c r="Q385" i="1"/>
  <c r="Z385" i="1" s="1"/>
  <c r="Q386" i="1"/>
  <c r="Z386" i="1" s="1"/>
  <c r="Q387" i="1"/>
  <c r="Z387" i="1" s="1"/>
  <c r="Q388" i="1"/>
  <c r="Z388" i="1" s="1"/>
  <c r="Q389" i="1"/>
  <c r="Z389" i="1" s="1"/>
  <c r="Q390" i="1"/>
  <c r="Z390" i="1" s="1"/>
  <c r="Q391" i="1"/>
  <c r="Z391" i="1" s="1"/>
  <c r="Q392" i="1"/>
  <c r="Z392" i="1" s="1"/>
  <c r="Q393" i="1"/>
  <c r="Z393" i="1" s="1"/>
  <c r="Q394" i="1"/>
  <c r="Z394" i="1" s="1"/>
  <c r="Q395" i="1"/>
  <c r="Z395" i="1" s="1"/>
  <c r="Q396" i="1"/>
  <c r="Z396" i="1" s="1"/>
  <c r="Q397" i="1"/>
  <c r="Z397" i="1" s="1"/>
  <c r="Q398" i="1"/>
  <c r="Z398" i="1" s="1"/>
  <c r="Q399" i="1"/>
  <c r="Z399" i="1" s="1"/>
  <c r="Q400" i="1"/>
  <c r="Z400" i="1" s="1"/>
  <c r="Q401" i="1"/>
  <c r="Z401" i="1" s="1"/>
  <c r="Q402" i="1"/>
  <c r="Z402" i="1" s="1"/>
  <c r="Q403" i="1"/>
  <c r="Z403" i="1" s="1"/>
  <c r="Q404" i="1"/>
  <c r="Z404" i="1" s="1"/>
  <c r="Q405" i="1"/>
  <c r="Z405" i="1" s="1"/>
  <c r="Q406" i="1"/>
  <c r="Z406" i="1" s="1"/>
  <c r="R367" i="1"/>
  <c r="AA367" i="1" s="1"/>
  <c r="R376" i="1"/>
  <c r="AA376" i="1" s="1"/>
  <c r="R384" i="1"/>
  <c r="AA384" i="1" s="1"/>
  <c r="R385" i="1"/>
  <c r="AA385" i="1" s="1"/>
  <c r="R396" i="1"/>
  <c r="AA396" i="1" s="1"/>
  <c r="S367" i="1"/>
  <c r="AB367" i="1" s="1"/>
  <c r="S376" i="1"/>
  <c r="AB376" i="1" s="1"/>
  <c r="S384" i="1"/>
  <c r="AB384" i="1" s="1"/>
  <c r="S385" i="1"/>
  <c r="AB385" i="1" s="1"/>
  <c r="S396" i="1"/>
  <c r="AB396" i="1" s="1"/>
  <c r="AC367" i="1"/>
  <c r="AD367" i="1" s="1"/>
  <c r="AC376" i="1"/>
  <c r="AD376" i="1" s="1"/>
  <c r="AC384" i="1"/>
  <c r="AD384" i="1" s="1"/>
  <c r="AC385" i="1"/>
  <c r="AD385" i="1" s="1"/>
  <c r="AC396" i="1"/>
  <c r="AD396" i="1" s="1"/>
  <c r="AF348" i="1"/>
  <c r="AF349" i="1"/>
  <c r="AF350" i="1"/>
  <c r="AF351" i="1"/>
  <c r="AF352" i="1"/>
  <c r="AF353" i="1"/>
  <c r="AF354" i="1"/>
  <c r="AF355" i="1"/>
  <c r="AF356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G348" i="1"/>
  <c r="AG349" i="1"/>
  <c r="AG350" i="1"/>
  <c r="AG351" i="1"/>
  <c r="AG352" i="1"/>
  <c r="AG353" i="1"/>
  <c r="AG354" i="1"/>
  <c r="AG355" i="1"/>
  <c r="AG356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Q291" i="1"/>
  <c r="Z291" i="1" s="1"/>
  <c r="Q292" i="1"/>
  <c r="Z292" i="1" s="1"/>
  <c r="Q293" i="1"/>
  <c r="Z293" i="1" s="1"/>
  <c r="Q294" i="1"/>
  <c r="Z294" i="1" s="1"/>
  <c r="Q295" i="1"/>
  <c r="Z295" i="1" s="1"/>
  <c r="Q296" i="1"/>
  <c r="Z296" i="1" s="1"/>
  <c r="Q297" i="1"/>
  <c r="Z297" i="1" s="1"/>
  <c r="Q298" i="1"/>
  <c r="Z298" i="1" s="1"/>
  <c r="Q299" i="1"/>
  <c r="Z299" i="1" s="1"/>
  <c r="Q300" i="1"/>
  <c r="Z300" i="1" s="1"/>
  <c r="Q301" i="1"/>
  <c r="Z301" i="1" s="1"/>
  <c r="Q302" i="1"/>
  <c r="Z302" i="1" s="1"/>
  <c r="Q303" i="1"/>
  <c r="Z303" i="1" s="1"/>
  <c r="Q304" i="1"/>
  <c r="Z304" i="1" s="1"/>
  <c r="Q305" i="1"/>
  <c r="Z305" i="1" s="1"/>
  <c r="Q306" i="1"/>
  <c r="Z306" i="1" s="1"/>
  <c r="Q307" i="1"/>
  <c r="Z307" i="1" s="1"/>
  <c r="Q308" i="1"/>
  <c r="Z308" i="1" s="1"/>
  <c r="Q309" i="1"/>
  <c r="Z309" i="1" s="1"/>
  <c r="Q310" i="1"/>
  <c r="Z310" i="1" s="1"/>
  <c r="Q311" i="1"/>
  <c r="Z311" i="1" s="1"/>
  <c r="Q312" i="1"/>
  <c r="Z312" i="1" s="1"/>
  <c r="Q313" i="1"/>
  <c r="Z313" i="1" s="1"/>
  <c r="Q314" i="1"/>
  <c r="Z314" i="1" s="1"/>
  <c r="Q315" i="1"/>
  <c r="Z315" i="1" s="1"/>
  <c r="Q316" i="1"/>
  <c r="Z316" i="1" s="1"/>
  <c r="Q317" i="1"/>
  <c r="Z317" i="1" s="1"/>
  <c r="Q318" i="1"/>
  <c r="Z318" i="1" s="1"/>
  <c r="Q319" i="1"/>
  <c r="Z319" i="1" s="1"/>
  <c r="Q320" i="1"/>
  <c r="Z320" i="1" s="1"/>
  <c r="Q321" i="1"/>
  <c r="Z321" i="1" s="1"/>
  <c r="Q322" i="1"/>
  <c r="Z322" i="1" s="1"/>
  <c r="Q323" i="1"/>
  <c r="Z323" i="1" s="1"/>
  <c r="Q324" i="1"/>
  <c r="Z324" i="1" s="1"/>
  <c r="Q325" i="1"/>
  <c r="Z325" i="1" s="1"/>
  <c r="Q326" i="1"/>
  <c r="Z326" i="1" s="1"/>
  <c r="Q327" i="1"/>
  <c r="Z327" i="1" s="1"/>
  <c r="Q328" i="1"/>
  <c r="Z328" i="1" s="1"/>
  <c r="Q329" i="1"/>
  <c r="Z329" i="1" s="1"/>
  <c r="Q330" i="1"/>
  <c r="Z330" i="1" s="1"/>
  <c r="Q331" i="1"/>
  <c r="Z331" i="1" s="1"/>
  <c r="Q332" i="1"/>
  <c r="Z332" i="1" s="1"/>
  <c r="Q333" i="1"/>
  <c r="Z333" i="1" s="1"/>
  <c r="Q334" i="1"/>
  <c r="Z334" i="1" s="1"/>
  <c r="Q335" i="1"/>
  <c r="Z335" i="1" s="1"/>
  <c r="Q336" i="1"/>
  <c r="Z336" i="1" s="1"/>
  <c r="Q337" i="1"/>
  <c r="Z337" i="1" s="1"/>
  <c r="Q338" i="1"/>
  <c r="Z338" i="1" s="1"/>
  <c r="Q339" i="1"/>
  <c r="Z339" i="1" s="1"/>
  <c r="Q340" i="1"/>
  <c r="Z340" i="1" s="1"/>
  <c r="Q341" i="1"/>
  <c r="Z341" i="1" s="1"/>
  <c r="Q342" i="1"/>
  <c r="Z342" i="1" s="1"/>
  <c r="Q343" i="1"/>
  <c r="Z343" i="1" s="1"/>
  <c r="Q344" i="1"/>
  <c r="Z344" i="1" s="1"/>
  <c r="Q345" i="1"/>
  <c r="Z345" i="1" s="1"/>
  <c r="Q346" i="1"/>
  <c r="Z346" i="1" s="1"/>
  <c r="Q347" i="1"/>
  <c r="Z347" i="1" s="1"/>
  <c r="R295" i="1"/>
  <c r="AA295" i="1" s="1"/>
  <c r="R304" i="1"/>
  <c r="AA304" i="1" s="1"/>
  <c r="R325" i="1"/>
  <c r="AA325" i="1" s="1"/>
  <c r="R326" i="1"/>
  <c r="AA326" i="1" s="1"/>
  <c r="R337" i="1"/>
  <c r="AA337" i="1" s="1"/>
  <c r="R339" i="1"/>
  <c r="AA339" i="1" s="1"/>
  <c r="S295" i="1"/>
  <c r="AB295" i="1" s="1"/>
  <c r="S304" i="1"/>
  <c r="AB304" i="1" s="1"/>
  <c r="S325" i="1"/>
  <c r="AB325" i="1" s="1"/>
  <c r="S326" i="1"/>
  <c r="AB326" i="1" s="1"/>
  <c r="S337" i="1"/>
  <c r="AB337" i="1" s="1"/>
  <c r="S339" i="1"/>
  <c r="AB339" i="1" s="1"/>
  <c r="AC295" i="1"/>
  <c r="AD295" i="1" s="1"/>
  <c r="AC304" i="1"/>
  <c r="AD304" i="1" s="1"/>
  <c r="AC325" i="1"/>
  <c r="AD325" i="1" s="1"/>
  <c r="AC326" i="1"/>
  <c r="AD326" i="1" s="1"/>
  <c r="AC337" i="1"/>
  <c r="AD337" i="1" s="1"/>
  <c r="AC339" i="1"/>
  <c r="AD339" i="1" s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Q234" i="1"/>
  <c r="Z234" i="1" s="1"/>
  <c r="Q235" i="1"/>
  <c r="Z235" i="1" s="1"/>
  <c r="Q236" i="1"/>
  <c r="Z236" i="1" s="1"/>
  <c r="Q237" i="1"/>
  <c r="Z237" i="1" s="1"/>
  <c r="Q238" i="1"/>
  <c r="Z238" i="1" s="1"/>
  <c r="Q239" i="1"/>
  <c r="Z239" i="1" s="1"/>
  <c r="Q240" i="1"/>
  <c r="Z240" i="1" s="1"/>
  <c r="Q241" i="1"/>
  <c r="Z241" i="1" s="1"/>
  <c r="Q242" i="1"/>
  <c r="Z242" i="1" s="1"/>
  <c r="Q243" i="1"/>
  <c r="Z243" i="1" s="1"/>
  <c r="Q244" i="1"/>
  <c r="Z244" i="1" s="1"/>
  <c r="Q245" i="1"/>
  <c r="Z245" i="1" s="1"/>
  <c r="Q246" i="1"/>
  <c r="Z246" i="1" s="1"/>
  <c r="Q247" i="1"/>
  <c r="Z247" i="1" s="1"/>
  <c r="Q248" i="1"/>
  <c r="Z248" i="1" s="1"/>
  <c r="Q249" i="1"/>
  <c r="Z249" i="1" s="1"/>
  <c r="Q250" i="1"/>
  <c r="Z250" i="1" s="1"/>
  <c r="Q251" i="1"/>
  <c r="Z251" i="1" s="1"/>
  <c r="Q252" i="1"/>
  <c r="Z252" i="1" s="1"/>
  <c r="Q253" i="1"/>
  <c r="Z253" i="1" s="1"/>
  <c r="Q254" i="1"/>
  <c r="Z254" i="1" s="1"/>
  <c r="Q255" i="1"/>
  <c r="Z255" i="1" s="1"/>
  <c r="Q256" i="1"/>
  <c r="Z256" i="1" s="1"/>
  <c r="Q257" i="1"/>
  <c r="Z257" i="1" s="1"/>
  <c r="Q258" i="1"/>
  <c r="Z258" i="1" s="1"/>
  <c r="Q259" i="1"/>
  <c r="Z259" i="1" s="1"/>
  <c r="Q260" i="1"/>
  <c r="Z260" i="1" s="1"/>
  <c r="Q261" i="1"/>
  <c r="Z261" i="1" s="1"/>
  <c r="Q262" i="1"/>
  <c r="Z262" i="1" s="1"/>
  <c r="Q263" i="1"/>
  <c r="Z263" i="1" s="1"/>
  <c r="Q264" i="1"/>
  <c r="Z264" i="1" s="1"/>
  <c r="Q265" i="1"/>
  <c r="Z265" i="1" s="1"/>
  <c r="Q266" i="1"/>
  <c r="Z266" i="1" s="1"/>
  <c r="Q267" i="1"/>
  <c r="Z267" i="1" s="1"/>
  <c r="Q268" i="1"/>
  <c r="Z268" i="1" s="1"/>
  <c r="Q269" i="1"/>
  <c r="Z269" i="1" s="1"/>
  <c r="Q270" i="1"/>
  <c r="Z270" i="1" s="1"/>
  <c r="Q271" i="1"/>
  <c r="Z271" i="1" s="1"/>
  <c r="Q272" i="1"/>
  <c r="Z272" i="1" s="1"/>
  <c r="Q273" i="1"/>
  <c r="Z273" i="1" s="1"/>
  <c r="Q274" i="1"/>
  <c r="Z274" i="1" s="1"/>
  <c r="Q275" i="1"/>
  <c r="Z275" i="1" s="1"/>
  <c r="Q276" i="1"/>
  <c r="Z276" i="1" s="1"/>
  <c r="Q277" i="1"/>
  <c r="Z277" i="1" s="1"/>
  <c r="Q278" i="1"/>
  <c r="Z278" i="1" s="1"/>
  <c r="Q279" i="1"/>
  <c r="Z279" i="1" s="1"/>
  <c r="Q280" i="1"/>
  <c r="Z280" i="1" s="1"/>
  <c r="Q281" i="1"/>
  <c r="Z281" i="1" s="1"/>
  <c r="Q282" i="1"/>
  <c r="Z282" i="1" s="1"/>
  <c r="Q283" i="1"/>
  <c r="Z283" i="1" s="1"/>
  <c r="Q284" i="1"/>
  <c r="Z284" i="1" s="1"/>
  <c r="Q285" i="1"/>
  <c r="Z285" i="1" s="1"/>
  <c r="Q286" i="1"/>
  <c r="Z286" i="1" s="1"/>
  <c r="Q287" i="1"/>
  <c r="Z287" i="1" s="1"/>
  <c r="Q288" i="1"/>
  <c r="Z288" i="1" s="1"/>
  <c r="Q289" i="1"/>
  <c r="Z289" i="1" s="1"/>
  <c r="Q290" i="1"/>
  <c r="Z290" i="1" s="1"/>
  <c r="R238" i="1"/>
  <c r="AA238" i="1" s="1"/>
  <c r="R247" i="1"/>
  <c r="AA247" i="1" s="1"/>
  <c r="R268" i="1"/>
  <c r="AA268" i="1" s="1"/>
  <c r="R269" i="1"/>
  <c r="AA269" i="1" s="1"/>
  <c r="R280" i="1"/>
  <c r="AA280" i="1" s="1"/>
  <c r="R282" i="1"/>
  <c r="AA282" i="1" s="1"/>
  <c r="S238" i="1"/>
  <c r="AB238" i="1" s="1"/>
  <c r="S247" i="1"/>
  <c r="AB247" i="1" s="1"/>
  <c r="S268" i="1"/>
  <c r="AB268" i="1" s="1"/>
  <c r="S269" i="1"/>
  <c r="AB269" i="1" s="1"/>
  <c r="S280" i="1"/>
  <c r="AB280" i="1" s="1"/>
  <c r="AC238" i="1"/>
  <c r="AD238" i="1" s="1"/>
  <c r="AC247" i="1"/>
  <c r="AD247" i="1" s="1"/>
  <c r="AC268" i="1"/>
  <c r="AD268" i="1" s="1"/>
  <c r="AC269" i="1"/>
  <c r="AD269" i="1" s="1"/>
  <c r="AC280" i="1"/>
  <c r="AD280" i="1" s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Q177" i="1"/>
  <c r="Z177" i="1" s="1"/>
  <c r="Q178" i="1"/>
  <c r="R178" i="1" s="1"/>
  <c r="AA178" i="1" s="1"/>
  <c r="Q179" i="1"/>
  <c r="Z179" i="1" s="1"/>
  <c r="Q180" i="1"/>
  <c r="Z180" i="1" s="1"/>
  <c r="Q181" i="1"/>
  <c r="Z181" i="1" s="1"/>
  <c r="Q182" i="1"/>
  <c r="Z182" i="1" s="1"/>
  <c r="Q183" i="1"/>
  <c r="Z183" i="1" s="1"/>
  <c r="Q184" i="1"/>
  <c r="Z184" i="1" s="1"/>
  <c r="Q185" i="1"/>
  <c r="Z185" i="1" s="1"/>
  <c r="Q186" i="1"/>
  <c r="Z186" i="1" s="1"/>
  <c r="Q187" i="1"/>
  <c r="Z187" i="1" s="1"/>
  <c r="Q188" i="1"/>
  <c r="Z188" i="1" s="1"/>
  <c r="Q189" i="1"/>
  <c r="Z189" i="1" s="1"/>
  <c r="Q190" i="1"/>
  <c r="Z190" i="1" s="1"/>
  <c r="Q191" i="1"/>
  <c r="Z191" i="1" s="1"/>
  <c r="Q192" i="1"/>
  <c r="Z192" i="1" s="1"/>
  <c r="Q193" i="1"/>
  <c r="Z193" i="1" s="1"/>
  <c r="Q194" i="1"/>
  <c r="Z194" i="1" s="1"/>
  <c r="Q195" i="1"/>
  <c r="Z195" i="1" s="1"/>
  <c r="Q196" i="1"/>
  <c r="Z196" i="1" s="1"/>
  <c r="Q197" i="1"/>
  <c r="Z197" i="1" s="1"/>
  <c r="Q198" i="1"/>
  <c r="Z198" i="1" s="1"/>
  <c r="Q199" i="1"/>
  <c r="Z199" i="1" s="1"/>
  <c r="Q200" i="1"/>
  <c r="Z200" i="1" s="1"/>
  <c r="Q201" i="1"/>
  <c r="Z201" i="1" s="1"/>
  <c r="Q202" i="1"/>
  <c r="Z202" i="1" s="1"/>
  <c r="Q203" i="1"/>
  <c r="Z203" i="1" s="1"/>
  <c r="Q204" i="1"/>
  <c r="Z204" i="1" s="1"/>
  <c r="Q205" i="1"/>
  <c r="Z205" i="1" s="1"/>
  <c r="Q206" i="1"/>
  <c r="Z206" i="1" s="1"/>
  <c r="Q207" i="1"/>
  <c r="Z207" i="1" s="1"/>
  <c r="Q208" i="1"/>
  <c r="Z208" i="1" s="1"/>
  <c r="Q209" i="1"/>
  <c r="Z209" i="1" s="1"/>
  <c r="Q210" i="1"/>
  <c r="Z210" i="1" s="1"/>
  <c r="Q211" i="1"/>
  <c r="Z211" i="1" s="1"/>
  <c r="Q212" i="1"/>
  <c r="Z212" i="1" s="1"/>
  <c r="Q213" i="1"/>
  <c r="Z213" i="1" s="1"/>
  <c r="Q214" i="1"/>
  <c r="Z214" i="1" s="1"/>
  <c r="Q215" i="1"/>
  <c r="Z215" i="1" s="1"/>
  <c r="Q216" i="1"/>
  <c r="Z216" i="1" s="1"/>
  <c r="Q217" i="1"/>
  <c r="Z217" i="1" s="1"/>
  <c r="Q218" i="1"/>
  <c r="Z218" i="1" s="1"/>
  <c r="Q219" i="1"/>
  <c r="Z219" i="1" s="1"/>
  <c r="Q220" i="1"/>
  <c r="Z220" i="1" s="1"/>
  <c r="Q221" i="1"/>
  <c r="Z221" i="1" s="1"/>
  <c r="Q222" i="1"/>
  <c r="Z222" i="1" s="1"/>
  <c r="Q223" i="1"/>
  <c r="Z223" i="1" s="1"/>
  <c r="Q224" i="1"/>
  <c r="Z224" i="1" s="1"/>
  <c r="Q225" i="1"/>
  <c r="Z225" i="1" s="1"/>
  <c r="Q226" i="1"/>
  <c r="Z226" i="1" s="1"/>
  <c r="Q227" i="1"/>
  <c r="Z227" i="1" s="1"/>
  <c r="Q228" i="1"/>
  <c r="Z228" i="1" s="1"/>
  <c r="Q229" i="1"/>
  <c r="Z229" i="1" s="1"/>
  <c r="Q230" i="1"/>
  <c r="Z230" i="1" s="1"/>
  <c r="Q231" i="1"/>
  <c r="Z231" i="1" s="1"/>
  <c r="Q232" i="1"/>
  <c r="Z232" i="1" s="1"/>
  <c r="Q233" i="1"/>
  <c r="Z233" i="1" s="1"/>
  <c r="R181" i="1"/>
  <c r="AA181" i="1" s="1"/>
  <c r="R185" i="1"/>
  <c r="AA185" i="1" s="1"/>
  <c r="R186" i="1"/>
  <c r="AA186" i="1" s="1"/>
  <c r="R190" i="1"/>
  <c r="AA190" i="1" s="1"/>
  <c r="R211" i="1"/>
  <c r="AA211" i="1" s="1"/>
  <c r="R212" i="1"/>
  <c r="AA212" i="1" s="1"/>
  <c r="R223" i="1"/>
  <c r="AA223" i="1" s="1"/>
  <c r="R232" i="1"/>
  <c r="AA232" i="1" s="1"/>
  <c r="S181" i="1"/>
  <c r="AB181" i="1" s="1"/>
  <c r="S185" i="1"/>
  <c r="AB185" i="1" s="1"/>
  <c r="S186" i="1"/>
  <c r="AB186" i="1" s="1"/>
  <c r="S190" i="1"/>
  <c r="AB190" i="1" s="1"/>
  <c r="S211" i="1"/>
  <c r="AB211" i="1" s="1"/>
  <c r="S212" i="1"/>
  <c r="AB212" i="1" s="1"/>
  <c r="S223" i="1"/>
  <c r="AB223" i="1" s="1"/>
  <c r="S232" i="1"/>
  <c r="AB232" i="1" s="1"/>
  <c r="AC181" i="1"/>
  <c r="AD181" i="1" s="1"/>
  <c r="AC185" i="1"/>
  <c r="AD185" i="1" s="1"/>
  <c r="AC186" i="1"/>
  <c r="AD186" i="1" s="1"/>
  <c r="AC190" i="1"/>
  <c r="AD190" i="1" s="1"/>
  <c r="AC211" i="1"/>
  <c r="AD211" i="1" s="1"/>
  <c r="AC212" i="1"/>
  <c r="AD212" i="1" s="1"/>
  <c r="AC223" i="1"/>
  <c r="AD223" i="1" s="1"/>
  <c r="AC232" i="1"/>
  <c r="AD232" i="1" s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Q120" i="1"/>
  <c r="Z120" i="1" s="1"/>
  <c r="Q121" i="1"/>
  <c r="Z121" i="1" s="1"/>
  <c r="Q122" i="1"/>
  <c r="Z122" i="1" s="1"/>
  <c r="Q123" i="1"/>
  <c r="Z123" i="1" s="1"/>
  <c r="Q124" i="1"/>
  <c r="Z124" i="1" s="1"/>
  <c r="Q125" i="1"/>
  <c r="Z125" i="1" s="1"/>
  <c r="Q126" i="1"/>
  <c r="Z126" i="1" s="1"/>
  <c r="Q127" i="1"/>
  <c r="Z127" i="1" s="1"/>
  <c r="Q128" i="1"/>
  <c r="Z128" i="1" s="1"/>
  <c r="Q129" i="1"/>
  <c r="Z129" i="1" s="1"/>
  <c r="Q130" i="1"/>
  <c r="Z130" i="1" s="1"/>
  <c r="Q131" i="1"/>
  <c r="Z131" i="1" s="1"/>
  <c r="Q132" i="1"/>
  <c r="Z132" i="1" s="1"/>
  <c r="Q133" i="1"/>
  <c r="Z133" i="1" s="1"/>
  <c r="Q134" i="1"/>
  <c r="Z134" i="1" s="1"/>
  <c r="Q135" i="1"/>
  <c r="Z135" i="1" s="1"/>
  <c r="Q136" i="1"/>
  <c r="Z136" i="1" s="1"/>
  <c r="Q137" i="1"/>
  <c r="Z137" i="1" s="1"/>
  <c r="Q138" i="1"/>
  <c r="Z138" i="1" s="1"/>
  <c r="Q139" i="1"/>
  <c r="Z139" i="1" s="1"/>
  <c r="Q140" i="1"/>
  <c r="Z140" i="1" s="1"/>
  <c r="Q141" i="1"/>
  <c r="Z141" i="1" s="1"/>
  <c r="Q142" i="1"/>
  <c r="Z142" i="1" s="1"/>
  <c r="Q143" i="1"/>
  <c r="Z143" i="1" s="1"/>
  <c r="Q144" i="1"/>
  <c r="Z144" i="1" s="1"/>
  <c r="Q145" i="1"/>
  <c r="Z145" i="1" s="1"/>
  <c r="Q146" i="1"/>
  <c r="Z146" i="1" s="1"/>
  <c r="Q147" i="1"/>
  <c r="Z147" i="1" s="1"/>
  <c r="Q148" i="1"/>
  <c r="Z148" i="1" s="1"/>
  <c r="Q149" i="1"/>
  <c r="Z149" i="1" s="1"/>
  <c r="Q150" i="1"/>
  <c r="Z150" i="1" s="1"/>
  <c r="Q151" i="1"/>
  <c r="Z151" i="1" s="1"/>
  <c r="Q152" i="1"/>
  <c r="Z152" i="1" s="1"/>
  <c r="Q153" i="1"/>
  <c r="Z153" i="1" s="1"/>
  <c r="Q154" i="1"/>
  <c r="Z154" i="1" s="1"/>
  <c r="Q155" i="1"/>
  <c r="Z155" i="1" s="1"/>
  <c r="Q156" i="1"/>
  <c r="Z156" i="1" s="1"/>
  <c r="Q157" i="1"/>
  <c r="Z157" i="1" s="1"/>
  <c r="Q158" i="1"/>
  <c r="Z158" i="1" s="1"/>
  <c r="Q159" i="1"/>
  <c r="Z159" i="1" s="1"/>
  <c r="Q160" i="1"/>
  <c r="Z160" i="1" s="1"/>
  <c r="Q161" i="1"/>
  <c r="Z161" i="1" s="1"/>
  <c r="Q162" i="1"/>
  <c r="Z162" i="1" s="1"/>
  <c r="Q163" i="1"/>
  <c r="Z163" i="1" s="1"/>
  <c r="Q164" i="1"/>
  <c r="Z164" i="1" s="1"/>
  <c r="Q165" i="1"/>
  <c r="Z165" i="1" s="1"/>
  <c r="Q166" i="1"/>
  <c r="Z166" i="1" s="1"/>
  <c r="Q167" i="1"/>
  <c r="Z167" i="1" s="1"/>
  <c r="Q168" i="1"/>
  <c r="Z168" i="1" s="1"/>
  <c r="Q169" i="1"/>
  <c r="Z169" i="1" s="1"/>
  <c r="Q170" i="1"/>
  <c r="Z170" i="1" s="1"/>
  <c r="Q171" i="1"/>
  <c r="Z171" i="1" s="1"/>
  <c r="Q172" i="1"/>
  <c r="Z172" i="1" s="1"/>
  <c r="Q173" i="1"/>
  <c r="Z173" i="1" s="1"/>
  <c r="Q174" i="1"/>
  <c r="Z174" i="1" s="1"/>
  <c r="Q175" i="1"/>
  <c r="Z175" i="1" s="1"/>
  <c r="Q176" i="1"/>
  <c r="Z176" i="1" s="1"/>
  <c r="R120" i="1"/>
  <c r="AA120" i="1" s="1"/>
  <c r="R121" i="1"/>
  <c r="AA121" i="1" s="1"/>
  <c r="R122" i="1"/>
  <c r="AA122" i="1" s="1"/>
  <c r="R123" i="1"/>
  <c r="AA123" i="1" s="1"/>
  <c r="R124" i="1"/>
  <c r="AA124" i="1" s="1"/>
  <c r="R125" i="1"/>
  <c r="AA125" i="1" s="1"/>
  <c r="R126" i="1"/>
  <c r="AA126" i="1" s="1"/>
  <c r="R127" i="1"/>
  <c r="AA127" i="1" s="1"/>
  <c r="R129" i="1"/>
  <c r="AA129" i="1" s="1"/>
  <c r="R130" i="1"/>
  <c r="AA130" i="1" s="1"/>
  <c r="R131" i="1"/>
  <c r="AA131" i="1" s="1"/>
  <c r="R132" i="1"/>
  <c r="AA132" i="1" s="1"/>
  <c r="R133" i="1"/>
  <c r="AA133" i="1" s="1"/>
  <c r="R134" i="1"/>
  <c r="AA134" i="1" s="1"/>
  <c r="R135" i="1"/>
  <c r="AA135" i="1" s="1"/>
  <c r="R136" i="1"/>
  <c r="AA136" i="1" s="1"/>
  <c r="R137" i="1"/>
  <c r="AA137" i="1" s="1"/>
  <c r="R138" i="1"/>
  <c r="AA138" i="1" s="1"/>
  <c r="R139" i="1"/>
  <c r="AA139" i="1" s="1"/>
  <c r="R140" i="1"/>
  <c r="AA140" i="1" s="1"/>
  <c r="R141" i="1"/>
  <c r="AA141" i="1" s="1"/>
  <c r="R142" i="1"/>
  <c r="AA142" i="1" s="1"/>
  <c r="R143" i="1"/>
  <c r="AA143" i="1" s="1"/>
  <c r="R144" i="1"/>
  <c r="AA144" i="1" s="1"/>
  <c r="R145" i="1"/>
  <c r="AA145" i="1" s="1"/>
  <c r="R146" i="1"/>
  <c r="AA146" i="1" s="1"/>
  <c r="R147" i="1"/>
  <c r="AA147" i="1" s="1"/>
  <c r="R148" i="1"/>
  <c r="AA148" i="1" s="1"/>
  <c r="R149" i="1"/>
  <c r="AA149" i="1" s="1"/>
  <c r="R150" i="1"/>
  <c r="AA150" i="1" s="1"/>
  <c r="R151" i="1"/>
  <c r="AA151" i="1" s="1"/>
  <c r="R152" i="1"/>
  <c r="AA152" i="1" s="1"/>
  <c r="R153" i="1"/>
  <c r="AA153" i="1" s="1"/>
  <c r="R154" i="1"/>
  <c r="AA154" i="1" s="1"/>
  <c r="R155" i="1"/>
  <c r="AA155" i="1" s="1"/>
  <c r="R156" i="1"/>
  <c r="AA156" i="1" s="1"/>
  <c r="R157" i="1"/>
  <c r="AA157" i="1" s="1"/>
  <c r="R158" i="1"/>
  <c r="AA158" i="1" s="1"/>
  <c r="R159" i="1"/>
  <c r="AA159" i="1" s="1"/>
  <c r="R160" i="1"/>
  <c r="AA160" i="1" s="1"/>
  <c r="R161" i="1"/>
  <c r="AA161" i="1" s="1"/>
  <c r="R162" i="1"/>
  <c r="AA162" i="1" s="1"/>
  <c r="R163" i="1"/>
  <c r="AA163" i="1" s="1"/>
  <c r="R164" i="1"/>
  <c r="AA164" i="1" s="1"/>
  <c r="R165" i="1"/>
  <c r="AA165" i="1" s="1"/>
  <c r="R166" i="1"/>
  <c r="AA166" i="1" s="1"/>
  <c r="R167" i="1"/>
  <c r="AA167" i="1" s="1"/>
  <c r="R168" i="1"/>
  <c r="AA168" i="1" s="1"/>
  <c r="R169" i="1"/>
  <c r="AA169" i="1" s="1"/>
  <c r="R170" i="1"/>
  <c r="AA170" i="1" s="1"/>
  <c r="R172" i="1"/>
  <c r="AA172" i="1" s="1"/>
  <c r="R174" i="1"/>
  <c r="AA174" i="1" s="1"/>
  <c r="R175" i="1"/>
  <c r="AA175" i="1" s="1"/>
  <c r="R176" i="1"/>
  <c r="AA176" i="1" s="1"/>
  <c r="S120" i="1"/>
  <c r="AB120" i="1" s="1"/>
  <c r="S121" i="1"/>
  <c r="AB121" i="1" s="1"/>
  <c r="S122" i="1"/>
  <c r="AB122" i="1" s="1"/>
  <c r="S123" i="1"/>
  <c r="AB123" i="1" s="1"/>
  <c r="S124" i="1"/>
  <c r="AB124" i="1" s="1"/>
  <c r="S125" i="1"/>
  <c r="AB125" i="1" s="1"/>
  <c r="S126" i="1"/>
  <c r="AB126" i="1" s="1"/>
  <c r="S127" i="1"/>
  <c r="AB127" i="1" s="1"/>
  <c r="S129" i="1"/>
  <c r="AB129" i="1" s="1"/>
  <c r="S130" i="1"/>
  <c r="AB130" i="1" s="1"/>
  <c r="S131" i="1"/>
  <c r="AB131" i="1" s="1"/>
  <c r="S132" i="1"/>
  <c r="AB132" i="1" s="1"/>
  <c r="S133" i="1"/>
  <c r="AB133" i="1" s="1"/>
  <c r="S134" i="1"/>
  <c r="AB134" i="1" s="1"/>
  <c r="S135" i="1"/>
  <c r="AB135" i="1" s="1"/>
  <c r="S136" i="1"/>
  <c r="AB136" i="1" s="1"/>
  <c r="S137" i="1"/>
  <c r="AB137" i="1" s="1"/>
  <c r="S138" i="1"/>
  <c r="AB138" i="1" s="1"/>
  <c r="S139" i="1"/>
  <c r="AB139" i="1" s="1"/>
  <c r="S140" i="1"/>
  <c r="AB140" i="1" s="1"/>
  <c r="S141" i="1"/>
  <c r="AB141" i="1" s="1"/>
  <c r="S142" i="1"/>
  <c r="AB142" i="1" s="1"/>
  <c r="S143" i="1"/>
  <c r="AB143" i="1" s="1"/>
  <c r="S144" i="1"/>
  <c r="AB144" i="1" s="1"/>
  <c r="S145" i="1"/>
  <c r="AB145" i="1" s="1"/>
  <c r="S146" i="1"/>
  <c r="AB146" i="1" s="1"/>
  <c r="S147" i="1"/>
  <c r="AB147" i="1" s="1"/>
  <c r="S148" i="1"/>
  <c r="AB148" i="1" s="1"/>
  <c r="S149" i="1"/>
  <c r="AB149" i="1" s="1"/>
  <c r="S150" i="1"/>
  <c r="AB150" i="1" s="1"/>
  <c r="S151" i="1"/>
  <c r="AB151" i="1" s="1"/>
  <c r="S152" i="1"/>
  <c r="AB152" i="1" s="1"/>
  <c r="S153" i="1"/>
  <c r="AB153" i="1" s="1"/>
  <c r="S154" i="1"/>
  <c r="AB154" i="1" s="1"/>
  <c r="S155" i="1"/>
  <c r="AB155" i="1" s="1"/>
  <c r="S156" i="1"/>
  <c r="AB156" i="1" s="1"/>
  <c r="S157" i="1"/>
  <c r="AB157" i="1" s="1"/>
  <c r="S158" i="1"/>
  <c r="AB158" i="1" s="1"/>
  <c r="S159" i="1"/>
  <c r="AB159" i="1" s="1"/>
  <c r="S160" i="1"/>
  <c r="AB160" i="1" s="1"/>
  <c r="S161" i="1"/>
  <c r="AB161" i="1" s="1"/>
  <c r="S162" i="1"/>
  <c r="AB162" i="1" s="1"/>
  <c r="S163" i="1"/>
  <c r="AB163" i="1" s="1"/>
  <c r="S164" i="1"/>
  <c r="AB164" i="1" s="1"/>
  <c r="S165" i="1"/>
  <c r="AB165" i="1" s="1"/>
  <c r="S166" i="1"/>
  <c r="AB166" i="1" s="1"/>
  <c r="S167" i="1"/>
  <c r="AB167" i="1" s="1"/>
  <c r="S168" i="1"/>
  <c r="AB168" i="1" s="1"/>
  <c r="S169" i="1"/>
  <c r="AB169" i="1" s="1"/>
  <c r="S170" i="1"/>
  <c r="AB170" i="1" s="1"/>
  <c r="S172" i="1"/>
  <c r="AB172" i="1" s="1"/>
  <c r="S174" i="1"/>
  <c r="AB174" i="1" s="1"/>
  <c r="S175" i="1"/>
  <c r="AB175" i="1" s="1"/>
  <c r="S176" i="1"/>
  <c r="AB176" i="1" s="1"/>
  <c r="AC120" i="1"/>
  <c r="AD120" i="1" s="1"/>
  <c r="AC121" i="1"/>
  <c r="AD121" i="1" s="1"/>
  <c r="AC122" i="1"/>
  <c r="AD122" i="1" s="1"/>
  <c r="AC123" i="1"/>
  <c r="AD123" i="1" s="1"/>
  <c r="AC124" i="1"/>
  <c r="AD124" i="1" s="1"/>
  <c r="AC125" i="1"/>
  <c r="AD125" i="1" s="1"/>
  <c r="AC126" i="1"/>
  <c r="AD126" i="1" s="1"/>
  <c r="AC127" i="1"/>
  <c r="AD127" i="1" s="1"/>
  <c r="AC129" i="1"/>
  <c r="AD129" i="1" s="1"/>
  <c r="AC130" i="1"/>
  <c r="AD130" i="1" s="1"/>
  <c r="AC131" i="1"/>
  <c r="AD131" i="1" s="1"/>
  <c r="AC132" i="1"/>
  <c r="AD132" i="1" s="1"/>
  <c r="AC133" i="1"/>
  <c r="AD133" i="1" s="1"/>
  <c r="AC134" i="1"/>
  <c r="AD134" i="1" s="1"/>
  <c r="AC135" i="1"/>
  <c r="AD135" i="1" s="1"/>
  <c r="AC136" i="1"/>
  <c r="AD136" i="1" s="1"/>
  <c r="AC137" i="1"/>
  <c r="AD137" i="1" s="1"/>
  <c r="AC138" i="1"/>
  <c r="AD138" i="1" s="1"/>
  <c r="AC139" i="1"/>
  <c r="AD139" i="1" s="1"/>
  <c r="AC140" i="1"/>
  <c r="AD140" i="1" s="1"/>
  <c r="AC141" i="1"/>
  <c r="AD141" i="1" s="1"/>
  <c r="AC142" i="1"/>
  <c r="AD142" i="1" s="1"/>
  <c r="AC144" i="1"/>
  <c r="AD144" i="1" s="1"/>
  <c r="AC145" i="1"/>
  <c r="AD145" i="1" s="1"/>
  <c r="AC146" i="1"/>
  <c r="AD146" i="1" s="1"/>
  <c r="AC147" i="1"/>
  <c r="AD147" i="1" s="1"/>
  <c r="AC148" i="1"/>
  <c r="AD148" i="1" s="1"/>
  <c r="AC149" i="1"/>
  <c r="AD149" i="1" s="1"/>
  <c r="AC150" i="1"/>
  <c r="AD150" i="1" s="1"/>
  <c r="AC151" i="1"/>
  <c r="AD151" i="1" s="1"/>
  <c r="AC152" i="1"/>
  <c r="AD152" i="1" s="1"/>
  <c r="AC153" i="1"/>
  <c r="AD153" i="1" s="1"/>
  <c r="AC154" i="1"/>
  <c r="AD154" i="1" s="1"/>
  <c r="AC155" i="1"/>
  <c r="AD155" i="1" s="1"/>
  <c r="AC156" i="1"/>
  <c r="AD156" i="1" s="1"/>
  <c r="AC157" i="1"/>
  <c r="AD157" i="1" s="1"/>
  <c r="AC158" i="1"/>
  <c r="AD158" i="1" s="1"/>
  <c r="AC159" i="1"/>
  <c r="AD159" i="1" s="1"/>
  <c r="AC160" i="1"/>
  <c r="AD160" i="1" s="1"/>
  <c r="AC161" i="1"/>
  <c r="AD161" i="1" s="1"/>
  <c r="AC162" i="1"/>
  <c r="AD162" i="1" s="1"/>
  <c r="AC163" i="1"/>
  <c r="AD163" i="1" s="1"/>
  <c r="AC164" i="1"/>
  <c r="AD164" i="1" s="1"/>
  <c r="AC165" i="1"/>
  <c r="AD165" i="1" s="1"/>
  <c r="AC166" i="1"/>
  <c r="AD166" i="1" s="1"/>
  <c r="AC167" i="1"/>
  <c r="AD167" i="1" s="1"/>
  <c r="AC168" i="1"/>
  <c r="AD168" i="1" s="1"/>
  <c r="AC169" i="1"/>
  <c r="AD169" i="1" s="1"/>
  <c r="AC170" i="1"/>
  <c r="AD170" i="1" s="1"/>
  <c r="AC172" i="1"/>
  <c r="AD172" i="1" s="1"/>
  <c r="AC174" i="1"/>
  <c r="AD174" i="1" s="1"/>
  <c r="AC175" i="1"/>
  <c r="AD175" i="1" s="1"/>
  <c r="AC176" i="1"/>
  <c r="AD176" i="1" s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Q63" i="1"/>
  <c r="Z63" i="1" s="1"/>
  <c r="Q64" i="1"/>
  <c r="Z64" i="1" s="1"/>
  <c r="Q65" i="1"/>
  <c r="Z65" i="1" s="1"/>
  <c r="Q66" i="1"/>
  <c r="Z66" i="1" s="1"/>
  <c r="Q67" i="1"/>
  <c r="Z67" i="1" s="1"/>
  <c r="Q68" i="1"/>
  <c r="Z68" i="1" s="1"/>
  <c r="Q69" i="1"/>
  <c r="Z69" i="1" s="1"/>
  <c r="Q70" i="1"/>
  <c r="Z70" i="1" s="1"/>
  <c r="Q71" i="1"/>
  <c r="Z71" i="1" s="1"/>
  <c r="Q72" i="1"/>
  <c r="Z72" i="1" s="1"/>
  <c r="Q73" i="1"/>
  <c r="Z73" i="1" s="1"/>
  <c r="Q74" i="1"/>
  <c r="Z74" i="1" s="1"/>
  <c r="Q75" i="1"/>
  <c r="Z75" i="1" s="1"/>
  <c r="Q76" i="1"/>
  <c r="Z76" i="1" s="1"/>
  <c r="Q77" i="1"/>
  <c r="Z77" i="1" s="1"/>
  <c r="Q78" i="1"/>
  <c r="Z78" i="1" s="1"/>
  <c r="Q79" i="1"/>
  <c r="Z79" i="1" s="1"/>
  <c r="Q80" i="1"/>
  <c r="Z80" i="1" s="1"/>
  <c r="Q81" i="1"/>
  <c r="Z81" i="1" s="1"/>
  <c r="Q82" i="1"/>
  <c r="Z82" i="1" s="1"/>
  <c r="Q83" i="1"/>
  <c r="Z83" i="1" s="1"/>
  <c r="Q84" i="1"/>
  <c r="Z84" i="1" s="1"/>
  <c r="Q85" i="1"/>
  <c r="Z85" i="1" s="1"/>
  <c r="Q86" i="1"/>
  <c r="Z86" i="1" s="1"/>
  <c r="Q87" i="1"/>
  <c r="Z87" i="1" s="1"/>
  <c r="Q88" i="1"/>
  <c r="Z88" i="1" s="1"/>
  <c r="Q89" i="1"/>
  <c r="Z89" i="1" s="1"/>
  <c r="Q90" i="1"/>
  <c r="Z90" i="1" s="1"/>
  <c r="Q91" i="1"/>
  <c r="Z91" i="1" s="1"/>
  <c r="Q92" i="1"/>
  <c r="Z92" i="1" s="1"/>
  <c r="Q93" i="1"/>
  <c r="Z93" i="1" s="1"/>
  <c r="Q94" i="1"/>
  <c r="Z94" i="1" s="1"/>
  <c r="Q95" i="1"/>
  <c r="Z95" i="1" s="1"/>
  <c r="Q96" i="1"/>
  <c r="Z96" i="1" s="1"/>
  <c r="Q97" i="1"/>
  <c r="Z97" i="1" s="1"/>
  <c r="Q98" i="1"/>
  <c r="Z98" i="1" s="1"/>
  <c r="Q99" i="1"/>
  <c r="Z99" i="1" s="1"/>
  <c r="Q100" i="1"/>
  <c r="Z100" i="1" s="1"/>
  <c r="Q101" i="1"/>
  <c r="Z101" i="1" s="1"/>
  <c r="Q102" i="1"/>
  <c r="Z102" i="1" s="1"/>
  <c r="Q103" i="1"/>
  <c r="Z103" i="1" s="1"/>
  <c r="Q104" i="1"/>
  <c r="Z104" i="1" s="1"/>
  <c r="Q105" i="1"/>
  <c r="Z105" i="1" s="1"/>
  <c r="Q106" i="1"/>
  <c r="Z106" i="1" s="1"/>
  <c r="Q107" i="1"/>
  <c r="Z107" i="1" s="1"/>
  <c r="Q108" i="1"/>
  <c r="Z108" i="1" s="1"/>
  <c r="Q109" i="1"/>
  <c r="Z109" i="1" s="1"/>
  <c r="Q110" i="1"/>
  <c r="Z110" i="1" s="1"/>
  <c r="Q111" i="1"/>
  <c r="Z111" i="1" s="1"/>
  <c r="Q112" i="1"/>
  <c r="Z112" i="1" s="1"/>
  <c r="Q113" i="1"/>
  <c r="Z113" i="1" s="1"/>
  <c r="Q114" i="1"/>
  <c r="Z114" i="1" s="1"/>
  <c r="Q115" i="1"/>
  <c r="Z115" i="1" s="1"/>
  <c r="Q116" i="1"/>
  <c r="Z116" i="1" s="1"/>
  <c r="Q117" i="1"/>
  <c r="Z117" i="1" s="1"/>
  <c r="Q118" i="1"/>
  <c r="Z118" i="1" s="1"/>
  <c r="Q119" i="1"/>
  <c r="Z119" i="1" s="1"/>
  <c r="R64" i="1"/>
  <c r="AA64" i="1" s="1"/>
  <c r="R67" i="1"/>
  <c r="AA67" i="1" s="1"/>
  <c r="R76" i="1"/>
  <c r="AA76" i="1" s="1"/>
  <c r="R86" i="1"/>
  <c r="AA86" i="1" s="1"/>
  <c r="R93" i="1"/>
  <c r="AA93" i="1" s="1"/>
  <c r="R98" i="1"/>
  <c r="AA98" i="1" s="1"/>
  <c r="R102" i="1"/>
  <c r="AA102" i="1" s="1"/>
  <c r="R109" i="1"/>
  <c r="AA109" i="1" s="1"/>
  <c r="R111" i="1"/>
  <c r="AA111" i="1" s="1"/>
  <c r="R113" i="1"/>
  <c r="AA113" i="1" s="1"/>
  <c r="S64" i="1"/>
  <c r="AB64" i="1" s="1"/>
  <c r="S67" i="1"/>
  <c r="AB67" i="1" s="1"/>
  <c r="S76" i="1"/>
  <c r="AB76" i="1" s="1"/>
  <c r="S86" i="1"/>
  <c r="AB86" i="1" s="1"/>
  <c r="S93" i="1"/>
  <c r="AB93" i="1" s="1"/>
  <c r="S98" i="1"/>
  <c r="AB98" i="1" s="1"/>
  <c r="S102" i="1"/>
  <c r="AB102" i="1" s="1"/>
  <c r="S109" i="1"/>
  <c r="AB109" i="1" s="1"/>
  <c r="S111" i="1"/>
  <c r="AB111" i="1" s="1"/>
  <c r="S113" i="1"/>
  <c r="AB113" i="1" s="1"/>
  <c r="AC64" i="1"/>
  <c r="AD64" i="1" s="1"/>
  <c r="AC67" i="1"/>
  <c r="AD67" i="1" s="1"/>
  <c r="AC76" i="1"/>
  <c r="AD76" i="1" s="1"/>
  <c r="AC86" i="1"/>
  <c r="AD86" i="1" s="1"/>
  <c r="AC93" i="1"/>
  <c r="AD93" i="1" s="1"/>
  <c r="AC98" i="1"/>
  <c r="AD98" i="1" s="1"/>
  <c r="AC102" i="1"/>
  <c r="AD102" i="1" s="1"/>
  <c r="AC109" i="1"/>
  <c r="AD109" i="1" s="1"/>
  <c r="AC111" i="1"/>
  <c r="AD111" i="1" s="1"/>
  <c r="AC113" i="1"/>
  <c r="AD113" i="1" s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Q6" i="1"/>
  <c r="Z6" i="1" s="1"/>
  <c r="Q7" i="1"/>
  <c r="Z7" i="1" s="1"/>
  <c r="Q8" i="1"/>
  <c r="Z8" i="1" s="1"/>
  <c r="Q9" i="1"/>
  <c r="Z9" i="1" s="1"/>
  <c r="Q10" i="1"/>
  <c r="Z10" i="1" s="1"/>
  <c r="Q11" i="1"/>
  <c r="Z11" i="1" s="1"/>
  <c r="Q12" i="1"/>
  <c r="Z12" i="1" s="1"/>
  <c r="Q13" i="1"/>
  <c r="Z13" i="1" s="1"/>
  <c r="Q14" i="1"/>
  <c r="Z14" i="1" s="1"/>
  <c r="Q15" i="1"/>
  <c r="Z15" i="1" s="1"/>
  <c r="Q16" i="1"/>
  <c r="Z16" i="1" s="1"/>
  <c r="Q17" i="1"/>
  <c r="Z17" i="1" s="1"/>
  <c r="Q18" i="1"/>
  <c r="Z18" i="1" s="1"/>
  <c r="Q19" i="1"/>
  <c r="Z19" i="1" s="1"/>
  <c r="Q20" i="1"/>
  <c r="Z20" i="1" s="1"/>
  <c r="Q21" i="1"/>
  <c r="Z21" i="1" s="1"/>
  <c r="Q22" i="1"/>
  <c r="Z22" i="1" s="1"/>
  <c r="Q23" i="1"/>
  <c r="Z23" i="1" s="1"/>
  <c r="Q24" i="1"/>
  <c r="Z24" i="1" s="1"/>
  <c r="Q25" i="1"/>
  <c r="Z25" i="1" s="1"/>
  <c r="Q26" i="1"/>
  <c r="Z26" i="1" s="1"/>
  <c r="Q27" i="1"/>
  <c r="Z27" i="1" s="1"/>
  <c r="Q28" i="1"/>
  <c r="Z28" i="1" s="1"/>
  <c r="Q29" i="1"/>
  <c r="Z29" i="1" s="1"/>
  <c r="Q30" i="1"/>
  <c r="Z30" i="1" s="1"/>
  <c r="Q31" i="1"/>
  <c r="Z31" i="1" s="1"/>
  <c r="Q32" i="1"/>
  <c r="Z32" i="1" s="1"/>
  <c r="Q33" i="1"/>
  <c r="Z33" i="1" s="1"/>
  <c r="Q34" i="1"/>
  <c r="Z34" i="1" s="1"/>
  <c r="Q35" i="1"/>
  <c r="Z35" i="1" s="1"/>
  <c r="Q36" i="1"/>
  <c r="Z36" i="1" s="1"/>
  <c r="Q37" i="1"/>
  <c r="Z37" i="1" s="1"/>
  <c r="Q38" i="1"/>
  <c r="Z38" i="1" s="1"/>
  <c r="Q39" i="1"/>
  <c r="Z39" i="1" s="1"/>
  <c r="Q40" i="1"/>
  <c r="Z40" i="1" s="1"/>
  <c r="Q41" i="1"/>
  <c r="Z41" i="1" s="1"/>
  <c r="Q42" i="1"/>
  <c r="Z42" i="1" s="1"/>
  <c r="Q43" i="1"/>
  <c r="Z43" i="1" s="1"/>
  <c r="Q44" i="1"/>
  <c r="Z44" i="1" s="1"/>
  <c r="Q45" i="1"/>
  <c r="Z45" i="1" s="1"/>
  <c r="Q46" i="1"/>
  <c r="Z46" i="1" s="1"/>
  <c r="Q47" i="1"/>
  <c r="Z47" i="1" s="1"/>
  <c r="Q48" i="1"/>
  <c r="Z48" i="1" s="1"/>
  <c r="Q49" i="1"/>
  <c r="Z49" i="1" s="1"/>
  <c r="Q50" i="1"/>
  <c r="Z50" i="1" s="1"/>
  <c r="Q51" i="1"/>
  <c r="Z51" i="1" s="1"/>
  <c r="Q52" i="1"/>
  <c r="Z52" i="1" s="1"/>
  <c r="Q53" i="1"/>
  <c r="Z53" i="1" s="1"/>
  <c r="Q54" i="1"/>
  <c r="Z54" i="1" s="1"/>
  <c r="Q55" i="1"/>
  <c r="Z55" i="1" s="1"/>
  <c r="Q56" i="1"/>
  <c r="Z56" i="1" s="1"/>
  <c r="Q57" i="1"/>
  <c r="Z57" i="1" s="1"/>
  <c r="Q58" i="1"/>
  <c r="Z58" i="1" s="1"/>
  <c r="Q59" i="1"/>
  <c r="Z59" i="1" s="1"/>
  <c r="Q60" i="1"/>
  <c r="Z60" i="1" s="1"/>
  <c r="Q61" i="1"/>
  <c r="Z61" i="1" s="1"/>
  <c r="Q62" i="1"/>
  <c r="Z62" i="1" s="1"/>
  <c r="R10" i="1"/>
  <c r="AA10" i="1" s="1"/>
  <c r="R36" i="1"/>
  <c r="AA36" i="1" s="1"/>
  <c r="R41" i="1"/>
  <c r="AA41" i="1" s="1"/>
  <c r="R46" i="1"/>
  <c r="AA46" i="1" s="1"/>
  <c r="R49" i="1"/>
  <c r="AA49" i="1" s="1"/>
  <c r="R52" i="1"/>
  <c r="AA52" i="1" s="1"/>
  <c r="R54" i="1"/>
  <c r="AA54" i="1" s="1"/>
  <c r="R55" i="1"/>
  <c r="AA55" i="1" s="1"/>
  <c r="R56" i="1"/>
  <c r="AA56" i="1" s="1"/>
  <c r="S10" i="1"/>
  <c r="AB10" i="1" s="1"/>
  <c r="S36" i="1"/>
  <c r="AB36" i="1" s="1"/>
  <c r="S41" i="1"/>
  <c r="AB41" i="1" s="1"/>
  <c r="S46" i="1"/>
  <c r="AB46" i="1" s="1"/>
  <c r="S49" i="1"/>
  <c r="AB49" i="1" s="1"/>
  <c r="S52" i="1"/>
  <c r="AB52" i="1" s="1"/>
  <c r="S54" i="1"/>
  <c r="AB54" i="1" s="1"/>
  <c r="S55" i="1"/>
  <c r="AB55" i="1" s="1"/>
  <c r="S56" i="1"/>
  <c r="AB56" i="1" s="1"/>
  <c r="AC10" i="1"/>
  <c r="AD10" i="1" s="1"/>
  <c r="AC36" i="1"/>
  <c r="AD36" i="1" s="1"/>
  <c r="AC41" i="1"/>
  <c r="AD41" i="1" s="1"/>
  <c r="AC46" i="1"/>
  <c r="AD46" i="1" s="1"/>
  <c r="AC49" i="1"/>
  <c r="AD49" i="1" s="1"/>
  <c r="AC52" i="1"/>
  <c r="AD52" i="1" s="1"/>
  <c r="AC54" i="1"/>
  <c r="AD54" i="1" s="1"/>
  <c r="AC55" i="1"/>
  <c r="AD55" i="1" s="1"/>
  <c r="AC56" i="1"/>
  <c r="AD56" i="1" s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W54" i="1" l="1"/>
  <c r="X54" i="1" s="1"/>
  <c r="V54" i="1"/>
  <c r="W113" i="1"/>
  <c r="X113" i="1" s="1"/>
  <c r="V113" i="1"/>
  <c r="W67" i="1"/>
  <c r="X67" i="1" s="1"/>
  <c r="V67" i="1"/>
  <c r="W172" i="1"/>
  <c r="X172" i="1" s="1"/>
  <c r="V172" i="1"/>
  <c r="W163" i="1"/>
  <c r="X163" i="1" s="1"/>
  <c r="V163" i="1"/>
  <c r="W155" i="1"/>
  <c r="X155" i="1" s="1"/>
  <c r="V155" i="1"/>
  <c r="W147" i="1"/>
  <c r="X147" i="1" s="1"/>
  <c r="V147" i="1"/>
  <c r="W138" i="1"/>
  <c r="X138" i="1" s="1"/>
  <c r="AE138" i="1" s="1"/>
  <c r="AH138" i="1" s="1"/>
  <c r="V138" i="1"/>
  <c r="W130" i="1"/>
  <c r="X130" i="1" s="1"/>
  <c r="AE130" i="1" s="1"/>
  <c r="V130" i="1"/>
  <c r="W121" i="1"/>
  <c r="X121" i="1" s="1"/>
  <c r="V121" i="1"/>
  <c r="W211" i="1"/>
  <c r="X211" i="1" s="1"/>
  <c r="V211" i="1"/>
  <c r="W238" i="1"/>
  <c r="X238" i="1" s="1"/>
  <c r="V238" i="1"/>
  <c r="V295" i="1"/>
  <c r="W295" i="1"/>
  <c r="V367" i="1"/>
  <c r="W367" i="1"/>
  <c r="V52" i="1"/>
  <c r="W52" i="1"/>
  <c r="W111" i="1"/>
  <c r="X111" i="1" s="1"/>
  <c r="V111" i="1"/>
  <c r="W64" i="1"/>
  <c r="X64" i="1" s="1"/>
  <c r="V64" i="1"/>
  <c r="W170" i="1"/>
  <c r="X170" i="1" s="1"/>
  <c r="V170" i="1"/>
  <c r="W162" i="1"/>
  <c r="X162" i="1" s="1"/>
  <c r="V162" i="1"/>
  <c r="W154" i="1"/>
  <c r="X154" i="1" s="1"/>
  <c r="V154" i="1"/>
  <c r="W146" i="1"/>
  <c r="X146" i="1" s="1"/>
  <c r="V146" i="1"/>
  <c r="W137" i="1"/>
  <c r="X137" i="1" s="1"/>
  <c r="V137" i="1"/>
  <c r="W129" i="1"/>
  <c r="X129" i="1" s="1"/>
  <c r="V129" i="1"/>
  <c r="W120" i="1"/>
  <c r="X120" i="1" s="1"/>
  <c r="V120" i="1"/>
  <c r="W190" i="1"/>
  <c r="X190" i="1" s="1"/>
  <c r="V190" i="1"/>
  <c r="W49" i="1"/>
  <c r="X49" i="1" s="1"/>
  <c r="V49" i="1"/>
  <c r="W109" i="1"/>
  <c r="X109" i="1" s="1"/>
  <c r="V109" i="1"/>
  <c r="W169" i="1"/>
  <c r="X169" i="1" s="1"/>
  <c r="V169" i="1"/>
  <c r="W161" i="1"/>
  <c r="X161" i="1" s="1"/>
  <c r="V161" i="1"/>
  <c r="W153" i="1"/>
  <c r="X153" i="1" s="1"/>
  <c r="V153" i="1"/>
  <c r="W145" i="1"/>
  <c r="X145" i="1" s="1"/>
  <c r="V145" i="1"/>
  <c r="W136" i="1"/>
  <c r="X136" i="1" s="1"/>
  <c r="V136" i="1"/>
  <c r="W127" i="1"/>
  <c r="X127" i="1" s="1"/>
  <c r="V127" i="1"/>
  <c r="W186" i="1"/>
  <c r="X186" i="1" s="1"/>
  <c r="V186" i="1"/>
  <c r="W46" i="1"/>
  <c r="X46" i="1" s="1"/>
  <c r="V46" i="1"/>
  <c r="W102" i="1"/>
  <c r="X102" i="1" s="1"/>
  <c r="V102" i="1"/>
  <c r="W168" i="1"/>
  <c r="X168" i="1" s="1"/>
  <c r="V168" i="1"/>
  <c r="W160" i="1"/>
  <c r="X160" i="1" s="1"/>
  <c r="AE160" i="1" s="1"/>
  <c r="AH160" i="1" s="1"/>
  <c r="V160" i="1"/>
  <c r="W152" i="1"/>
  <c r="X152" i="1" s="1"/>
  <c r="V152" i="1"/>
  <c r="W144" i="1"/>
  <c r="X144" i="1" s="1"/>
  <c r="AE144" i="1" s="1"/>
  <c r="AI144" i="1" s="1"/>
  <c r="V144" i="1"/>
  <c r="W135" i="1"/>
  <c r="X135" i="1" s="1"/>
  <c r="V135" i="1"/>
  <c r="W126" i="1"/>
  <c r="X126" i="1" s="1"/>
  <c r="V126" i="1"/>
  <c r="W185" i="1"/>
  <c r="X185" i="1" s="1"/>
  <c r="V185" i="1"/>
  <c r="V339" i="1"/>
  <c r="W339" i="1"/>
  <c r="W41" i="1"/>
  <c r="X41" i="1" s="1"/>
  <c r="V41" i="1"/>
  <c r="W98" i="1"/>
  <c r="X98" i="1" s="1"/>
  <c r="AE98" i="1" s="1"/>
  <c r="AH98" i="1" s="1"/>
  <c r="V98" i="1"/>
  <c r="W167" i="1"/>
  <c r="X167" i="1" s="1"/>
  <c r="AE167" i="1" s="1"/>
  <c r="AH167" i="1" s="1"/>
  <c r="V167" i="1"/>
  <c r="W159" i="1"/>
  <c r="X159" i="1" s="1"/>
  <c r="AE159" i="1" s="1"/>
  <c r="AI159" i="1" s="1"/>
  <c r="V159" i="1"/>
  <c r="W151" i="1"/>
  <c r="X151" i="1" s="1"/>
  <c r="V151" i="1"/>
  <c r="W142" i="1"/>
  <c r="X142" i="1" s="1"/>
  <c r="AE142" i="1" s="1"/>
  <c r="V142" i="1"/>
  <c r="W134" i="1"/>
  <c r="X134" i="1" s="1"/>
  <c r="V134" i="1"/>
  <c r="W125" i="1"/>
  <c r="X125" i="1" s="1"/>
  <c r="V125" i="1"/>
  <c r="W181" i="1"/>
  <c r="X181" i="1" s="1"/>
  <c r="V181" i="1"/>
  <c r="W280" i="1"/>
  <c r="X280" i="1" s="1"/>
  <c r="V280" i="1"/>
  <c r="V337" i="1"/>
  <c r="W337" i="1"/>
  <c r="V396" i="1"/>
  <c r="W396" i="1"/>
  <c r="W36" i="1"/>
  <c r="X36" i="1" s="1"/>
  <c r="V36" i="1"/>
  <c r="W93" i="1"/>
  <c r="X93" i="1" s="1"/>
  <c r="AE93" i="1" s="1"/>
  <c r="AI93" i="1" s="1"/>
  <c r="V93" i="1"/>
  <c r="W176" i="1"/>
  <c r="X176" i="1" s="1"/>
  <c r="V176" i="1"/>
  <c r="W166" i="1"/>
  <c r="X166" i="1" s="1"/>
  <c r="V166" i="1"/>
  <c r="W158" i="1"/>
  <c r="X158" i="1" s="1"/>
  <c r="V158" i="1"/>
  <c r="W150" i="1"/>
  <c r="X150" i="1" s="1"/>
  <c r="AE150" i="1" s="1"/>
  <c r="V150" i="1"/>
  <c r="W141" i="1"/>
  <c r="X141" i="1" s="1"/>
  <c r="V141" i="1"/>
  <c r="W133" i="1"/>
  <c r="X133" i="1" s="1"/>
  <c r="V133" i="1"/>
  <c r="W124" i="1"/>
  <c r="X124" i="1" s="1"/>
  <c r="V124" i="1"/>
  <c r="W232" i="1"/>
  <c r="X232" i="1" s="1"/>
  <c r="AE232" i="1" s="1"/>
  <c r="AI232" i="1" s="1"/>
  <c r="V232" i="1"/>
  <c r="W269" i="1"/>
  <c r="X269" i="1" s="1"/>
  <c r="V269" i="1"/>
  <c r="V326" i="1"/>
  <c r="W326" i="1"/>
  <c r="V385" i="1"/>
  <c r="W385" i="1"/>
  <c r="W56" i="1"/>
  <c r="X56" i="1" s="1"/>
  <c r="V56" i="1"/>
  <c r="W10" i="1"/>
  <c r="X10" i="1" s="1"/>
  <c r="AE10" i="1" s="1"/>
  <c r="AI10" i="1" s="1"/>
  <c r="V10" i="1"/>
  <c r="W86" i="1"/>
  <c r="X86" i="1" s="1"/>
  <c r="V86" i="1"/>
  <c r="W175" i="1"/>
  <c r="X175" i="1" s="1"/>
  <c r="AE175" i="1" s="1"/>
  <c r="AI175" i="1" s="1"/>
  <c r="V175" i="1"/>
  <c r="W165" i="1"/>
  <c r="X165" i="1" s="1"/>
  <c r="V165" i="1"/>
  <c r="W157" i="1"/>
  <c r="X157" i="1" s="1"/>
  <c r="V157" i="1"/>
  <c r="W149" i="1"/>
  <c r="X149" i="1" s="1"/>
  <c r="V149" i="1"/>
  <c r="V140" i="1"/>
  <c r="W140" i="1"/>
  <c r="W132" i="1"/>
  <c r="X132" i="1" s="1"/>
  <c r="V132" i="1"/>
  <c r="W123" i="1"/>
  <c r="X123" i="1" s="1"/>
  <c r="V123" i="1"/>
  <c r="W223" i="1"/>
  <c r="X223" i="1" s="1"/>
  <c r="AE223" i="1" s="1"/>
  <c r="AH223" i="1" s="1"/>
  <c r="V223" i="1"/>
  <c r="W268" i="1"/>
  <c r="X268" i="1" s="1"/>
  <c r="V268" i="1"/>
  <c r="W325" i="1"/>
  <c r="X325" i="1" s="1"/>
  <c r="AE325" i="1" s="1"/>
  <c r="AH325" i="1" s="1"/>
  <c r="V325" i="1"/>
  <c r="W384" i="1"/>
  <c r="X384" i="1" s="1"/>
  <c r="V384" i="1"/>
  <c r="W55" i="1"/>
  <c r="X55" i="1" s="1"/>
  <c r="V55" i="1"/>
  <c r="W76" i="1"/>
  <c r="X76" i="1" s="1"/>
  <c r="V76" i="1"/>
  <c r="W174" i="1"/>
  <c r="X174" i="1" s="1"/>
  <c r="V174" i="1"/>
  <c r="W164" i="1"/>
  <c r="X164" i="1" s="1"/>
  <c r="V164" i="1"/>
  <c r="W156" i="1"/>
  <c r="X156" i="1" s="1"/>
  <c r="V156" i="1"/>
  <c r="W148" i="1"/>
  <c r="X148" i="1" s="1"/>
  <c r="V148" i="1"/>
  <c r="W139" i="1"/>
  <c r="X139" i="1" s="1"/>
  <c r="V139" i="1"/>
  <c r="W131" i="1"/>
  <c r="X131" i="1" s="1"/>
  <c r="V131" i="1"/>
  <c r="W122" i="1"/>
  <c r="X122" i="1" s="1"/>
  <c r="AE122" i="1" s="1"/>
  <c r="V122" i="1"/>
  <c r="W212" i="1"/>
  <c r="X212" i="1" s="1"/>
  <c r="V212" i="1"/>
  <c r="W247" i="1"/>
  <c r="X247" i="1" s="1"/>
  <c r="V247" i="1"/>
  <c r="W304" i="1"/>
  <c r="X304" i="1" s="1"/>
  <c r="V304" i="1"/>
  <c r="W376" i="1"/>
  <c r="X376" i="1" s="1"/>
  <c r="V376" i="1"/>
  <c r="AE158" i="1"/>
  <c r="AE154" i="1"/>
  <c r="AI154" i="1" s="1"/>
  <c r="AE168" i="1"/>
  <c r="AE132" i="1"/>
  <c r="AH132" i="1" s="1"/>
  <c r="AE176" i="1"/>
  <c r="AE146" i="1"/>
  <c r="AH146" i="1" s="1"/>
  <c r="AE280" i="1"/>
  <c r="AH280" i="1" s="1"/>
  <c r="AE102" i="1"/>
  <c r="AH102" i="1" s="1"/>
  <c r="AE127" i="1"/>
  <c r="AE134" i="1"/>
  <c r="AE54" i="1"/>
  <c r="AE86" i="1"/>
  <c r="AH86" i="1" s="1"/>
  <c r="AE148" i="1"/>
  <c r="AE126" i="1"/>
  <c r="AH126" i="1" s="1"/>
  <c r="AE268" i="1"/>
  <c r="AI268" i="1" s="1"/>
  <c r="AC282" i="1"/>
  <c r="AD282" i="1" s="1"/>
  <c r="S282" i="1"/>
  <c r="R68" i="1"/>
  <c r="AA68" i="1" s="1"/>
  <c r="R87" i="1"/>
  <c r="AA87" i="1" s="1"/>
  <c r="R200" i="1"/>
  <c r="AA200" i="1" s="1"/>
  <c r="S381" i="1"/>
  <c r="AB381" i="1" s="1"/>
  <c r="R365" i="1"/>
  <c r="AA365" i="1" s="1"/>
  <c r="R348" i="1"/>
  <c r="AA348" i="1" s="1"/>
  <c r="R390" i="1"/>
  <c r="AA390" i="1" s="1"/>
  <c r="S405" i="1"/>
  <c r="R405" i="1"/>
  <c r="AA405" i="1" s="1"/>
  <c r="R397" i="1"/>
  <c r="AA397" i="1" s="1"/>
  <c r="R382" i="1"/>
  <c r="AA382" i="1" s="1"/>
  <c r="R264" i="1"/>
  <c r="AA264" i="1" s="1"/>
  <c r="R363" i="1"/>
  <c r="AA363" i="1" s="1"/>
  <c r="R257" i="1"/>
  <c r="AA257" i="1" s="1"/>
  <c r="R398" i="1"/>
  <c r="R383" i="1"/>
  <c r="AA383" i="1" s="1"/>
  <c r="R349" i="1"/>
  <c r="AA349" i="1" s="1"/>
  <c r="R375" i="1"/>
  <c r="AA375" i="1" s="1"/>
  <c r="R391" i="1"/>
  <c r="AA391" i="1" s="1"/>
  <c r="R394" i="1"/>
  <c r="AA394" i="1" s="1"/>
  <c r="R372" i="1"/>
  <c r="AA372" i="1" s="1"/>
  <c r="R386" i="1"/>
  <c r="AA386" i="1" s="1"/>
  <c r="R368" i="1"/>
  <c r="S368" i="1" s="1"/>
  <c r="R387" i="1"/>
  <c r="AA387" i="1" s="1"/>
  <c r="S366" i="1"/>
  <c r="AB366" i="1" s="1"/>
  <c r="R321" i="1"/>
  <c r="AA321" i="1" s="1"/>
  <c r="R381" i="1"/>
  <c r="R314" i="1"/>
  <c r="AA314" i="1" s="1"/>
  <c r="S375" i="1"/>
  <c r="R370" i="1"/>
  <c r="R366" i="1"/>
  <c r="AA366" i="1" s="1"/>
  <c r="R378" i="1"/>
  <c r="R362" i="1"/>
  <c r="S362" i="1" s="1"/>
  <c r="R360" i="1"/>
  <c r="AA360" i="1" s="1"/>
  <c r="R359" i="1"/>
  <c r="R354" i="1"/>
  <c r="AA354" i="1" s="1"/>
  <c r="S352" i="1"/>
  <c r="AB352" i="1" s="1"/>
  <c r="R356" i="1"/>
  <c r="AA356" i="1" s="1"/>
  <c r="S351" i="1"/>
  <c r="AB351" i="1" s="1"/>
  <c r="R389" i="1"/>
  <c r="AA389" i="1" s="1"/>
  <c r="R352" i="1"/>
  <c r="R379" i="1"/>
  <c r="AA379" i="1" s="1"/>
  <c r="R351" i="1"/>
  <c r="R392" i="1"/>
  <c r="AA392" i="1" s="1"/>
  <c r="R399" i="1"/>
  <c r="AA399" i="1" s="1"/>
  <c r="R60" i="1"/>
  <c r="AA60" i="1" s="1"/>
  <c r="R207" i="1"/>
  <c r="R345" i="1"/>
  <c r="S345" i="1" s="1"/>
  <c r="R373" i="1"/>
  <c r="AA373" i="1" s="1"/>
  <c r="R288" i="1"/>
  <c r="S288" i="1" s="1"/>
  <c r="R343" i="1"/>
  <c r="S343" i="1" s="1"/>
  <c r="AB343" i="1" s="1"/>
  <c r="R231" i="1"/>
  <c r="AA231" i="1" s="1"/>
  <c r="R404" i="1"/>
  <c r="R117" i="1"/>
  <c r="AA117" i="1" s="1"/>
  <c r="R402" i="1"/>
  <c r="AA402" i="1" s="1"/>
  <c r="R341" i="1"/>
  <c r="S341" i="1" s="1"/>
  <c r="R400" i="1"/>
  <c r="AA400" i="1" s="1"/>
  <c r="R340" i="1"/>
  <c r="AA340" i="1" s="1"/>
  <c r="R334" i="1"/>
  <c r="AA334" i="1" s="1"/>
  <c r="R330" i="1"/>
  <c r="AA330" i="1" s="1"/>
  <c r="R335" i="1"/>
  <c r="AA335" i="1" s="1"/>
  <c r="R316" i="1"/>
  <c r="AA316" i="1" s="1"/>
  <c r="R377" i="1"/>
  <c r="AA377" i="1" s="1"/>
  <c r="R393" i="1"/>
  <c r="S242" i="1"/>
  <c r="AB242" i="1" s="1"/>
  <c r="R333" i="1"/>
  <c r="S333" i="1" s="1"/>
  <c r="R374" i="1"/>
  <c r="AA374" i="1" s="1"/>
  <c r="R317" i="1"/>
  <c r="R364" i="1"/>
  <c r="AA364" i="1" s="1"/>
  <c r="R361" i="1"/>
  <c r="AA361" i="1" s="1"/>
  <c r="R302" i="1"/>
  <c r="AA302" i="1" s="1"/>
  <c r="R298" i="1"/>
  <c r="AA298" i="1" s="1"/>
  <c r="R331" i="1"/>
  <c r="AA331" i="1" s="1"/>
  <c r="R315" i="1"/>
  <c r="AA315" i="1" s="1"/>
  <c r="R329" i="1"/>
  <c r="AA329" i="1" s="1"/>
  <c r="R309" i="1"/>
  <c r="AA309" i="1" s="1"/>
  <c r="R303" i="1"/>
  <c r="AA303" i="1" s="1"/>
  <c r="R310" i="1"/>
  <c r="AA310" i="1" s="1"/>
  <c r="R371" i="1"/>
  <c r="AA371" i="1" s="1"/>
  <c r="R306" i="1"/>
  <c r="S306" i="1" s="1"/>
  <c r="R350" i="1"/>
  <c r="AA350" i="1" s="1"/>
  <c r="R313" i="1"/>
  <c r="AA313" i="1" s="1"/>
  <c r="R300" i="1"/>
  <c r="AA300" i="1" s="1"/>
  <c r="R242" i="1"/>
  <c r="R323" i="1"/>
  <c r="AA323" i="1" s="1"/>
  <c r="R318" i="1"/>
  <c r="AA318" i="1" s="1"/>
  <c r="R322" i="1"/>
  <c r="AA322" i="1" s="1"/>
  <c r="R307" i="1"/>
  <c r="AA307" i="1" s="1"/>
  <c r="R299" i="1"/>
  <c r="AA299" i="1" s="1"/>
  <c r="R328" i="1"/>
  <c r="AA328" i="1" s="1"/>
  <c r="R320" i="1"/>
  <c r="AA320" i="1" s="1"/>
  <c r="R312" i="1"/>
  <c r="AA312" i="1" s="1"/>
  <c r="R305" i="1"/>
  <c r="AA305" i="1" s="1"/>
  <c r="R297" i="1"/>
  <c r="AA297" i="1" s="1"/>
  <c r="R327" i="1"/>
  <c r="AA327" i="1" s="1"/>
  <c r="R319" i="1"/>
  <c r="AA319" i="1" s="1"/>
  <c r="R311" i="1"/>
  <c r="AA311" i="1" s="1"/>
  <c r="R296" i="1"/>
  <c r="AA296" i="1" s="1"/>
  <c r="R353" i="1"/>
  <c r="R324" i="1"/>
  <c r="AA324" i="1" s="1"/>
  <c r="R308" i="1"/>
  <c r="AA308" i="1" s="1"/>
  <c r="R301" i="1"/>
  <c r="AA301" i="1" s="1"/>
  <c r="R293" i="1"/>
  <c r="R406" i="1"/>
  <c r="AA406" i="1" s="1"/>
  <c r="R395" i="1"/>
  <c r="AA395" i="1" s="1"/>
  <c r="R358" i="1"/>
  <c r="R369" i="1"/>
  <c r="S369" i="1" s="1"/>
  <c r="R388" i="1"/>
  <c r="R58" i="1"/>
  <c r="AA58" i="1" s="1"/>
  <c r="R225" i="1"/>
  <c r="R258" i="1"/>
  <c r="AA258" i="1" s="1"/>
  <c r="R355" i="1"/>
  <c r="AA355" i="1" s="1"/>
  <c r="S112" i="1"/>
  <c r="AB112" i="1" s="1"/>
  <c r="R229" i="1"/>
  <c r="AA229" i="1" s="1"/>
  <c r="R281" i="1"/>
  <c r="AA281" i="1" s="1"/>
  <c r="R278" i="1"/>
  <c r="AA278" i="1" s="1"/>
  <c r="S227" i="1"/>
  <c r="R115" i="1"/>
  <c r="AA115" i="1" s="1"/>
  <c r="R112" i="1"/>
  <c r="AA112" i="1" s="1"/>
  <c r="R227" i="1"/>
  <c r="AA227" i="1" s="1"/>
  <c r="R286" i="1"/>
  <c r="R252" i="1"/>
  <c r="AA252" i="1" s="1"/>
  <c r="R226" i="1"/>
  <c r="AA226" i="1" s="1"/>
  <c r="R283" i="1"/>
  <c r="AA283" i="1" s="1"/>
  <c r="R221" i="1"/>
  <c r="AA221" i="1" s="1"/>
  <c r="R284" i="1"/>
  <c r="AA284" i="1" s="1"/>
  <c r="R342" i="1"/>
  <c r="AA342" i="1" s="1"/>
  <c r="R182" i="1"/>
  <c r="AA182" i="1" s="1"/>
  <c r="R50" i="1"/>
  <c r="AA50" i="1" s="1"/>
  <c r="R106" i="1"/>
  <c r="AA106" i="1" s="1"/>
  <c r="S118" i="1"/>
  <c r="AB118" i="1" s="1"/>
  <c r="R105" i="1"/>
  <c r="AA105" i="1" s="1"/>
  <c r="R277" i="1"/>
  <c r="AA277" i="1" s="1"/>
  <c r="S106" i="1"/>
  <c r="AB106" i="1" s="1"/>
  <c r="R107" i="1"/>
  <c r="AA107" i="1" s="1"/>
  <c r="R220" i="1"/>
  <c r="S220" i="1" s="1"/>
  <c r="R233" i="1"/>
  <c r="AA233" i="1" s="1"/>
  <c r="R219" i="1"/>
  <c r="AA219" i="1" s="1"/>
  <c r="S45" i="1"/>
  <c r="AB45" i="1" s="1"/>
  <c r="R48" i="1"/>
  <c r="AA48" i="1" s="1"/>
  <c r="R347" i="1"/>
  <c r="AA347" i="1" s="1"/>
  <c r="R103" i="1"/>
  <c r="AA103" i="1" s="1"/>
  <c r="R265" i="1"/>
  <c r="AA265" i="1" s="1"/>
  <c r="R250" i="1"/>
  <c r="AA250" i="1" s="1"/>
  <c r="R346" i="1"/>
  <c r="AA346" i="1" s="1"/>
  <c r="R338" i="1"/>
  <c r="AA338" i="1" s="1"/>
  <c r="R202" i="1"/>
  <c r="AA202" i="1" s="1"/>
  <c r="R179" i="1"/>
  <c r="AA179" i="1" s="1"/>
  <c r="R260" i="1"/>
  <c r="AA260" i="1" s="1"/>
  <c r="R344" i="1"/>
  <c r="AA344" i="1" s="1"/>
  <c r="R336" i="1"/>
  <c r="AA336" i="1" s="1"/>
  <c r="R276" i="1"/>
  <c r="AA276" i="1" s="1"/>
  <c r="R254" i="1"/>
  <c r="AA254" i="1" s="1"/>
  <c r="R216" i="1"/>
  <c r="AA216" i="1" s="1"/>
  <c r="R45" i="1"/>
  <c r="AA45" i="1" s="1"/>
  <c r="R289" i="1"/>
  <c r="AA289" i="1" s="1"/>
  <c r="R332" i="1"/>
  <c r="AA332" i="1" s="1"/>
  <c r="R32" i="1"/>
  <c r="AA32" i="1" s="1"/>
  <c r="R273" i="1"/>
  <c r="R17" i="1"/>
  <c r="AA17" i="1" s="1"/>
  <c r="R275" i="1"/>
  <c r="AA275" i="1" s="1"/>
  <c r="R30" i="1"/>
  <c r="AA30" i="1" s="1"/>
  <c r="R245" i="1"/>
  <c r="AA245" i="1" s="1"/>
  <c r="S103" i="1"/>
  <c r="AB103" i="1" s="1"/>
  <c r="S72" i="1"/>
  <c r="AB72" i="1" s="1"/>
  <c r="R18" i="1"/>
  <c r="AA18" i="1" s="1"/>
  <c r="R89" i="1"/>
  <c r="AA89" i="1" s="1"/>
  <c r="R203" i="1"/>
  <c r="R253" i="1"/>
  <c r="AA253" i="1" s="1"/>
  <c r="S95" i="1"/>
  <c r="AB95" i="1" s="1"/>
  <c r="R201" i="1"/>
  <c r="AA201" i="1" s="1"/>
  <c r="R251" i="1"/>
  <c r="AA251" i="1" s="1"/>
  <c r="R15" i="1"/>
  <c r="AA15" i="1" s="1"/>
  <c r="R261" i="1"/>
  <c r="AA261" i="1" s="1"/>
  <c r="S251" i="1"/>
  <c r="AB251" i="1" s="1"/>
  <c r="R267" i="1"/>
  <c r="AA267" i="1" s="1"/>
  <c r="R244" i="1"/>
  <c r="AA244" i="1" s="1"/>
  <c r="S88" i="1"/>
  <c r="R110" i="1"/>
  <c r="AA110" i="1" s="1"/>
  <c r="R285" i="1"/>
  <c r="AA285" i="1" s="1"/>
  <c r="S87" i="1"/>
  <c r="AB87" i="1" s="1"/>
  <c r="R118" i="1"/>
  <c r="AA118" i="1" s="1"/>
  <c r="R95" i="1"/>
  <c r="AA95" i="1" s="1"/>
  <c r="R72" i="1"/>
  <c r="AA72" i="1" s="1"/>
  <c r="R262" i="1"/>
  <c r="AA262" i="1" s="1"/>
  <c r="R31" i="1"/>
  <c r="AA31" i="1" s="1"/>
  <c r="R116" i="1"/>
  <c r="AA116" i="1" s="1"/>
  <c r="S110" i="1"/>
  <c r="AB110" i="1" s="1"/>
  <c r="S78" i="1"/>
  <c r="AB78" i="1" s="1"/>
  <c r="R88" i="1"/>
  <c r="R290" i="1"/>
  <c r="AA290" i="1" s="1"/>
  <c r="R259" i="1"/>
  <c r="AA259" i="1" s="1"/>
  <c r="R33" i="1"/>
  <c r="AA33" i="1" s="1"/>
  <c r="R239" i="1"/>
  <c r="R71" i="1"/>
  <c r="AA71" i="1" s="1"/>
  <c r="R270" i="1"/>
  <c r="AA270" i="1" s="1"/>
  <c r="R25" i="1"/>
  <c r="AA25" i="1" s="1"/>
  <c r="R99" i="1"/>
  <c r="AA99" i="1" s="1"/>
  <c r="R24" i="1"/>
  <c r="AA24" i="1" s="1"/>
  <c r="R38" i="1"/>
  <c r="AA38" i="1" s="1"/>
  <c r="R108" i="1"/>
  <c r="AA108" i="1" s="1"/>
  <c r="R79" i="1"/>
  <c r="AA79" i="1" s="1"/>
  <c r="R246" i="1"/>
  <c r="AA246" i="1" s="1"/>
  <c r="R29" i="1"/>
  <c r="AA29" i="1" s="1"/>
  <c r="R14" i="1"/>
  <c r="AA14" i="1" s="1"/>
  <c r="R28" i="1"/>
  <c r="AA28" i="1" s="1"/>
  <c r="S68" i="1"/>
  <c r="AB68" i="1" s="1"/>
  <c r="R92" i="1"/>
  <c r="AA92" i="1" s="1"/>
  <c r="R78" i="1"/>
  <c r="AA78" i="1" s="1"/>
  <c r="R287" i="1"/>
  <c r="AA287" i="1" s="1"/>
  <c r="R279" i="1"/>
  <c r="AA279" i="1" s="1"/>
  <c r="R272" i="1"/>
  <c r="AA272" i="1" s="1"/>
  <c r="R256" i="1"/>
  <c r="AA256" i="1" s="1"/>
  <c r="R249" i="1"/>
  <c r="S249" i="1" s="1"/>
  <c r="R241" i="1"/>
  <c r="AA241" i="1" s="1"/>
  <c r="R13" i="1"/>
  <c r="AA13" i="1" s="1"/>
  <c r="R35" i="1"/>
  <c r="AA35" i="1" s="1"/>
  <c r="R27" i="1"/>
  <c r="AA27" i="1" s="1"/>
  <c r="R20" i="1"/>
  <c r="AA20" i="1" s="1"/>
  <c r="R12" i="1"/>
  <c r="AA12" i="1" s="1"/>
  <c r="S100" i="1"/>
  <c r="AB100" i="1" s="1"/>
  <c r="S85" i="1"/>
  <c r="AB85" i="1" s="1"/>
  <c r="R77" i="1"/>
  <c r="AA77" i="1" s="1"/>
  <c r="R271" i="1"/>
  <c r="AA271" i="1" s="1"/>
  <c r="R263" i="1"/>
  <c r="AA263" i="1" s="1"/>
  <c r="R255" i="1"/>
  <c r="AA255" i="1" s="1"/>
  <c r="R248" i="1"/>
  <c r="AA248" i="1" s="1"/>
  <c r="R240" i="1"/>
  <c r="AA240" i="1" s="1"/>
  <c r="R37" i="1"/>
  <c r="AA37" i="1" s="1"/>
  <c r="R21" i="1"/>
  <c r="AA21" i="1" s="1"/>
  <c r="R34" i="1"/>
  <c r="AA34" i="1" s="1"/>
  <c r="R26" i="1"/>
  <c r="AA26" i="1" s="1"/>
  <c r="R19" i="1"/>
  <c r="AA19" i="1" s="1"/>
  <c r="R11" i="1"/>
  <c r="AA11" i="1" s="1"/>
  <c r="S84" i="1"/>
  <c r="AB84" i="1" s="1"/>
  <c r="S248" i="1"/>
  <c r="AB248" i="1" s="1"/>
  <c r="R22" i="1"/>
  <c r="AA22" i="1" s="1"/>
  <c r="R100" i="1"/>
  <c r="AA100" i="1" s="1"/>
  <c r="R192" i="1"/>
  <c r="AA192" i="1" s="1"/>
  <c r="R39" i="1"/>
  <c r="AA39" i="1" s="1"/>
  <c r="R23" i="1"/>
  <c r="AA23" i="1" s="1"/>
  <c r="R16" i="1"/>
  <c r="AA16" i="1" s="1"/>
  <c r="S77" i="1"/>
  <c r="AB77" i="1" s="1"/>
  <c r="R84" i="1"/>
  <c r="AA84" i="1" s="1"/>
  <c r="R274" i="1"/>
  <c r="AA274" i="1" s="1"/>
  <c r="R266" i="1"/>
  <c r="AA266" i="1" s="1"/>
  <c r="R243" i="1"/>
  <c r="R8" i="1"/>
  <c r="AA8" i="1" s="1"/>
  <c r="S92" i="1"/>
  <c r="AB92" i="1" s="1"/>
  <c r="S79" i="1"/>
  <c r="AB79" i="1" s="1"/>
  <c r="R94" i="1"/>
  <c r="AA94" i="1" s="1"/>
  <c r="R85" i="1"/>
  <c r="AA85" i="1" s="1"/>
  <c r="R75" i="1"/>
  <c r="AA75" i="1" s="1"/>
  <c r="R189" i="1"/>
  <c r="S189" i="1" s="1"/>
  <c r="R83" i="1"/>
  <c r="AA83" i="1" s="1"/>
  <c r="R62" i="1"/>
  <c r="AA62" i="1" s="1"/>
  <c r="S108" i="1"/>
  <c r="AB108" i="1" s="1"/>
  <c r="R101" i="1"/>
  <c r="R91" i="1"/>
  <c r="AA91" i="1" s="1"/>
  <c r="R70" i="1"/>
  <c r="AA70" i="1" s="1"/>
  <c r="R236" i="1"/>
  <c r="AA236" i="1" s="1"/>
  <c r="S75" i="1"/>
  <c r="S94" i="1"/>
  <c r="AB94" i="1" s="1"/>
  <c r="S70" i="1"/>
  <c r="AB70" i="1" s="1"/>
  <c r="R114" i="1"/>
  <c r="AA114" i="1" s="1"/>
  <c r="R42" i="1"/>
  <c r="AA42" i="1" s="1"/>
  <c r="R90" i="1"/>
  <c r="AA90" i="1" s="1"/>
  <c r="R82" i="1"/>
  <c r="AA82" i="1" s="1"/>
  <c r="S91" i="1"/>
  <c r="AB91" i="1" s="1"/>
  <c r="R57" i="1"/>
  <c r="AA57" i="1" s="1"/>
  <c r="S90" i="1"/>
  <c r="AB90" i="1" s="1"/>
  <c r="S82" i="1"/>
  <c r="AB82" i="1" s="1"/>
  <c r="R119" i="1"/>
  <c r="AA119" i="1" s="1"/>
  <c r="R104" i="1"/>
  <c r="AA104" i="1" s="1"/>
  <c r="R96" i="1"/>
  <c r="AA96" i="1" s="1"/>
  <c r="R80" i="1"/>
  <c r="AA80" i="1" s="1"/>
  <c r="R73" i="1"/>
  <c r="AA73" i="1" s="1"/>
  <c r="S99" i="1"/>
  <c r="AB99" i="1" s="1"/>
  <c r="R97" i="1"/>
  <c r="AA97" i="1" s="1"/>
  <c r="R74" i="1"/>
  <c r="AA74" i="1" s="1"/>
  <c r="R47" i="1"/>
  <c r="AA47" i="1" s="1"/>
  <c r="S97" i="1"/>
  <c r="AB97" i="1" s="1"/>
  <c r="S81" i="1"/>
  <c r="AB81" i="1" s="1"/>
  <c r="S74" i="1"/>
  <c r="AB74" i="1" s="1"/>
  <c r="R128" i="1"/>
  <c r="AA128" i="1" s="1"/>
  <c r="R81" i="1"/>
  <c r="AA81" i="1" s="1"/>
  <c r="S119" i="1"/>
  <c r="AB119" i="1" s="1"/>
  <c r="S104" i="1"/>
  <c r="AB104" i="1" s="1"/>
  <c r="S96" i="1"/>
  <c r="AB96" i="1" s="1"/>
  <c r="S80" i="1"/>
  <c r="AB80" i="1" s="1"/>
  <c r="S73" i="1"/>
  <c r="AB73" i="1" s="1"/>
  <c r="R53" i="1"/>
  <c r="AA53" i="1" s="1"/>
  <c r="R59" i="1"/>
  <c r="AA59" i="1" s="1"/>
  <c r="R51" i="1"/>
  <c r="AA51" i="1" s="1"/>
  <c r="R44" i="1"/>
  <c r="AA44" i="1" s="1"/>
  <c r="R43" i="1"/>
  <c r="AA43" i="1" s="1"/>
  <c r="R61" i="1"/>
  <c r="AA61" i="1" s="1"/>
  <c r="S65" i="1"/>
  <c r="AB65" i="1" s="1"/>
  <c r="R65" i="1"/>
  <c r="R230" i="1"/>
  <c r="AA230" i="1" s="1"/>
  <c r="R40" i="1"/>
  <c r="AA40" i="1" s="1"/>
  <c r="R171" i="1"/>
  <c r="AA171" i="1" s="1"/>
  <c r="S289" i="1"/>
  <c r="AB289" i="1" s="1"/>
  <c r="R228" i="1"/>
  <c r="AA228" i="1" s="1"/>
  <c r="S233" i="1"/>
  <c r="S222" i="1"/>
  <c r="AB222" i="1" s="1"/>
  <c r="R222" i="1"/>
  <c r="AA222" i="1" s="1"/>
  <c r="S403" i="1"/>
  <c r="AB403" i="1" s="1"/>
  <c r="R403" i="1"/>
  <c r="R173" i="1"/>
  <c r="R401" i="1"/>
  <c r="S401" i="1" s="1"/>
  <c r="S205" i="1"/>
  <c r="AB205" i="1" s="1"/>
  <c r="R197" i="1"/>
  <c r="AA197" i="1" s="1"/>
  <c r="R205" i="1"/>
  <c r="AA205" i="1" s="1"/>
  <c r="R215" i="1"/>
  <c r="AA215" i="1" s="1"/>
  <c r="R204" i="1"/>
  <c r="AA204" i="1" s="1"/>
  <c r="R199" i="1"/>
  <c r="S199" i="1"/>
  <c r="AB199" i="1" s="1"/>
  <c r="AK295" i="1"/>
  <c r="R224" i="1"/>
  <c r="AA224" i="1" s="1"/>
  <c r="R184" i="1"/>
  <c r="AA184" i="1" s="1"/>
  <c r="S184" i="1"/>
  <c r="AB184" i="1" s="1"/>
  <c r="S217" i="1"/>
  <c r="AB217" i="1" s="1"/>
  <c r="S191" i="1"/>
  <c r="AB191" i="1" s="1"/>
  <c r="R191" i="1"/>
  <c r="AA191" i="1" s="1"/>
  <c r="AJ385" i="1"/>
  <c r="AK247" i="1"/>
  <c r="AK385" i="1"/>
  <c r="AK376" i="1"/>
  <c r="AK384" i="1"/>
  <c r="AK367" i="1"/>
  <c r="S346" i="1"/>
  <c r="AB346" i="1" s="1"/>
  <c r="S53" i="1"/>
  <c r="AB53" i="1" s="1"/>
  <c r="S224" i="1"/>
  <c r="AJ396" i="1"/>
  <c r="R218" i="1"/>
  <c r="AA218" i="1" s="1"/>
  <c r="S209" i="1"/>
  <c r="AB209" i="1" s="1"/>
  <c r="R213" i="1"/>
  <c r="AA213" i="1" s="1"/>
  <c r="R196" i="1"/>
  <c r="AA196" i="1" s="1"/>
  <c r="R217" i="1"/>
  <c r="AA217" i="1" s="1"/>
  <c r="S208" i="1"/>
  <c r="AB208" i="1" s="1"/>
  <c r="S214" i="1"/>
  <c r="S43" i="1"/>
  <c r="AB43" i="1" s="1"/>
  <c r="R210" i="1"/>
  <c r="AA210" i="1" s="1"/>
  <c r="R214" i="1"/>
  <c r="S42" i="1"/>
  <c r="AB42" i="1" s="1"/>
  <c r="R193" i="1"/>
  <c r="AA193" i="1" s="1"/>
  <c r="S38" i="1"/>
  <c r="R208" i="1"/>
  <c r="AA208" i="1" s="1"/>
  <c r="R209" i="1"/>
  <c r="AA209" i="1" s="1"/>
  <c r="S37" i="1"/>
  <c r="AB37" i="1" s="1"/>
  <c r="S24" i="1"/>
  <c r="AB24" i="1" s="1"/>
  <c r="S29" i="1"/>
  <c r="AB29" i="1" s="1"/>
  <c r="S198" i="1"/>
  <c r="S188" i="1"/>
  <c r="AB188" i="1" s="1"/>
  <c r="S23" i="1"/>
  <c r="AB23" i="1" s="1"/>
  <c r="S195" i="1"/>
  <c r="AB195" i="1" s="1"/>
  <c r="AJ174" i="1"/>
  <c r="AK211" i="1"/>
  <c r="AC143" i="1"/>
  <c r="AD143" i="1" s="1"/>
  <c r="AJ143" i="1"/>
  <c r="R198" i="1"/>
  <c r="S193" i="1"/>
  <c r="AB193" i="1" s="1"/>
  <c r="R188" i="1"/>
  <c r="AA188" i="1" s="1"/>
  <c r="Z178" i="1"/>
  <c r="S194" i="1"/>
  <c r="AB194" i="1" s="1"/>
  <c r="R195" i="1"/>
  <c r="AK169" i="1"/>
  <c r="AK162" i="1"/>
  <c r="AK154" i="1"/>
  <c r="AK146" i="1"/>
  <c r="R194" i="1"/>
  <c r="AA194" i="1" s="1"/>
  <c r="AJ376" i="1"/>
  <c r="S206" i="1"/>
  <c r="AB206" i="1" s="1"/>
  <c r="AJ176" i="1"/>
  <c r="R206" i="1"/>
  <c r="AA206" i="1" s="1"/>
  <c r="AJ153" i="1"/>
  <c r="S17" i="1"/>
  <c r="AJ166" i="1"/>
  <c r="AK280" i="1"/>
  <c r="AK304" i="1"/>
  <c r="AJ337" i="1"/>
  <c r="R187" i="1"/>
  <c r="AA187" i="1" s="1"/>
  <c r="S294" i="1"/>
  <c r="AB294" i="1" s="1"/>
  <c r="S178" i="1"/>
  <c r="AB178" i="1" s="1"/>
  <c r="S19" i="1"/>
  <c r="S7" i="1"/>
  <c r="AB7" i="1" s="1"/>
  <c r="R235" i="1"/>
  <c r="S235" i="1" s="1"/>
  <c r="AK138" i="1"/>
  <c r="AK131" i="1"/>
  <c r="S180" i="1"/>
  <c r="AB180" i="1" s="1"/>
  <c r="S9" i="1"/>
  <c r="AB9" i="1" s="1"/>
  <c r="R292" i="1"/>
  <c r="AA292" i="1" s="1"/>
  <c r="R9" i="1"/>
  <c r="AA9" i="1" s="1"/>
  <c r="S183" i="1"/>
  <c r="AB183" i="1" s="1"/>
  <c r="S12" i="1"/>
  <c r="AB12" i="1" s="1"/>
  <c r="S69" i="1"/>
  <c r="AB69" i="1" s="1"/>
  <c r="R69" i="1"/>
  <c r="AA69" i="1" s="1"/>
  <c r="R183" i="1"/>
  <c r="AA183" i="1" s="1"/>
  <c r="S66" i="1"/>
  <c r="AB66" i="1" s="1"/>
  <c r="S63" i="1"/>
  <c r="R66" i="1"/>
  <c r="AA66" i="1" s="1"/>
  <c r="R180" i="1"/>
  <c r="AA180" i="1" s="1"/>
  <c r="AJ247" i="1"/>
  <c r="R294" i="1"/>
  <c r="AA294" i="1" s="1"/>
  <c r="AJ185" i="1"/>
  <c r="R7" i="1"/>
  <c r="AA7" i="1" s="1"/>
  <c r="R237" i="1"/>
  <c r="S237" i="1" s="1"/>
  <c r="AK123" i="1"/>
  <c r="R291" i="1"/>
  <c r="AA291" i="1" s="1"/>
  <c r="AJ159" i="1"/>
  <c r="AJ151" i="1"/>
  <c r="AJ136" i="1"/>
  <c r="R63" i="1"/>
  <c r="AJ150" i="1"/>
  <c r="AK339" i="1"/>
  <c r="S6" i="1"/>
  <c r="AB6" i="1" s="1"/>
  <c r="S177" i="1"/>
  <c r="AJ137" i="1"/>
  <c r="AJ130" i="1"/>
  <c r="AJ122" i="1"/>
  <c r="R6" i="1"/>
  <c r="AA6" i="1" s="1"/>
  <c r="AK139" i="1"/>
  <c r="R177" i="1"/>
  <c r="AA177" i="1" s="1"/>
  <c r="R234" i="1"/>
  <c r="AA234" i="1" s="1"/>
  <c r="AJ120" i="1"/>
  <c r="AK190" i="1"/>
  <c r="AJ280" i="1"/>
  <c r="AK326" i="1"/>
  <c r="AK174" i="1"/>
  <c r="AK166" i="1"/>
  <c r="AK159" i="1"/>
  <c r="AK151" i="1"/>
  <c r="AK136" i="1"/>
  <c r="AK120" i="1"/>
  <c r="AJ169" i="1"/>
  <c r="AJ162" i="1"/>
  <c r="AJ154" i="1"/>
  <c r="AJ146" i="1"/>
  <c r="AJ138" i="1"/>
  <c r="AJ131" i="1"/>
  <c r="AJ123" i="1"/>
  <c r="AJ304" i="1"/>
  <c r="AJ367" i="1"/>
  <c r="AJ148" i="1"/>
  <c r="AK133" i="1"/>
  <c r="AJ384" i="1"/>
  <c r="AK337" i="1"/>
  <c r="AK396" i="1"/>
  <c r="AJ168" i="1"/>
  <c r="AJ161" i="1"/>
  <c r="AK145" i="1"/>
  <c r="AK137" i="1"/>
  <c r="AK164" i="1"/>
  <c r="AK156" i="1"/>
  <c r="AK140" i="1"/>
  <c r="AK223" i="1"/>
  <c r="AK185" i="1"/>
  <c r="AJ268" i="1"/>
  <c r="AJ223" i="1"/>
  <c r="AK102" i="1"/>
  <c r="AK325" i="1"/>
  <c r="AJ325" i="1"/>
  <c r="AJ339" i="1"/>
  <c r="AJ109" i="1"/>
  <c r="AJ102" i="1"/>
  <c r="AJ86" i="1"/>
  <c r="AK148" i="1"/>
  <c r="AK212" i="1"/>
  <c r="AK181" i="1"/>
  <c r="AJ93" i="1"/>
  <c r="AJ145" i="1"/>
  <c r="AK176" i="1"/>
  <c r="AK168" i="1"/>
  <c r="AK161" i="1"/>
  <c r="AK153" i="1"/>
  <c r="AK130" i="1"/>
  <c r="AK122" i="1"/>
  <c r="AJ156" i="1"/>
  <c r="AJ140" i="1"/>
  <c r="AJ133" i="1"/>
  <c r="AJ125" i="1"/>
  <c r="AJ190" i="1"/>
  <c r="AK269" i="1"/>
  <c r="AK238" i="1"/>
  <c r="AK268" i="1"/>
  <c r="AK109" i="1"/>
  <c r="AK86" i="1"/>
  <c r="AK125" i="1"/>
  <c r="AJ326" i="1"/>
  <c r="AJ295" i="1"/>
  <c r="AJ164" i="1"/>
  <c r="AK163" i="1"/>
  <c r="AJ52" i="1"/>
  <c r="AJ67" i="1"/>
  <c r="AK172" i="1"/>
  <c r="AK157" i="1"/>
  <c r="AK149" i="1"/>
  <c r="AK141" i="1"/>
  <c r="AK134" i="1"/>
  <c r="AK126" i="1"/>
  <c r="AH148" i="1"/>
  <c r="AJ111" i="1"/>
  <c r="AJ149" i="1"/>
  <c r="AJ134" i="1"/>
  <c r="AJ269" i="1"/>
  <c r="AJ238" i="1"/>
  <c r="AJ181" i="1"/>
  <c r="AJ211" i="1"/>
  <c r="AK111" i="1"/>
  <c r="AK155" i="1"/>
  <c r="AK170" i="1"/>
  <c r="AJ232" i="1"/>
  <c r="AJ186" i="1"/>
  <c r="AJ64" i="1"/>
  <c r="AK147" i="1"/>
  <c r="AK132" i="1"/>
  <c r="AK41" i="1"/>
  <c r="AK124" i="1"/>
  <c r="AK54" i="1"/>
  <c r="AK113" i="1"/>
  <c r="AK98" i="1"/>
  <c r="AK67" i="1"/>
  <c r="AK232" i="1"/>
  <c r="AK186" i="1"/>
  <c r="AJ212" i="1"/>
  <c r="AJ172" i="1"/>
  <c r="AJ157" i="1"/>
  <c r="AJ141" i="1"/>
  <c r="AJ126" i="1"/>
  <c r="AK158" i="1"/>
  <c r="AK135" i="1"/>
  <c r="AK56" i="1"/>
  <c r="AK49" i="1"/>
  <c r="AK10" i="1"/>
  <c r="AK64" i="1"/>
  <c r="AK165" i="1"/>
  <c r="AK127" i="1"/>
  <c r="AJ135" i="1"/>
  <c r="AK142" i="1"/>
  <c r="AJ158" i="1"/>
  <c r="AK150" i="1"/>
  <c r="AK52" i="1"/>
  <c r="AJ55" i="1"/>
  <c r="AJ142" i="1"/>
  <c r="AJ175" i="1"/>
  <c r="AJ167" i="1"/>
  <c r="AJ160" i="1"/>
  <c r="AJ152" i="1"/>
  <c r="AJ144" i="1"/>
  <c r="AJ129" i="1"/>
  <c r="AJ121" i="1"/>
  <c r="AJ165" i="1"/>
  <c r="AJ127" i="1"/>
  <c r="AK175" i="1"/>
  <c r="AK167" i="1"/>
  <c r="AK160" i="1"/>
  <c r="AK152" i="1"/>
  <c r="AK144" i="1"/>
  <c r="AK129" i="1"/>
  <c r="AK121" i="1"/>
  <c r="AJ170" i="1"/>
  <c r="AJ163" i="1"/>
  <c r="AJ155" i="1"/>
  <c r="AJ147" i="1"/>
  <c r="AJ139" i="1"/>
  <c r="AJ132" i="1"/>
  <c r="AJ124" i="1"/>
  <c r="AK93" i="1"/>
  <c r="AJ76" i="1"/>
  <c r="AJ113" i="1"/>
  <c r="AJ98" i="1"/>
  <c r="AK76" i="1"/>
  <c r="AK46" i="1"/>
  <c r="AJ54" i="1"/>
  <c r="AK55" i="1"/>
  <c r="AJ36" i="1"/>
  <c r="AJ46" i="1"/>
  <c r="AJ56" i="1"/>
  <c r="AJ41" i="1"/>
  <c r="AJ10" i="1"/>
  <c r="AJ49" i="1"/>
  <c r="AK36" i="1"/>
  <c r="X326" i="1" l="1"/>
  <c r="AE326" i="1" s="1"/>
  <c r="X396" i="1"/>
  <c r="AE396" i="1" s="1"/>
  <c r="X339" i="1"/>
  <c r="X337" i="1"/>
  <c r="AE337" i="1" s="1"/>
  <c r="AI337" i="1" s="1"/>
  <c r="X52" i="1"/>
  <c r="AE52" i="1" s="1"/>
  <c r="W143" i="1"/>
  <c r="V143" i="1"/>
  <c r="X367" i="1"/>
  <c r="V282" i="1"/>
  <c r="W282" i="1"/>
  <c r="X140" i="1"/>
  <c r="AE140" i="1" s="1"/>
  <c r="AH140" i="1" s="1"/>
  <c r="X385" i="1"/>
  <c r="AE385" i="1" s="1"/>
  <c r="AI385" i="1" s="1"/>
  <c r="X295" i="1"/>
  <c r="AE376" i="1"/>
  <c r="AH376" i="1" s="1"/>
  <c r="AE185" i="1"/>
  <c r="AH185" i="1" s="1"/>
  <c r="AE131" i="1"/>
  <c r="AI131" i="1" s="1"/>
  <c r="AE139" i="1"/>
  <c r="AH139" i="1" s="1"/>
  <c r="AE156" i="1"/>
  <c r="AH156" i="1" s="1"/>
  <c r="AE164" i="1"/>
  <c r="AH164" i="1" s="1"/>
  <c r="AE174" i="1"/>
  <c r="AH174" i="1" s="1"/>
  <c r="AE56" i="1"/>
  <c r="AH56" i="1" s="1"/>
  <c r="AE181" i="1"/>
  <c r="AH181" i="1" s="1"/>
  <c r="AE155" i="1"/>
  <c r="AI155" i="1" s="1"/>
  <c r="AE111" i="1"/>
  <c r="AH111" i="1" s="1"/>
  <c r="AE384" i="1"/>
  <c r="AI384" i="1" s="1"/>
  <c r="AE339" i="1"/>
  <c r="AH339" i="1" s="1"/>
  <c r="AE186" i="1"/>
  <c r="AH186" i="1" s="1"/>
  <c r="AE123" i="1"/>
  <c r="AH123" i="1" s="1"/>
  <c r="AE149" i="1"/>
  <c r="AI149" i="1" s="1"/>
  <c r="AE157" i="1"/>
  <c r="AH157" i="1" s="1"/>
  <c r="AE165" i="1"/>
  <c r="AH165" i="1" s="1"/>
  <c r="AE41" i="1"/>
  <c r="AI41" i="1" s="1"/>
  <c r="AE151" i="1"/>
  <c r="AI151" i="1" s="1"/>
  <c r="AE172" i="1"/>
  <c r="AH172" i="1" s="1"/>
  <c r="AE55" i="1"/>
  <c r="AI55" i="1" s="1"/>
  <c r="AE124" i="1"/>
  <c r="AH124" i="1" s="1"/>
  <c r="AE133" i="1"/>
  <c r="AH133" i="1" s="1"/>
  <c r="AE141" i="1"/>
  <c r="AH141" i="1" s="1"/>
  <c r="AE166" i="1"/>
  <c r="AI166" i="1" s="1"/>
  <c r="AE121" i="1"/>
  <c r="AI121" i="1" s="1"/>
  <c r="AE163" i="1"/>
  <c r="AI163" i="1" s="1"/>
  <c r="AE295" i="1"/>
  <c r="AH295" i="1" s="1"/>
  <c r="AE212" i="1"/>
  <c r="AH212" i="1" s="1"/>
  <c r="AE135" i="1"/>
  <c r="AH135" i="1" s="1"/>
  <c r="AE152" i="1"/>
  <c r="AI152" i="1" s="1"/>
  <c r="AE67" i="1"/>
  <c r="AH67" i="1" s="1"/>
  <c r="AE113" i="1"/>
  <c r="AH113" i="1" s="1"/>
  <c r="AE49" i="1"/>
  <c r="AH49" i="1" s="1"/>
  <c r="AE367" i="1"/>
  <c r="AH367" i="1" s="1"/>
  <c r="AE247" i="1"/>
  <c r="AI247" i="1" s="1"/>
  <c r="AE125" i="1"/>
  <c r="AH125" i="1" s="1"/>
  <c r="AE147" i="1"/>
  <c r="AH147" i="1" s="1"/>
  <c r="AE46" i="1"/>
  <c r="AH46" i="1" s="1"/>
  <c r="AE304" i="1"/>
  <c r="AH304" i="1" s="1"/>
  <c r="AE269" i="1"/>
  <c r="AI269" i="1" s="1"/>
  <c r="AE136" i="1"/>
  <c r="AI136" i="1" s="1"/>
  <c r="AE145" i="1"/>
  <c r="AH145" i="1" s="1"/>
  <c r="AE153" i="1"/>
  <c r="AH153" i="1" s="1"/>
  <c r="AE161" i="1"/>
  <c r="AI161" i="1" s="1"/>
  <c r="AE169" i="1"/>
  <c r="AH169" i="1" s="1"/>
  <c r="AE76" i="1"/>
  <c r="AH76" i="1" s="1"/>
  <c r="AE36" i="1"/>
  <c r="AH36" i="1" s="1"/>
  <c r="AE109" i="1"/>
  <c r="AH109" i="1" s="1"/>
  <c r="AE211" i="1"/>
  <c r="AH211" i="1" s="1"/>
  <c r="AE64" i="1"/>
  <c r="AH64" i="1" s="1"/>
  <c r="AE238" i="1"/>
  <c r="AI238" i="1" s="1"/>
  <c r="AE190" i="1"/>
  <c r="AH190" i="1" s="1"/>
  <c r="AE120" i="1"/>
  <c r="AI120" i="1" s="1"/>
  <c r="AE129" i="1"/>
  <c r="AI129" i="1" s="1"/>
  <c r="AE137" i="1"/>
  <c r="AE162" i="1"/>
  <c r="AI162" i="1" s="1"/>
  <c r="AE170" i="1"/>
  <c r="AH170" i="1" s="1"/>
  <c r="AB282" i="1"/>
  <c r="AA225" i="1"/>
  <c r="S200" i="1"/>
  <c r="S257" i="1"/>
  <c r="AB257" i="1" s="1"/>
  <c r="S390" i="1"/>
  <c r="AB390" i="1" s="1"/>
  <c r="S397" i="1"/>
  <c r="S348" i="1"/>
  <c r="AB348" i="1" s="1"/>
  <c r="S365" i="1"/>
  <c r="AB365" i="1" s="1"/>
  <c r="S382" i="1"/>
  <c r="AB382" i="1" s="1"/>
  <c r="S264" i="1"/>
  <c r="S363" i="1"/>
  <c r="AB363" i="1" s="1"/>
  <c r="AB405" i="1"/>
  <c r="S349" i="1"/>
  <c r="S372" i="1"/>
  <c r="AB372" i="1" s="1"/>
  <c r="AA398" i="1"/>
  <c r="S398" i="1"/>
  <c r="S321" i="1"/>
  <c r="AB321" i="1" s="1"/>
  <c r="S391" i="1"/>
  <c r="AB391" i="1" s="1"/>
  <c r="S383" i="1"/>
  <c r="AB383" i="1" s="1"/>
  <c r="AA368" i="1"/>
  <c r="S386" i="1"/>
  <c r="S394" i="1"/>
  <c r="AB394" i="1" s="1"/>
  <c r="S314" i="1"/>
  <c r="AB314" i="1" s="1"/>
  <c r="S387" i="1"/>
  <c r="AA381" i="1"/>
  <c r="AB368" i="1"/>
  <c r="AB375" i="1"/>
  <c r="AA370" i="1"/>
  <c r="S370" i="1"/>
  <c r="AA362" i="1"/>
  <c r="AA378" i="1"/>
  <c r="S378" i="1"/>
  <c r="S360" i="1"/>
  <c r="AA359" i="1"/>
  <c r="S359" i="1"/>
  <c r="AB362" i="1"/>
  <c r="S356" i="1"/>
  <c r="AB356" i="1" s="1"/>
  <c r="S399" i="1"/>
  <c r="AB399" i="1" s="1"/>
  <c r="S379" i="1"/>
  <c r="S354" i="1"/>
  <c r="AB354" i="1" s="1"/>
  <c r="S389" i="1"/>
  <c r="AB389" i="1" s="1"/>
  <c r="AA352" i="1"/>
  <c r="AA351" i="1"/>
  <c r="S117" i="1"/>
  <c r="S392" i="1"/>
  <c r="S60" i="1"/>
  <c r="AB60" i="1" s="1"/>
  <c r="S373" i="1"/>
  <c r="AB373" i="1" s="1"/>
  <c r="AA207" i="1"/>
  <c r="S207" i="1"/>
  <c r="S231" i="1"/>
  <c r="AA404" i="1"/>
  <c r="S404" i="1"/>
  <c r="AA343" i="1"/>
  <c r="AA288" i="1"/>
  <c r="AA345" i="1"/>
  <c r="AB345" i="1"/>
  <c r="AB288" i="1"/>
  <c r="S402" i="1"/>
  <c r="S340" i="1"/>
  <c r="S400" i="1"/>
  <c r="AB400" i="1" s="1"/>
  <c r="AA341" i="1"/>
  <c r="AB341" i="1"/>
  <c r="S316" i="1"/>
  <c r="AB316" i="1" s="1"/>
  <c r="S334" i="1"/>
  <c r="S330" i="1"/>
  <c r="AB330" i="1" s="1"/>
  <c r="S377" i="1"/>
  <c r="AB377" i="1" s="1"/>
  <c r="S335" i="1"/>
  <c r="S302" i="1"/>
  <c r="AB302" i="1" s="1"/>
  <c r="AA393" i="1"/>
  <c r="S393" i="1"/>
  <c r="S324" i="1"/>
  <c r="AB324" i="1" s="1"/>
  <c r="S312" i="1"/>
  <c r="AB312" i="1" s="1"/>
  <c r="S371" i="1"/>
  <c r="AB371" i="1" s="1"/>
  <c r="S311" i="1"/>
  <c r="AB311" i="1" s="1"/>
  <c r="S310" i="1"/>
  <c r="AB310" i="1" s="1"/>
  <c r="S331" i="1"/>
  <c r="AB331" i="1" s="1"/>
  <c r="S374" i="1"/>
  <c r="S364" i="1"/>
  <c r="AB364" i="1" s="1"/>
  <c r="S318" i="1"/>
  <c r="AB318" i="1" s="1"/>
  <c r="AA333" i="1"/>
  <c r="AB333" i="1"/>
  <c r="S313" i="1"/>
  <c r="AB313" i="1" s="1"/>
  <c r="S323" i="1"/>
  <c r="AB323" i="1" s="1"/>
  <c r="S320" i="1"/>
  <c r="AA317" i="1"/>
  <c r="S317" i="1"/>
  <c r="S327" i="1"/>
  <c r="AB327" i="1" s="1"/>
  <c r="S298" i="1"/>
  <c r="AB298" i="1" s="1"/>
  <c r="S361" i="1"/>
  <c r="S329" i="1"/>
  <c r="S350" i="1"/>
  <c r="AB350" i="1" s="1"/>
  <c r="S328" i="1"/>
  <c r="AB328" i="1" s="1"/>
  <c r="S309" i="1"/>
  <c r="AB309" i="1" s="1"/>
  <c r="S315" i="1"/>
  <c r="AB315" i="1" s="1"/>
  <c r="S322" i="1"/>
  <c r="AB322" i="1" s="1"/>
  <c r="S308" i="1"/>
  <c r="AB308" i="1" s="1"/>
  <c r="AA306" i="1"/>
  <c r="S305" i="1"/>
  <c r="AB305" i="1" s="1"/>
  <c r="S303" i="1"/>
  <c r="AB303" i="1" s="1"/>
  <c r="AB306" i="1"/>
  <c r="S300" i="1"/>
  <c r="AB300" i="1" s="1"/>
  <c r="S299" i="1"/>
  <c r="AB299" i="1" s="1"/>
  <c r="AA242" i="1"/>
  <c r="S296" i="1"/>
  <c r="AB296" i="1" s="1"/>
  <c r="S307" i="1"/>
  <c r="AB307" i="1" s="1"/>
  <c r="S319" i="1"/>
  <c r="S297" i="1"/>
  <c r="AB297" i="1" s="1"/>
  <c r="AA353" i="1"/>
  <c r="S353" i="1"/>
  <c r="S301" i="1"/>
  <c r="AB301" i="1" s="1"/>
  <c r="AA293" i="1"/>
  <c r="S293" i="1"/>
  <c r="S395" i="1"/>
  <c r="AB395" i="1" s="1"/>
  <c r="S406" i="1"/>
  <c r="S225" i="1"/>
  <c r="S338" i="1"/>
  <c r="AB338" i="1" s="1"/>
  <c r="AA369" i="1"/>
  <c r="AA358" i="1"/>
  <c r="S358" i="1"/>
  <c r="AB369" i="1"/>
  <c r="S355" i="1"/>
  <c r="AB355" i="1" s="1"/>
  <c r="AA388" i="1"/>
  <c r="S58" i="1"/>
  <c r="AB58" i="1" s="1"/>
  <c r="S388" i="1"/>
  <c r="S281" i="1"/>
  <c r="AB281" i="1" s="1"/>
  <c r="S258" i="1"/>
  <c r="AB258" i="1" s="1"/>
  <c r="S278" i="1"/>
  <c r="AB278" i="1" s="1"/>
  <c r="S267" i="1"/>
  <c r="AB267" i="1" s="1"/>
  <c r="S229" i="1"/>
  <c r="AB229" i="1" s="1"/>
  <c r="S50" i="1"/>
  <c r="S182" i="1"/>
  <c r="AB182" i="1" s="1"/>
  <c r="S284" i="1"/>
  <c r="AB284" i="1" s="1"/>
  <c r="S283" i="1"/>
  <c r="AB283" i="1" s="1"/>
  <c r="AA286" i="1"/>
  <c r="S286" i="1"/>
  <c r="S115" i="1"/>
  <c r="S342" i="1"/>
  <c r="AB342" i="1" s="1"/>
  <c r="AB227" i="1"/>
  <c r="S221" i="1"/>
  <c r="S226" i="1"/>
  <c r="S105" i="1"/>
  <c r="AB105" i="1" s="1"/>
  <c r="S252" i="1"/>
  <c r="AB252" i="1" s="1"/>
  <c r="S179" i="1"/>
  <c r="AB179" i="1" s="1"/>
  <c r="S107" i="1"/>
  <c r="AB107" i="1" s="1"/>
  <c r="S347" i="1"/>
  <c r="S219" i="1"/>
  <c r="AB219" i="1" s="1"/>
  <c r="S202" i="1"/>
  <c r="AB202" i="1" s="1"/>
  <c r="S344" i="1"/>
  <c r="AB344" i="1" s="1"/>
  <c r="S201" i="1"/>
  <c r="S260" i="1"/>
  <c r="AB260" i="1" s="1"/>
  <c r="S277" i="1"/>
  <c r="AB277" i="1" s="1"/>
  <c r="S276" i="1"/>
  <c r="S35" i="1"/>
  <c r="S265" i="1"/>
  <c r="AB265" i="1" s="1"/>
  <c r="AA220" i="1"/>
  <c r="AB220" i="1"/>
  <c r="S275" i="1"/>
  <c r="AB275" i="1" s="1"/>
  <c r="S48" i="1"/>
  <c r="S22" i="1"/>
  <c r="AB22" i="1" s="1"/>
  <c r="S16" i="1"/>
  <c r="S254" i="1"/>
  <c r="S336" i="1"/>
  <c r="AB336" i="1" s="1"/>
  <c r="S332" i="1"/>
  <c r="AB332" i="1" s="1"/>
  <c r="S274" i="1"/>
  <c r="AB274" i="1" s="1"/>
  <c r="S30" i="1"/>
  <c r="S21" i="1"/>
  <c r="S250" i="1"/>
  <c r="S71" i="1"/>
  <c r="S32" i="1"/>
  <c r="S216" i="1"/>
  <c r="S245" i="1"/>
  <c r="S253" i="1"/>
  <c r="AB253" i="1" s="1"/>
  <c r="AA273" i="1"/>
  <c r="S273" i="1"/>
  <c r="S244" i="1"/>
  <c r="AB244" i="1" s="1"/>
  <c r="S15" i="1"/>
  <c r="AA203" i="1"/>
  <c r="S203" i="1"/>
  <c r="S116" i="1"/>
  <c r="S89" i="1"/>
  <c r="S20" i="1"/>
  <c r="S285" i="1"/>
  <c r="AB285" i="1" s="1"/>
  <c r="S270" i="1"/>
  <c r="AB270" i="1" s="1"/>
  <c r="S18" i="1"/>
  <c r="AB18" i="1" s="1"/>
  <c r="S241" i="1"/>
  <c r="AB241" i="1" s="1"/>
  <c r="S261" i="1"/>
  <c r="S279" i="1"/>
  <c r="AB279" i="1" s="1"/>
  <c r="S83" i="1"/>
  <c r="AB83" i="1" s="1"/>
  <c r="S31" i="1"/>
  <c r="S28" i="1"/>
  <c r="S290" i="1"/>
  <c r="AB290" i="1" s="1"/>
  <c r="AA88" i="1"/>
  <c r="S39" i="1"/>
  <c r="AB39" i="1" s="1"/>
  <c r="AB88" i="1"/>
  <c r="S13" i="1"/>
  <c r="AB13" i="1" s="1"/>
  <c r="S263" i="1"/>
  <c r="AB263" i="1" s="1"/>
  <c r="S259" i="1"/>
  <c r="AB259" i="1" s="1"/>
  <c r="S33" i="1"/>
  <c r="S262" i="1"/>
  <c r="AB249" i="1"/>
  <c r="S8" i="1"/>
  <c r="AB8" i="1" s="1"/>
  <c r="S25" i="1"/>
  <c r="AB25" i="1" s="1"/>
  <c r="S272" i="1"/>
  <c r="AB272" i="1" s="1"/>
  <c r="S14" i="1"/>
  <c r="AB14" i="1" s="1"/>
  <c r="S236" i="1"/>
  <c r="S240" i="1"/>
  <c r="S246" i="1"/>
  <c r="AA239" i="1"/>
  <c r="S239" i="1"/>
  <c r="S11" i="1"/>
  <c r="AB11" i="1" s="1"/>
  <c r="S192" i="1"/>
  <c r="S271" i="1"/>
  <c r="AB271" i="1" s="1"/>
  <c r="S266" i="1"/>
  <c r="AB266" i="1" s="1"/>
  <c r="S287" i="1"/>
  <c r="AB287" i="1" s="1"/>
  <c r="S255" i="1"/>
  <c r="S256" i="1"/>
  <c r="S34" i="1"/>
  <c r="AB34" i="1" s="1"/>
  <c r="S26" i="1"/>
  <c r="AB26" i="1" s="1"/>
  <c r="AA243" i="1"/>
  <c r="S243" i="1"/>
  <c r="AA249" i="1"/>
  <c r="S27" i="1"/>
  <c r="S44" i="1"/>
  <c r="AB44" i="1" s="1"/>
  <c r="AB75" i="1"/>
  <c r="AA189" i="1"/>
  <c r="S114" i="1"/>
  <c r="S47" i="1"/>
  <c r="S62" i="1"/>
  <c r="S57" i="1"/>
  <c r="AB57" i="1" s="1"/>
  <c r="AA101" i="1"/>
  <c r="S101" i="1"/>
  <c r="AB189" i="1"/>
  <c r="S171" i="1"/>
  <c r="AB171" i="1" s="1"/>
  <c r="S59" i="1"/>
  <c r="AB59" i="1" s="1"/>
  <c r="S128" i="1"/>
  <c r="AB128" i="1" s="1"/>
  <c r="S61" i="1"/>
  <c r="AB61" i="1" s="1"/>
  <c r="S51" i="1"/>
  <c r="AB51" i="1" s="1"/>
  <c r="AA65" i="1"/>
  <c r="S40" i="1"/>
  <c r="AB40" i="1" s="1"/>
  <c r="S230" i="1"/>
  <c r="AB230" i="1" s="1"/>
  <c r="AB233" i="1"/>
  <c r="S228" i="1"/>
  <c r="AB228" i="1" s="1"/>
  <c r="AA173" i="1"/>
  <c r="S173" i="1"/>
  <c r="AA403" i="1"/>
  <c r="AP138" i="1"/>
  <c r="AA401" i="1"/>
  <c r="AB401" i="1"/>
  <c r="AP295" i="1"/>
  <c r="AP376" i="1"/>
  <c r="S215" i="1"/>
  <c r="AB215" i="1" s="1"/>
  <c r="S197" i="1"/>
  <c r="AB197" i="1" s="1"/>
  <c r="S204" i="1"/>
  <c r="AP384" i="1"/>
  <c r="AP166" i="1"/>
  <c r="AP150" i="1"/>
  <c r="AH155" i="1"/>
  <c r="AO155" i="1" s="1"/>
  <c r="AA199" i="1"/>
  <c r="AP153" i="1"/>
  <c r="AP159" i="1"/>
  <c r="AH232" i="1"/>
  <c r="AO232" i="1" s="1"/>
  <c r="AP396" i="1"/>
  <c r="AP247" i="1"/>
  <c r="AP154" i="1"/>
  <c r="AP385" i="1"/>
  <c r="AP367" i="1"/>
  <c r="AP162" i="1"/>
  <c r="AP131" i="1"/>
  <c r="AI132" i="1"/>
  <c r="AO132" i="1" s="1"/>
  <c r="AP86" i="1"/>
  <c r="AP136" i="1"/>
  <c r="AH93" i="1"/>
  <c r="AO93" i="1" s="1"/>
  <c r="AH163" i="1"/>
  <c r="AO163" i="1" s="1"/>
  <c r="AI280" i="1"/>
  <c r="AO280" i="1" s="1"/>
  <c r="AP146" i="1"/>
  <c r="AP123" i="1"/>
  <c r="AI113" i="1"/>
  <c r="AO113" i="1" s="1"/>
  <c r="AP139" i="1"/>
  <c r="AI325" i="1"/>
  <c r="AO325" i="1" s="1"/>
  <c r="AP190" i="1"/>
  <c r="AH269" i="1"/>
  <c r="AO269" i="1" s="1"/>
  <c r="AP211" i="1"/>
  <c r="S196" i="1"/>
  <c r="AB196" i="1" s="1"/>
  <c r="AP164" i="1"/>
  <c r="AP174" i="1"/>
  <c r="S218" i="1"/>
  <c r="AB218" i="1" s="1"/>
  <c r="AB224" i="1"/>
  <c r="S213" i="1"/>
  <c r="AB213" i="1" s="1"/>
  <c r="AP176" i="1"/>
  <c r="AI146" i="1"/>
  <c r="AO146" i="1" s="1"/>
  <c r="AP102" i="1"/>
  <c r="S210" i="1"/>
  <c r="AB210" i="1" s="1"/>
  <c r="AP148" i="1"/>
  <c r="AK143" i="1"/>
  <c r="AP143" i="1" s="1"/>
  <c r="AI138" i="1"/>
  <c r="AO138" i="1" s="1"/>
  <c r="AA214" i="1"/>
  <c r="AB214" i="1"/>
  <c r="AB38" i="1"/>
  <c r="AP185" i="1"/>
  <c r="AI167" i="1"/>
  <c r="AO167" i="1" s="1"/>
  <c r="AP133" i="1"/>
  <c r="AP109" i="1"/>
  <c r="AP337" i="1"/>
  <c r="AP151" i="1"/>
  <c r="AI212" i="1"/>
  <c r="AO212" i="1" s="1"/>
  <c r="AP125" i="1"/>
  <c r="AP169" i="1"/>
  <c r="AH154" i="1"/>
  <c r="AO154" i="1" s="1"/>
  <c r="AP304" i="1"/>
  <c r="AB198" i="1"/>
  <c r="AH385" i="1"/>
  <c r="AO385" i="1" s="1"/>
  <c r="AC188" i="1"/>
  <c r="AD188" i="1" s="1"/>
  <c r="AH10" i="1"/>
  <c r="AO10" i="1" s="1"/>
  <c r="AP280" i="1"/>
  <c r="AA198" i="1"/>
  <c r="S292" i="1"/>
  <c r="AB292" i="1" s="1"/>
  <c r="AP122" i="1"/>
  <c r="S291" i="1"/>
  <c r="AB291" i="1" s="1"/>
  <c r="AA195" i="1"/>
  <c r="AP137" i="1"/>
  <c r="S187" i="1"/>
  <c r="AB187" i="1" s="1"/>
  <c r="AP145" i="1"/>
  <c r="AB17" i="1"/>
  <c r="AB235" i="1"/>
  <c r="AH175" i="1"/>
  <c r="AO175" i="1" s="1"/>
  <c r="AP181" i="1"/>
  <c r="AH337" i="1"/>
  <c r="AO337" i="1" s="1"/>
  <c r="AP325" i="1"/>
  <c r="S234" i="1"/>
  <c r="AP339" i="1"/>
  <c r="AA235" i="1"/>
  <c r="AB19" i="1"/>
  <c r="AP168" i="1"/>
  <c r="AP326" i="1"/>
  <c r="AP113" i="1"/>
  <c r="AI160" i="1"/>
  <c r="AO160" i="1" s="1"/>
  <c r="AI86" i="1"/>
  <c r="AO86" i="1" s="1"/>
  <c r="AP155" i="1"/>
  <c r="AP130" i="1"/>
  <c r="AP132" i="1"/>
  <c r="AH384" i="1"/>
  <c r="AO384" i="1" s="1"/>
  <c r="AI126" i="1"/>
  <c r="AO126" i="1" s="1"/>
  <c r="AA237" i="1"/>
  <c r="AB63" i="1"/>
  <c r="AB237" i="1"/>
  <c r="AA63" i="1"/>
  <c r="AI304" i="1"/>
  <c r="AO304" i="1" s="1"/>
  <c r="AP269" i="1"/>
  <c r="AP223" i="1"/>
  <c r="AP10" i="1"/>
  <c r="AI76" i="1"/>
  <c r="AO76" i="1" s="1"/>
  <c r="AP156" i="1"/>
  <c r="AP161" i="1"/>
  <c r="AB177" i="1"/>
  <c r="AP54" i="1"/>
  <c r="AP126" i="1"/>
  <c r="AH268" i="1"/>
  <c r="AO268" i="1" s="1"/>
  <c r="AP149" i="1"/>
  <c r="AP120" i="1"/>
  <c r="AH159" i="1"/>
  <c r="AO159" i="1" s="1"/>
  <c r="AP141" i="1"/>
  <c r="AP268" i="1"/>
  <c r="AP111" i="1"/>
  <c r="AP135" i="1"/>
  <c r="AP140" i="1"/>
  <c r="AP134" i="1"/>
  <c r="AP93" i="1"/>
  <c r="AI141" i="1"/>
  <c r="AP157" i="1"/>
  <c r="AH55" i="1"/>
  <c r="AO55" i="1" s="1"/>
  <c r="AI109" i="1"/>
  <c r="AO109" i="1" s="1"/>
  <c r="AP67" i="1"/>
  <c r="AI148" i="1"/>
  <c r="AO148" i="1" s="1"/>
  <c r="AP165" i="1"/>
  <c r="AH144" i="1"/>
  <c r="AO144" i="1" s="1"/>
  <c r="AP170" i="1"/>
  <c r="AH396" i="1"/>
  <c r="AI396" i="1"/>
  <c r="AP55" i="1"/>
  <c r="AP212" i="1"/>
  <c r="AH152" i="1"/>
  <c r="AO152" i="1" s="1"/>
  <c r="AP52" i="1"/>
  <c r="AI223" i="1"/>
  <c r="AO223" i="1" s="1"/>
  <c r="AI190" i="1"/>
  <c r="AO190" i="1" s="1"/>
  <c r="AP172" i="1"/>
  <c r="AP238" i="1"/>
  <c r="AP41" i="1"/>
  <c r="AP56" i="1"/>
  <c r="AI98" i="1"/>
  <c r="AO98" i="1" s="1"/>
  <c r="AI102" i="1"/>
  <c r="AO102" i="1" s="1"/>
  <c r="AP127" i="1"/>
  <c r="AI339" i="1"/>
  <c r="AP163" i="1"/>
  <c r="AH166" i="1"/>
  <c r="AO166" i="1" s="1"/>
  <c r="AI134" i="1"/>
  <c r="AP232" i="1"/>
  <c r="AP49" i="1"/>
  <c r="AH134" i="1"/>
  <c r="AP129" i="1"/>
  <c r="AP121" i="1"/>
  <c r="AI156" i="1"/>
  <c r="AO156" i="1" s="1"/>
  <c r="AP144" i="1"/>
  <c r="AP175" i="1"/>
  <c r="AP98" i="1"/>
  <c r="AP124" i="1"/>
  <c r="AP186" i="1"/>
  <c r="AP142" i="1"/>
  <c r="AP158" i="1"/>
  <c r="AP147" i="1"/>
  <c r="AP64" i="1"/>
  <c r="AP152" i="1"/>
  <c r="AP160" i="1"/>
  <c r="AP167" i="1"/>
  <c r="AI165" i="1"/>
  <c r="AP36" i="1"/>
  <c r="AH161" i="1"/>
  <c r="AH150" i="1"/>
  <c r="AI150" i="1"/>
  <c r="AH168" i="1"/>
  <c r="AI168" i="1"/>
  <c r="AH176" i="1"/>
  <c r="AI176" i="1"/>
  <c r="AH122" i="1"/>
  <c r="AI122" i="1"/>
  <c r="AH130" i="1"/>
  <c r="AI130" i="1"/>
  <c r="AH142" i="1"/>
  <c r="AI142" i="1"/>
  <c r="AH127" i="1"/>
  <c r="AI127" i="1"/>
  <c r="AH137" i="1"/>
  <c r="AI137" i="1"/>
  <c r="AH158" i="1"/>
  <c r="AI158" i="1"/>
  <c r="AP76" i="1"/>
  <c r="AP46" i="1"/>
  <c r="AI54" i="1"/>
  <c r="AH54" i="1"/>
  <c r="AI36" i="1"/>
  <c r="AH326" i="1" l="1"/>
  <c r="AI326" i="1"/>
  <c r="AO326" i="1" s="1"/>
  <c r="AH52" i="1"/>
  <c r="AI52" i="1"/>
  <c r="X143" i="1"/>
  <c r="V188" i="1"/>
  <c r="W188" i="1"/>
  <c r="X188" i="1" s="1"/>
  <c r="X282" i="1"/>
  <c r="AI153" i="1"/>
  <c r="AI123" i="1"/>
  <c r="AO123" i="1" s="1"/>
  <c r="AI172" i="1"/>
  <c r="AO172" i="1" s="1"/>
  <c r="AH151" i="1"/>
  <c r="AO151" i="1" s="1"/>
  <c r="AH136" i="1"/>
  <c r="AO136" i="1" s="1"/>
  <c r="AI56" i="1"/>
  <c r="AO56" i="1" s="1"/>
  <c r="AI135" i="1"/>
  <c r="AO135" i="1" s="1"/>
  <c r="AI164" i="1"/>
  <c r="AO164" i="1" s="1"/>
  <c r="AI46" i="1"/>
  <c r="AO46" i="1" s="1"/>
  <c r="AI49" i="1"/>
  <c r="AO49" i="1" s="1"/>
  <c r="AI140" i="1"/>
  <c r="AO140" i="1" s="1"/>
  <c r="AI125" i="1"/>
  <c r="AO125" i="1" s="1"/>
  <c r="AI211" i="1"/>
  <c r="AO211" i="1" s="1"/>
  <c r="AH162" i="1"/>
  <c r="AO162" i="1" s="1"/>
  <c r="AI295" i="1"/>
  <c r="AO295" i="1" s="1"/>
  <c r="AI376" i="1"/>
  <c r="AO376" i="1" s="1"/>
  <c r="AI367" i="1"/>
  <c r="AO367" i="1" s="1"/>
  <c r="AH247" i="1"/>
  <c r="AO247" i="1" s="1"/>
  <c r="AH238" i="1"/>
  <c r="AO238" i="1" s="1"/>
  <c r="AI64" i="1"/>
  <c r="AO64" i="1" s="1"/>
  <c r="AI157" i="1"/>
  <c r="AO157" i="1" s="1"/>
  <c r="AI133" i="1"/>
  <c r="AO133" i="1" s="1"/>
  <c r="AI186" i="1"/>
  <c r="AO186" i="1" s="1"/>
  <c r="AI145" i="1"/>
  <c r="AO145" i="1" s="1"/>
  <c r="AI174" i="1"/>
  <c r="AO174" i="1" s="1"/>
  <c r="AH131" i="1"/>
  <c r="AO131" i="1" s="1"/>
  <c r="AH129" i="1"/>
  <c r="AO129" i="1" s="1"/>
  <c r="AH41" i="1"/>
  <c r="AO41" i="1" s="1"/>
  <c r="AI170" i="1"/>
  <c r="AO170" i="1" s="1"/>
  <c r="AH121" i="1"/>
  <c r="AO121" i="1" s="1"/>
  <c r="AI139" i="1"/>
  <c r="AO139" i="1" s="1"/>
  <c r="AI67" i="1"/>
  <c r="AO67" i="1" s="1"/>
  <c r="AH149" i="1"/>
  <c r="AO149" i="1" s="1"/>
  <c r="AI169" i="1"/>
  <c r="AO169" i="1" s="1"/>
  <c r="AI181" i="1"/>
  <c r="AO181" i="1" s="1"/>
  <c r="AI185" i="1"/>
  <c r="AO185" i="1" s="1"/>
  <c r="AH120" i="1"/>
  <c r="AO120" i="1" s="1"/>
  <c r="AI124" i="1"/>
  <c r="AO124" i="1" s="1"/>
  <c r="AI147" i="1"/>
  <c r="AO147" i="1" s="1"/>
  <c r="AI111" i="1"/>
  <c r="AO111" i="1" s="1"/>
  <c r="AE282" i="1"/>
  <c r="AE143" i="1"/>
  <c r="AI143" i="1" s="1"/>
  <c r="AK282" i="1"/>
  <c r="AJ282" i="1"/>
  <c r="AB225" i="1"/>
  <c r="AB200" i="1"/>
  <c r="AB397" i="1"/>
  <c r="AB349" i="1"/>
  <c r="AB264" i="1"/>
  <c r="AB360" i="1"/>
  <c r="AB398" i="1"/>
  <c r="AB387" i="1"/>
  <c r="AB386" i="1"/>
  <c r="AB370" i="1"/>
  <c r="AB378" i="1"/>
  <c r="AB379" i="1"/>
  <c r="AB359" i="1"/>
  <c r="AB320" i="1"/>
  <c r="AB117" i="1"/>
  <c r="AB392" i="1"/>
  <c r="AB207" i="1"/>
  <c r="AB404" i="1"/>
  <c r="AB231" i="1"/>
  <c r="AB402" i="1"/>
  <c r="AB340" i="1"/>
  <c r="AB329" i="1"/>
  <c r="AB334" i="1"/>
  <c r="AB335" i="1"/>
  <c r="AB393" i="1"/>
  <c r="AB319" i="1"/>
  <c r="AB374" i="1"/>
  <c r="AB317" i="1"/>
  <c r="AB361" i="1"/>
  <c r="AB20" i="1"/>
  <c r="AB353" i="1"/>
  <c r="AB406" i="1"/>
  <c r="AB293" i="1"/>
  <c r="AB201" i="1"/>
  <c r="AB30" i="1"/>
  <c r="AB35" i="1"/>
  <c r="AB358" i="1"/>
  <c r="AB388" i="1"/>
  <c r="AB50" i="1"/>
  <c r="AB221" i="1"/>
  <c r="AB15" i="1"/>
  <c r="AB16" i="1"/>
  <c r="AB33" i="1"/>
  <c r="AB226" i="1"/>
  <c r="AB286" i="1"/>
  <c r="AB31" i="1"/>
  <c r="AB21" i="1"/>
  <c r="AB115" i="1"/>
  <c r="AB347" i="1"/>
  <c r="AB276" i="1"/>
  <c r="AB71" i="1"/>
  <c r="AB89" i="1"/>
  <c r="AB47" i="1"/>
  <c r="AB28" i="1"/>
  <c r="AB192" i="1"/>
  <c r="AB254" i="1"/>
  <c r="AB48" i="1"/>
  <c r="AB250" i="1"/>
  <c r="AB273" i="1"/>
  <c r="AB62" i="1"/>
  <c r="AB32" i="1"/>
  <c r="AB245" i="1"/>
  <c r="AB216" i="1"/>
  <c r="AB261" i="1"/>
  <c r="AB116" i="1"/>
  <c r="AB203" i="1"/>
  <c r="AB262" i="1"/>
  <c r="AB246" i="1"/>
  <c r="AB27" i="1"/>
  <c r="AB239" i="1"/>
  <c r="AB240" i="1"/>
  <c r="AB236" i="1"/>
  <c r="AB255" i="1"/>
  <c r="AB256" i="1"/>
  <c r="AB243" i="1"/>
  <c r="AB101" i="1"/>
  <c r="AB114" i="1"/>
  <c r="AH143" i="1"/>
  <c r="AO143" i="1" s="1"/>
  <c r="AB173" i="1"/>
  <c r="AB204" i="1"/>
  <c r="AK188" i="1"/>
  <c r="AJ188" i="1"/>
  <c r="AB234" i="1"/>
  <c r="AO141" i="1"/>
  <c r="AO339" i="1"/>
  <c r="AO396" i="1"/>
  <c r="AO168" i="1"/>
  <c r="AO134" i="1"/>
  <c r="AO165" i="1"/>
  <c r="AO137" i="1"/>
  <c r="AO176" i="1"/>
  <c r="AO161" i="1"/>
  <c r="AO158" i="1"/>
  <c r="AO127" i="1"/>
  <c r="AO142" i="1"/>
  <c r="AO150" i="1"/>
  <c r="AO122" i="1"/>
  <c r="AO153" i="1"/>
  <c r="AO130" i="1"/>
  <c r="AO54" i="1"/>
  <c r="AO36" i="1"/>
  <c r="AO52" i="1" l="1"/>
  <c r="AE188" i="1"/>
  <c r="AI188" i="1" s="1"/>
  <c r="AP282" i="1"/>
  <c r="AI282" i="1"/>
  <c r="AH282" i="1"/>
  <c r="AP188" i="1"/>
  <c r="Y732" i="9"/>
  <c r="Y731" i="9"/>
  <c r="Y730" i="9"/>
  <c r="Y729" i="9"/>
  <c r="Y728" i="9"/>
  <c r="Y727" i="9"/>
  <c r="Y726" i="9"/>
  <c r="Y725" i="9"/>
  <c r="Y724" i="9"/>
  <c r="Y723" i="9"/>
  <c r="Y722" i="9"/>
  <c r="Y721" i="9"/>
  <c r="Y720" i="9"/>
  <c r="Y719" i="9"/>
  <c r="Y718" i="9"/>
  <c r="Y717" i="9"/>
  <c r="Y716" i="9"/>
  <c r="Y715" i="9"/>
  <c r="Y714" i="9"/>
  <c r="Y713" i="9"/>
  <c r="Y712" i="9"/>
  <c r="Y711" i="9"/>
  <c r="Y710" i="9"/>
  <c r="Y709" i="9"/>
  <c r="Y708" i="9"/>
  <c r="Y707" i="9"/>
  <c r="Y706" i="9"/>
  <c r="Y705" i="9"/>
  <c r="Y704" i="9"/>
  <c r="Y703" i="9"/>
  <c r="Y702" i="9"/>
  <c r="Y701" i="9"/>
  <c r="Y700" i="9"/>
  <c r="Y699" i="9"/>
  <c r="Y698" i="9"/>
  <c r="Y697" i="9"/>
  <c r="Y696" i="9"/>
  <c r="Y695" i="9"/>
  <c r="Y694" i="9"/>
  <c r="Y693" i="9"/>
  <c r="Y692" i="9"/>
  <c r="Y691" i="9"/>
  <c r="Y690" i="9"/>
  <c r="Y689" i="9"/>
  <c r="Y688" i="9"/>
  <c r="Y687" i="9"/>
  <c r="Y686" i="9"/>
  <c r="Y685" i="9"/>
  <c r="Y684" i="9"/>
  <c r="Y683" i="9"/>
  <c r="Y682" i="9"/>
  <c r="Y681" i="9"/>
  <c r="Y680" i="9"/>
  <c r="Y679" i="9"/>
  <c r="Y678" i="9"/>
  <c r="Y677" i="9"/>
  <c r="Y676" i="9"/>
  <c r="Y675" i="9"/>
  <c r="Y674" i="9"/>
  <c r="Y673" i="9"/>
  <c r="Y672" i="9"/>
  <c r="Y671" i="9"/>
  <c r="Y670" i="9"/>
  <c r="Y669" i="9"/>
  <c r="Y668" i="9"/>
  <c r="Y667" i="9"/>
  <c r="Y666" i="9"/>
  <c r="Y665" i="9"/>
  <c r="Y664" i="9"/>
  <c r="Y663" i="9"/>
  <c r="Y662" i="9"/>
  <c r="Y661" i="9"/>
  <c r="Y660" i="9"/>
  <c r="Y659" i="9"/>
  <c r="Y658" i="9"/>
  <c r="Y657" i="9"/>
  <c r="Y656" i="9"/>
  <c r="Y655" i="9"/>
  <c r="Y654" i="9"/>
  <c r="Y653" i="9"/>
  <c r="Y652" i="9"/>
  <c r="Y651" i="9"/>
  <c r="Y650" i="9"/>
  <c r="Y649" i="9"/>
  <c r="Y648" i="9"/>
  <c r="Y647" i="9"/>
  <c r="Y646" i="9"/>
  <c r="Y645" i="9"/>
  <c r="Y644" i="9"/>
  <c r="Y643" i="9"/>
  <c r="Y642" i="9"/>
  <c r="Y641" i="9"/>
  <c r="Y640" i="9"/>
  <c r="Y639" i="9"/>
  <c r="Y638" i="9"/>
  <c r="Y637" i="9"/>
  <c r="Y636" i="9"/>
  <c r="Y635" i="9"/>
  <c r="Y634" i="9"/>
  <c r="Y633" i="9"/>
  <c r="Y632" i="9"/>
  <c r="Y631" i="9"/>
  <c r="Y630" i="9"/>
  <c r="Y629" i="9"/>
  <c r="Y628" i="9"/>
  <c r="Y627" i="9"/>
  <c r="Y626" i="9"/>
  <c r="Y625" i="9"/>
  <c r="Y624" i="9"/>
  <c r="Y623" i="9"/>
  <c r="Y622" i="9"/>
  <c r="Y621" i="9"/>
  <c r="Y620" i="9"/>
  <c r="Y619" i="9"/>
  <c r="Y618" i="9"/>
  <c r="Y617" i="9"/>
  <c r="Y616" i="9"/>
  <c r="Y615" i="9"/>
  <c r="Y614" i="9"/>
  <c r="Y613" i="9"/>
  <c r="Y612" i="9"/>
  <c r="Y611" i="9"/>
  <c r="Y610" i="9"/>
  <c r="Y609" i="9"/>
  <c r="Y608" i="9"/>
  <c r="Y607" i="9"/>
  <c r="Y606" i="9"/>
  <c r="Y605" i="9"/>
  <c r="Y604" i="9"/>
  <c r="Y603" i="9"/>
  <c r="Y602" i="9"/>
  <c r="Y601" i="9"/>
  <c r="Y600" i="9"/>
  <c r="Y599" i="9"/>
  <c r="Y598" i="9"/>
  <c r="Y597" i="9"/>
  <c r="Y596" i="9"/>
  <c r="Y595" i="9"/>
  <c r="Y594" i="9"/>
  <c r="Y593" i="9"/>
  <c r="Y592" i="9"/>
  <c r="Y591" i="9"/>
  <c r="Y590" i="9"/>
  <c r="Y589" i="9"/>
  <c r="Y588" i="9"/>
  <c r="Y587" i="9"/>
  <c r="Y586" i="9"/>
  <c r="Y585" i="9"/>
  <c r="Y584" i="9"/>
  <c r="Y583" i="9"/>
  <c r="Y582" i="9"/>
  <c r="Y581" i="9"/>
  <c r="Y580" i="9"/>
  <c r="Y579" i="9"/>
  <c r="Y578" i="9"/>
  <c r="Y577" i="9"/>
  <c r="Y576" i="9"/>
  <c r="Y575" i="9"/>
  <c r="Y574" i="9"/>
  <c r="Y573" i="9"/>
  <c r="Y572" i="9"/>
  <c r="Y571" i="9"/>
  <c r="Y570" i="9"/>
  <c r="Y569" i="9"/>
  <c r="Y568" i="9"/>
  <c r="Y567" i="9"/>
  <c r="Y566" i="9"/>
  <c r="Y565" i="9"/>
  <c r="Y564" i="9"/>
  <c r="Y563" i="9"/>
  <c r="Y562" i="9"/>
  <c r="Y561" i="9"/>
  <c r="Y560" i="9"/>
  <c r="Y559" i="9"/>
  <c r="Y558" i="9"/>
  <c r="Y557" i="9"/>
  <c r="Y556" i="9"/>
  <c r="Y555" i="9"/>
  <c r="Y554" i="9"/>
  <c r="Y553" i="9"/>
  <c r="Y552" i="9"/>
  <c r="Y551" i="9"/>
  <c r="Y550" i="9"/>
  <c r="Y549" i="9"/>
  <c r="Y548" i="9"/>
  <c r="Y547" i="9"/>
  <c r="Y546" i="9"/>
  <c r="Y545" i="9"/>
  <c r="Y544" i="9"/>
  <c r="Y543" i="9"/>
  <c r="Y542" i="9"/>
  <c r="Y541" i="9"/>
  <c r="Y540" i="9"/>
  <c r="Y539" i="9"/>
  <c r="Y538" i="9"/>
  <c r="Y537" i="9"/>
  <c r="Y536" i="9"/>
  <c r="Y535" i="9"/>
  <c r="Y534" i="9"/>
  <c r="Y533" i="9"/>
  <c r="Y532" i="9"/>
  <c r="Y531" i="9"/>
  <c r="Y530" i="9"/>
  <c r="Y529" i="9"/>
  <c r="Y528" i="9"/>
  <c r="Y527" i="9"/>
  <c r="Y526" i="9"/>
  <c r="Y525" i="9"/>
  <c r="Y524" i="9"/>
  <c r="Y523" i="9"/>
  <c r="Y522" i="9"/>
  <c r="Y521" i="9"/>
  <c r="Y520" i="9"/>
  <c r="Y519" i="9"/>
  <c r="Y518" i="9"/>
  <c r="Y517" i="9"/>
  <c r="Y516" i="9"/>
  <c r="Y515" i="9"/>
  <c r="Y514" i="9"/>
  <c r="Y513" i="9"/>
  <c r="Y512" i="9"/>
  <c r="Y511" i="9"/>
  <c r="Y510" i="9"/>
  <c r="Y509" i="9"/>
  <c r="Y508" i="9"/>
  <c r="Y507" i="9"/>
  <c r="Y506" i="9"/>
  <c r="Y505" i="9"/>
  <c r="Y504" i="9"/>
  <c r="Y503" i="9"/>
  <c r="Y502" i="9"/>
  <c r="Y501" i="9"/>
  <c r="Y500" i="9"/>
  <c r="Y499" i="9"/>
  <c r="Y498" i="9"/>
  <c r="Y497" i="9"/>
  <c r="Y496" i="9"/>
  <c r="Y495" i="9"/>
  <c r="Y494" i="9"/>
  <c r="Y493" i="9"/>
  <c r="Y492" i="9"/>
  <c r="Y491" i="9"/>
  <c r="Y490" i="9"/>
  <c r="Y489" i="9"/>
  <c r="Y488" i="9"/>
  <c r="Y487" i="9"/>
  <c r="Y486" i="9"/>
  <c r="Y485" i="9"/>
  <c r="Y484" i="9"/>
  <c r="Y483" i="9"/>
  <c r="Y482" i="9"/>
  <c r="Y481" i="9"/>
  <c r="Y480" i="9"/>
  <c r="Y479" i="9"/>
  <c r="Y478" i="9"/>
  <c r="Y477" i="9"/>
  <c r="Y476" i="9"/>
  <c r="Y475" i="9"/>
  <c r="Y474" i="9"/>
  <c r="Y473" i="9"/>
  <c r="Y472" i="9"/>
  <c r="Y471" i="9"/>
  <c r="Y470" i="9"/>
  <c r="Y469" i="9"/>
  <c r="Y468" i="9"/>
  <c r="Y467" i="9"/>
  <c r="Y466" i="9"/>
  <c r="Y465" i="9"/>
  <c r="Y464" i="9"/>
  <c r="Y463" i="9"/>
  <c r="Y462" i="9"/>
  <c r="Y461" i="9"/>
  <c r="Y460" i="9"/>
  <c r="Y459" i="9"/>
  <c r="Y458" i="9"/>
  <c r="Y457" i="9"/>
  <c r="Y456" i="9"/>
  <c r="Y455" i="9"/>
  <c r="Y454" i="9"/>
  <c r="Y453" i="9"/>
  <c r="Y452" i="9"/>
  <c r="Y451" i="9"/>
  <c r="Y450" i="9"/>
  <c r="Y449" i="9"/>
  <c r="Y448" i="9"/>
  <c r="Y447" i="9"/>
  <c r="Y446" i="9"/>
  <c r="Y445" i="9"/>
  <c r="Y444" i="9"/>
  <c r="Y443" i="9"/>
  <c r="Y442" i="9"/>
  <c r="Y441" i="9"/>
  <c r="Y440" i="9"/>
  <c r="Y439" i="9"/>
  <c r="Y438" i="9"/>
  <c r="Y437" i="9"/>
  <c r="Y436" i="9"/>
  <c r="Y435" i="9"/>
  <c r="Y434" i="9"/>
  <c r="Y433" i="9"/>
  <c r="Y432" i="9"/>
  <c r="Y431" i="9"/>
  <c r="Y430" i="9"/>
  <c r="Y429" i="9"/>
  <c r="Y428" i="9"/>
  <c r="Y427" i="9"/>
  <c r="Y426" i="9"/>
  <c r="Y425" i="9"/>
  <c r="Y424" i="9"/>
  <c r="Y423" i="9"/>
  <c r="Y422" i="9"/>
  <c r="Y421" i="9"/>
  <c r="Y420" i="9"/>
  <c r="Y419" i="9"/>
  <c r="Y418" i="9"/>
  <c r="Y417" i="9"/>
  <c r="Y416" i="9"/>
  <c r="Y415" i="9"/>
  <c r="Y414" i="9"/>
  <c r="Y413" i="9"/>
  <c r="Y412" i="9"/>
  <c r="Y411" i="9"/>
  <c r="Y410" i="9"/>
  <c r="Y409" i="9"/>
  <c r="Y408" i="9"/>
  <c r="Y407" i="9"/>
  <c r="Y406" i="9"/>
  <c r="Y405" i="9"/>
  <c r="Y404" i="9"/>
  <c r="Y403" i="9"/>
  <c r="Y402" i="9"/>
  <c r="Y401" i="9"/>
  <c r="Y400" i="9"/>
  <c r="Y399" i="9"/>
  <c r="Y398" i="9"/>
  <c r="Y397" i="9"/>
  <c r="Y396" i="9"/>
  <c r="Y395" i="9"/>
  <c r="Y394" i="9"/>
  <c r="Y393" i="9"/>
  <c r="Y392" i="9"/>
  <c r="Y391" i="9"/>
  <c r="Y390" i="9"/>
  <c r="Y389" i="9"/>
  <c r="Y388" i="9"/>
  <c r="Y387" i="9"/>
  <c r="Y386" i="9"/>
  <c r="Y385" i="9"/>
  <c r="Y384" i="9"/>
  <c r="Y383" i="9"/>
  <c r="Y382" i="9"/>
  <c r="Y381" i="9"/>
  <c r="Y380" i="9"/>
  <c r="Y379" i="9"/>
  <c r="Y378" i="9"/>
  <c r="Y377" i="9"/>
  <c r="Y376" i="9"/>
  <c r="Y375" i="9"/>
  <c r="Y374" i="9"/>
  <c r="Y373" i="9"/>
  <c r="Y372" i="9"/>
  <c r="Y371" i="9"/>
  <c r="Y370" i="9"/>
  <c r="Y369" i="9"/>
  <c r="Y368" i="9"/>
  <c r="Y367" i="9"/>
  <c r="Y366" i="9"/>
  <c r="Y365" i="9"/>
  <c r="Y364" i="9"/>
  <c r="Y363" i="9"/>
  <c r="Y362" i="9"/>
  <c r="Y361" i="9"/>
  <c r="Y360" i="9"/>
  <c r="Y359" i="9"/>
  <c r="Y358" i="9"/>
  <c r="Y357" i="9"/>
  <c r="Y356" i="9"/>
  <c r="Y355" i="9"/>
  <c r="Y354" i="9"/>
  <c r="Y353" i="9"/>
  <c r="Y352" i="9"/>
  <c r="Y351" i="9"/>
  <c r="Y350" i="9"/>
  <c r="Y349" i="9"/>
  <c r="Y348" i="9"/>
  <c r="Y347" i="9"/>
  <c r="Y346" i="9"/>
  <c r="Y345" i="9"/>
  <c r="Y344" i="9"/>
  <c r="Y343" i="9"/>
  <c r="Y342" i="9"/>
  <c r="Y341" i="9"/>
  <c r="Y340" i="9"/>
  <c r="Y339" i="9"/>
  <c r="Y338" i="9"/>
  <c r="Y337" i="9"/>
  <c r="Y336" i="9"/>
  <c r="Y335" i="9"/>
  <c r="Y334" i="9"/>
  <c r="Y333" i="9"/>
  <c r="Y332" i="9"/>
  <c r="Y331" i="9"/>
  <c r="Y330" i="9"/>
  <c r="Y329" i="9"/>
  <c r="Y328" i="9"/>
  <c r="Y327" i="9"/>
  <c r="Y326" i="9"/>
  <c r="Y325" i="9"/>
  <c r="Y324" i="9"/>
  <c r="Y323" i="9"/>
  <c r="Y322" i="9"/>
  <c r="Y321" i="9"/>
  <c r="Y320" i="9"/>
  <c r="Y319" i="9"/>
  <c r="Y318" i="9"/>
  <c r="Y317" i="9"/>
  <c r="Y316" i="9"/>
  <c r="Y315" i="9"/>
  <c r="Y314" i="9"/>
  <c r="Y313" i="9"/>
  <c r="Y312" i="9"/>
  <c r="Y311" i="9"/>
  <c r="Y310" i="9"/>
  <c r="Y309" i="9"/>
  <c r="Y308" i="9"/>
  <c r="Y307" i="9"/>
  <c r="Y306" i="9"/>
  <c r="Y305" i="9"/>
  <c r="Y304" i="9"/>
  <c r="Y303" i="9"/>
  <c r="Y302" i="9"/>
  <c r="Y301" i="9"/>
  <c r="Y300" i="9"/>
  <c r="Y299" i="9"/>
  <c r="Y298" i="9"/>
  <c r="Y297" i="9"/>
  <c r="Y296" i="9"/>
  <c r="Y295" i="9"/>
  <c r="Y294" i="9"/>
  <c r="Y293" i="9"/>
  <c r="Y292" i="9"/>
  <c r="Y291" i="9"/>
  <c r="Y290" i="9"/>
  <c r="Y289" i="9"/>
  <c r="Y288" i="9"/>
  <c r="Y287" i="9"/>
  <c r="Y286" i="9"/>
  <c r="Y285" i="9"/>
  <c r="Y284" i="9"/>
  <c r="Y283" i="9"/>
  <c r="Y282" i="9"/>
  <c r="Y281" i="9"/>
  <c r="Y280" i="9"/>
  <c r="Y279" i="9"/>
  <c r="Y278" i="9"/>
  <c r="Y277" i="9"/>
  <c r="Y276" i="9"/>
  <c r="Y275" i="9"/>
  <c r="Y274" i="9"/>
  <c r="Y273" i="9"/>
  <c r="Y272" i="9"/>
  <c r="Y271" i="9"/>
  <c r="Y270" i="9"/>
  <c r="Y269" i="9"/>
  <c r="Y268" i="9"/>
  <c r="Y267" i="9"/>
  <c r="Y266" i="9"/>
  <c r="Y265" i="9"/>
  <c r="Y264" i="9"/>
  <c r="Y263" i="9"/>
  <c r="Y262" i="9"/>
  <c r="Y261" i="9"/>
  <c r="Y260" i="9"/>
  <c r="Y259" i="9"/>
  <c r="Y258" i="9"/>
  <c r="Y257" i="9"/>
  <c r="Y256" i="9"/>
  <c r="Y255" i="9"/>
  <c r="Y254" i="9"/>
  <c r="Y253" i="9"/>
  <c r="Y252" i="9"/>
  <c r="Y251" i="9"/>
  <c r="Y250" i="9"/>
  <c r="Y249" i="9"/>
  <c r="Y248" i="9"/>
  <c r="Y247" i="9"/>
  <c r="Y246" i="9"/>
  <c r="Y245" i="9"/>
  <c r="Y244" i="9"/>
  <c r="Y243" i="9"/>
  <c r="Y242" i="9"/>
  <c r="Y241" i="9"/>
  <c r="Y240" i="9"/>
  <c r="Y239" i="9"/>
  <c r="Y238" i="9"/>
  <c r="Y237" i="9"/>
  <c r="Y236" i="9"/>
  <c r="Y235" i="9"/>
  <c r="Y234" i="9"/>
  <c r="Y233" i="9"/>
  <c r="Y232" i="9"/>
  <c r="Y231" i="9"/>
  <c r="Y230" i="9"/>
  <c r="Y229" i="9"/>
  <c r="Y228" i="9"/>
  <c r="Y227" i="9"/>
  <c r="Y226" i="9"/>
  <c r="Y225" i="9"/>
  <c r="Y224" i="9"/>
  <c r="Y223" i="9"/>
  <c r="Y222" i="9"/>
  <c r="Y221" i="9"/>
  <c r="Y220" i="9"/>
  <c r="Y219" i="9"/>
  <c r="Y218" i="9"/>
  <c r="Y217" i="9"/>
  <c r="Y216" i="9"/>
  <c r="Y215" i="9"/>
  <c r="Y214" i="9"/>
  <c r="Y213" i="9"/>
  <c r="Y212" i="9"/>
  <c r="Y211" i="9"/>
  <c r="Y210" i="9"/>
  <c r="Y209" i="9"/>
  <c r="Y208" i="9"/>
  <c r="Y207" i="9"/>
  <c r="Y206" i="9"/>
  <c r="Y205" i="9"/>
  <c r="Y204" i="9"/>
  <c r="Y203" i="9"/>
  <c r="Y202" i="9"/>
  <c r="Y201" i="9"/>
  <c r="Y200" i="9"/>
  <c r="Y199" i="9"/>
  <c r="Y198" i="9"/>
  <c r="Y197" i="9"/>
  <c r="Y196" i="9"/>
  <c r="Y195" i="9"/>
  <c r="Y194" i="9"/>
  <c r="Y193" i="9"/>
  <c r="Y192" i="9"/>
  <c r="Y191" i="9"/>
  <c r="Y190" i="9"/>
  <c r="Y189" i="9"/>
  <c r="Y188" i="9"/>
  <c r="Y187" i="9"/>
  <c r="Y186" i="9"/>
  <c r="Y185" i="9"/>
  <c r="Y184" i="9"/>
  <c r="Y183" i="9"/>
  <c r="Y182" i="9"/>
  <c r="Y181" i="9"/>
  <c r="Y180" i="9"/>
  <c r="Y179" i="9"/>
  <c r="Y178" i="9"/>
  <c r="Y177" i="9"/>
  <c r="Y176" i="9"/>
  <c r="Y175" i="9"/>
  <c r="Y174" i="9"/>
  <c r="Y173" i="9"/>
  <c r="Y172" i="9"/>
  <c r="Y171" i="9"/>
  <c r="Y170" i="9"/>
  <c r="Y169" i="9"/>
  <c r="Y168" i="9"/>
  <c r="Y167" i="9"/>
  <c r="Y166" i="9"/>
  <c r="Y165" i="9"/>
  <c r="Y164" i="9"/>
  <c r="Y163" i="9"/>
  <c r="Y162" i="9"/>
  <c r="Y161" i="9"/>
  <c r="Y160" i="9"/>
  <c r="Y159" i="9"/>
  <c r="Y158" i="9"/>
  <c r="Y157" i="9"/>
  <c r="Y156" i="9"/>
  <c r="Y155" i="9"/>
  <c r="Y154" i="9"/>
  <c r="Y153" i="9"/>
  <c r="Y152" i="9"/>
  <c r="Y151" i="9"/>
  <c r="Y150" i="9"/>
  <c r="Y149" i="9"/>
  <c r="Y148" i="9"/>
  <c r="Y147" i="9"/>
  <c r="Y146" i="9"/>
  <c r="Y145" i="9"/>
  <c r="Y144" i="9"/>
  <c r="Y143" i="9"/>
  <c r="Y142" i="9"/>
  <c r="Y141" i="9"/>
  <c r="Y140" i="9"/>
  <c r="Y139" i="9"/>
  <c r="Y138" i="9"/>
  <c r="Y137" i="9"/>
  <c r="Y136" i="9"/>
  <c r="Y135" i="9"/>
  <c r="Y134" i="9"/>
  <c r="Y133" i="9"/>
  <c r="Y132" i="9"/>
  <c r="Y131" i="9"/>
  <c r="Y130" i="9"/>
  <c r="Y129" i="9"/>
  <c r="Y128" i="9"/>
  <c r="Y127" i="9"/>
  <c r="Y126" i="9"/>
  <c r="Y125" i="9"/>
  <c r="Y124" i="9"/>
  <c r="Y123" i="9"/>
  <c r="Y122" i="9"/>
  <c r="Y121" i="9"/>
  <c r="Y120" i="9"/>
  <c r="Y119" i="9"/>
  <c r="Y118" i="9"/>
  <c r="Y117" i="9"/>
  <c r="Y116" i="9"/>
  <c r="Y115" i="9"/>
  <c r="Y114" i="9"/>
  <c r="Y113" i="9"/>
  <c r="Y112" i="9"/>
  <c r="Y111" i="9"/>
  <c r="Y110" i="9"/>
  <c r="Y109" i="9"/>
  <c r="Y108" i="9"/>
  <c r="G108" i="9"/>
  <c r="Y107" i="9"/>
  <c r="G107" i="9"/>
  <c r="Y106" i="9"/>
  <c r="G106" i="9"/>
  <c r="Y105" i="9"/>
  <c r="G105" i="9"/>
  <c r="Y104" i="9"/>
  <c r="G104" i="9"/>
  <c r="Y103" i="9"/>
  <c r="G103" i="9"/>
  <c r="Y102" i="9"/>
  <c r="G102" i="9"/>
  <c r="Y101" i="9"/>
  <c r="G101" i="9"/>
  <c r="Y100" i="9"/>
  <c r="G100" i="9"/>
  <c r="Y99" i="9"/>
  <c r="G99" i="9"/>
  <c r="Y98" i="9"/>
  <c r="G98" i="9"/>
  <c r="Y97" i="9"/>
  <c r="G97" i="9"/>
  <c r="Y96" i="9"/>
  <c r="G96" i="9"/>
  <c r="Y95" i="9"/>
  <c r="G95" i="9"/>
  <c r="Y94" i="9"/>
  <c r="G94" i="9"/>
  <c r="Y93" i="9"/>
  <c r="G93" i="9"/>
  <c r="Y92" i="9"/>
  <c r="G92" i="9"/>
  <c r="Y91" i="9"/>
  <c r="G91" i="9"/>
  <c r="Y90" i="9"/>
  <c r="G90" i="9"/>
  <c r="Y89" i="9"/>
  <c r="Y88" i="9"/>
  <c r="G88" i="9"/>
  <c r="Y87" i="9"/>
  <c r="G87" i="9"/>
  <c r="Y86" i="9"/>
  <c r="G86" i="9"/>
  <c r="Y85" i="9"/>
  <c r="G85" i="9"/>
  <c r="F85" i="9"/>
  <c r="Y84" i="9"/>
  <c r="G84" i="9"/>
  <c r="F84" i="9"/>
  <c r="Y83" i="9"/>
  <c r="G83" i="9"/>
  <c r="F83" i="9"/>
  <c r="Y82" i="9"/>
  <c r="G82" i="9"/>
  <c r="F82" i="9"/>
  <c r="Y81" i="9"/>
  <c r="F81" i="9"/>
  <c r="Y80" i="9"/>
  <c r="F80" i="9"/>
  <c r="Y79" i="9"/>
  <c r="F79" i="9"/>
  <c r="Y78" i="9"/>
  <c r="M78" i="9"/>
  <c r="F78" i="9"/>
  <c r="Y77" i="9"/>
  <c r="M77" i="9"/>
  <c r="F77" i="9"/>
  <c r="Y76" i="9"/>
  <c r="F76" i="9"/>
  <c r="Y75" i="9"/>
  <c r="G75" i="9"/>
  <c r="F75" i="9"/>
  <c r="Y74" i="9"/>
  <c r="G74" i="9"/>
  <c r="F74" i="9"/>
  <c r="Y73" i="9"/>
  <c r="G73" i="9"/>
  <c r="F73" i="9"/>
  <c r="Y72" i="9"/>
  <c r="G72" i="9"/>
  <c r="F72" i="9"/>
  <c r="Y71" i="9"/>
  <c r="G71" i="9"/>
  <c r="F71" i="9"/>
  <c r="Y70" i="9"/>
  <c r="G70" i="9"/>
  <c r="F70" i="9"/>
  <c r="Y69" i="9"/>
  <c r="G69" i="9"/>
  <c r="F69" i="9"/>
  <c r="Y68" i="9"/>
  <c r="G68" i="9"/>
  <c r="F68" i="9"/>
  <c r="Y67" i="9"/>
  <c r="G67" i="9"/>
  <c r="F67" i="9"/>
  <c r="Y66" i="9"/>
  <c r="G66" i="9"/>
  <c r="F66" i="9"/>
  <c r="Y65" i="9"/>
  <c r="G65" i="9"/>
  <c r="F65" i="9"/>
  <c r="Y64" i="9"/>
  <c r="G64" i="9"/>
  <c r="F64" i="9"/>
  <c r="Y63" i="9"/>
  <c r="G63" i="9"/>
  <c r="F63" i="9"/>
  <c r="Y62" i="9"/>
  <c r="G62" i="9"/>
  <c r="F62" i="9"/>
  <c r="Y61" i="9"/>
  <c r="G61" i="9"/>
  <c r="F61" i="9"/>
  <c r="Y60" i="9"/>
  <c r="G60" i="9"/>
  <c r="F60" i="9"/>
  <c r="Y59" i="9"/>
  <c r="G59" i="9"/>
  <c r="F59" i="9"/>
  <c r="Y58" i="9"/>
  <c r="G58" i="9"/>
  <c r="F58" i="9"/>
  <c r="Y57" i="9"/>
  <c r="G57" i="9"/>
  <c r="F57" i="9"/>
  <c r="Y56" i="9"/>
  <c r="G56" i="9"/>
  <c r="F56" i="9"/>
  <c r="Y55" i="9"/>
  <c r="G55" i="9"/>
  <c r="F55" i="9"/>
  <c r="Y54" i="9"/>
  <c r="G54" i="9"/>
  <c r="F54" i="9"/>
  <c r="Y53" i="9"/>
  <c r="G53" i="9"/>
  <c r="F53" i="9"/>
  <c r="Y52" i="9"/>
  <c r="G52" i="9"/>
  <c r="F52" i="9"/>
  <c r="Y51" i="9"/>
  <c r="G51" i="9"/>
  <c r="F51" i="9"/>
  <c r="Y50" i="9"/>
  <c r="G50" i="9"/>
  <c r="F50" i="9"/>
  <c r="Y49" i="9"/>
  <c r="G49" i="9"/>
  <c r="F49" i="9"/>
  <c r="Y48" i="9"/>
  <c r="G48" i="9"/>
  <c r="F48" i="9"/>
  <c r="Y47" i="9"/>
  <c r="G47" i="9"/>
  <c r="F47" i="9"/>
  <c r="Y46" i="9"/>
  <c r="G46" i="9"/>
  <c r="F46" i="9"/>
  <c r="Y45" i="9"/>
  <c r="G45" i="9"/>
  <c r="F45" i="9"/>
  <c r="Y44" i="9"/>
  <c r="G44" i="9"/>
  <c r="Y43" i="9"/>
  <c r="G43" i="9"/>
  <c r="F43" i="9"/>
  <c r="Y42" i="9"/>
  <c r="G42" i="9"/>
  <c r="F42" i="9"/>
  <c r="Y41" i="9"/>
  <c r="G41" i="9"/>
  <c r="F41" i="9"/>
  <c r="Y40" i="9"/>
  <c r="G40" i="9"/>
  <c r="F40" i="9"/>
  <c r="Y39" i="9"/>
  <c r="G39" i="9"/>
  <c r="F39" i="9"/>
  <c r="Y38" i="9"/>
  <c r="G38" i="9"/>
  <c r="F38" i="9"/>
  <c r="Y37" i="9"/>
  <c r="G37" i="9"/>
  <c r="F37" i="9"/>
  <c r="Y36" i="9"/>
  <c r="G36" i="9"/>
  <c r="F36" i="9"/>
  <c r="Y35" i="9"/>
  <c r="G35" i="9"/>
  <c r="F35" i="9"/>
  <c r="Y34" i="9"/>
  <c r="G34" i="9"/>
  <c r="F34" i="9"/>
  <c r="Y33" i="9"/>
  <c r="G33" i="9"/>
  <c r="F33" i="9"/>
  <c r="Y32" i="9"/>
  <c r="G32" i="9"/>
  <c r="F32" i="9"/>
  <c r="Y31" i="9"/>
  <c r="G31" i="9"/>
  <c r="F31" i="9"/>
  <c r="Y30" i="9"/>
  <c r="G30" i="9"/>
  <c r="F30" i="9"/>
  <c r="Y29" i="9"/>
  <c r="G29" i="9"/>
  <c r="F29" i="9"/>
  <c r="Y28" i="9"/>
  <c r="G28" i="9"/>
  <c r="F28" i="9"/>
  <c r="Y27" i="9"/>
  <c r="G27" i="9"/>
  <c r="F27" i="9"/>
  <c r="Y26" i="9"/>
  <c r="G26" i="9"/>
  <c r="F26" i="9"/>
  <c r="Y25" i="9"/>
  <c r="G25" i="9"/>
  <c r="F25" i="9"/>
  <c r="Y24" i="9"/>
  <c r="G24" i="9"/>
  <c r="Y23" i="9"/>
  <c r="G23" i="9"/>
  <c r="F23" i="9"/>
  <c r="Y22" i="9"/>
  <c r="G22" i="9"/>
  <c r="F22" i="9"/>
  <c r="Y21" i="9"/>
  <c r="G21" i="9"/>
  <c r="F21" i="9"/>
  <c r="Y20" i="9"/>
  <c r="G20" i="9"/>
  <c r="F20" i="9"/>
  <c r="Y19" i="9"/>
  <c r="G19" i="9"/>
  <c r="F19" i="9"/>
  <c r="Y18" i="9"/>
  <c r="G18" i="9"/>
  <c r="F18" i="9"/>
  <c r="Y17" i="9"/>
  <c r="G17" i="9"/>
  <c r="F17" i="9"/>
  <c r="Y16" i="9"/>
  <c r="G16" i="9"/>
  <c r="F16" i="9"/>
  <c r="Y15" i="9"/>
  <c r="G15" i="9"/>
  <c r="F15" i="9"/>
  <c r="Y14" i="9"/>
  <c r="G14" i="9"/>
  <c r="F14" i="9"/>
  <c r="Y13" i="9"/>
  <c r="G13" i="9"/>
  <c r="F13" i="9"/>
  <c r="Y12" i="9"/>
  <c r="G12" i="9"/>
  <c r="F12" i="9"/>
  <c r="Y11" i="9"/>
  <c r="G11" i="9"/>
  <c r="F11" i="9"/>
  <c r="Y10" i="9"/>
  <c r="G10" i="9"/>
  <c r="F10" i="9"/>
  <c r="Y9" i="9"/>
  <c r="G9" i="9"/>
  <c r="F9" i="9"/>
  <c r="Y8" i="9"/>
  <c r="G8" i="9"/>
  <c r="F8" i="9"/>
  <c r="Y7" i="9"/>
  <c r="G7" i="9"/>
  <c r="F7" i="9"/>
  <c r="Y6" i="9"/>
  <c r="G6" i="9"/>
  <c r="F6" i="9"/>
  <c r="Y5" i="9"/>
  <c r="G5" i="9"/>
  <c r="F5" i="9"/>
  <c r="Y4" i="9"/>
  <c r="G4" i="9"/>
  <c r="F4" i="9"/>
  <c r="Y3" i="9"/>
  <c r="G3" i="9"/>
  <c r="F3" i="9"/>
  <c r="Y2" i="9"/>
  <c r="G2" i="9"/>
  <c r="F2" i="9"/>
  <c r="AH188" i="1" l="1"/>
  <c r="AO188" i="1" s="1"/>
  <c r="AO282" i="1"/>
  <c r="E407" i="1"/>
  <c r="L407" i="1"/>
  <c r="E380" i="1"/>
  <c r="L380" i="1"/>
  <c r="G407" i="1"/>
  <c r="G380" i="1"/>
  <c r="H407" i="1"/>
  <c r="H380" i="1"/>
  <c r="F407" i="1"/>
  <c r="F380" i="1"/>
  <c r="E357" i="1"/>
  <c r="L357" i="1"/>
  <c r="F357" i="1"/>
  <c r="G357" i="1"/>
  <c r="H357" i="1"/>
  <c r="E348" i="1"/>
  <c r="E352" i="1"/>
  <c r="E356" i="1"/>
  <c r="E361" i="1"/>
  <c r="E365" i="1"/>
  <c r="E369" i="1"/>
  <c r="E373" i="1"/>
  <c r="E377" i="1"/>
  <c r="E382" i="1"/>
  <c r="E386" i="1"/>
  <c r="E390" i="1"/>
  <c r="E394" i="1"/>
  <c r="E398" i="1"/>
  <c r="E402" i="1"/>
  <c r="E406" i="1"/>
  <c r="F351" i="1"/>
  <c r="F355" i="1"/>
  <c r="F360" i="1"/>
  <c r="F364" i="1"/>
  <c r="F368" i="1"/>
  <c r="F372" i="1"/>
  <c r="F376" i="1"/>
  <c r="F381" i="1"/>
  <c r="F385" i="1"/>
  <c r="F389" i="1"/>
  <c r="F393" i="1"/>
  <c r="F397" i="1"/>
  <c r="F401" i="1"/>
  <c r="F405" i="1"/>
  <c r="G350" i="1"/>
  <c r="G354" i="1"/>
  <c r="G359" i="1"/>
  <c r="G363" i="1"/>
  <c r="G367" i="1"/>
  <c r="G371" i="1"/>
  <c r="G375" i="1"/>
  <c r="G379" i="1"/>
  <c r="G384" i="1"/>
  <c r="G388" i="1"/>
  <c r="G392" i="1"/>
  <c r="G396" i="1"/>
  <c r="G400" i="1"/>
  <c r="G404" i="1"/>
  <c r="H349" i="1"/>
  <c r="H353" i="1"/>
  <c r="H358" i="1"/>
  <c r="H362" i="1"/>
  <c r="H366" i="1"/>
  <c r="H370" i="1"/>
  <c r="H374" i="1"/>
  <c r="H378" i="1"/>
  <c r="H383" i="1"/>
  <c r="H387" i="1"/>
  <c r="H391" i="1"/>
  <c r="H395" i="1"/>
  <c r="H399" i="1"/>
  <c r="H403" i="1"/>
  <c r="L348" i="1"/>
  <c r="L352" i="1"/>
  <c r="L356" i="1"/>
  <c r="L361" i="1"/>
  <c r="L365" i="1"/>
  <c r="L369" i="1"/>
  <c r="L373" i="1"/>
  <c r="L377" i="1"/>
  <c r="L382" i="1"/>
  <c r="L386" i="1"/>
  <c r="L390" i="1"/>
  <c r="L394" i="1"/>
  <c r="L398" i="1"/>
  <c r="L402" i="1"/>
  <c r="L406" i="1"/>
  <c r="E291" i="1"/>
  <c r="E295" i="1"/>
  <c r="E299" i="1"/>
  <c r="E303" i="1"/>
  <c r="E307" i="1"/>
  <c r="E311" i="1"/>
  <c r="E315" i="1"/>
  <c r="E319" i="1"/>
  <c r="E323" i="1"/>
  <c r="E327" i="1"/>
  <c r="E331" i="1"/>
  <c r="E335" i="1"/>
  <c r="E339" i="1"/>
  <c r="E349" i="1"/>
  <c r="E353" i="1"/>
  <c r="E358" i="1"/>
  <c r="E362" i="1"/>
  <c r="E366" i="1"/>
  <c r="E370" i="1"/>
  <c r="E374" i="1"/>
  <c r="E378" i="1"/>
  <c r="E383" i="1"/>
  <c r="E387" i="1"/>
  <c r="E391" i="1"/>
  <c r="E395" i="1"/>
  <c r="E399" i="1"/>
  <c r="E403" i="1"/>
  <c r="F348" i="1"/>
  <c r="F352" i="1"/>
  <c r="F356" i="1"/>
  <c r="F361" i="1"/>
  <c r="F365" i="1"/>
  <c r="F369" i="1"/>
  <c r="F373" i="1"/>
  <c r="F377" i="1"/>
  <c r="F382" i="1"/>
  <c r="F386" i="1"/>
  <c r="F390" i="1"/>
  <c r="F394" i="1"/>
  <c r="F398" i="1"/>
  <c r="F402" i="1"/>
  <c r="F406" i="1"/>
  <c r="G351" i="1"/>
  <c r="G355" i="1"/>
  <c r="G360" i="1"/>
  <c r="G364" i="1"/>
  <c r="G368" i="1"/>
  <c r="G372" i="1"/>
  <c r="G376" i="1"/>
  <c r="G381" i="1"/>
  <c r="G385" i="1"/>
  <c r="G389" i="1"/>
  <c r="G393" i="1"/>
  <c r="G397" i="1"/>
  <c r="G401" i="1"/>
  <c r="G405" i="1"/>
  <c r="H350" i="1"/>
  <c r="H354" i="1"/>
  <c r="H359" i="1"/>
  <c r="H363" i="1"/>
  <c r="H367" i="1"/>
  <c r="H371" i="1"/>
  <c r="H375" i="1"/>
  <c r="H379" i="1"/>
  <c r="H384" i="1"/>
  <c r="H388" i="1"/>
  <c r="H392" i="1"/>
  <c r="H396" i="1"/>
  <c r="H400" i="1"/>
  <c r="H404" i="1"/>
  <c r="L349" i="1"/>
  <c r="L353" i="1"/>
  <c r="L358" i="1"/>
  <c r="L362" i="1"/>
  <c r="L366" i="1"/>
  <c r="L370" i="1"/>
  <c r="L374" i="1"/>
  <c r="L378" i="1"/>
  <c r="L383" i="1"/>
  <c r="L387" i="1"/>
  <c r="L391" i="1"/>
  <c r="L395" i="1"/>
  <c r="L399" i="1"/>
  <c r="L403" i="1"/>
  <c r="E350" i="1"/>
  <c r="E359" i="1"/>
  <c r="E367" i="1"/>
  <c r="E375" i="1"/>
  <c r="E384" i="1"/>
  <c r="E392" i="1"/>
  <c r="E400" i="1"/>
  <c r="F349" i="1"/>
  <c r="F358" i="1"/>
  <c r="F366" i="1"/>
  <c r="F374" i="1"/>
  <c r="E351" i="1"/>
  <c r="E360" i="1"/>
  <c r="E368" i="1"/>
  <c r="E376" i="1"/>
  <c r="E385" i="1"/>
  <c r="E393" i="1"/>
  <c r="E401" i="1"/>
  <c r="F350" i="1"/>
  <c r="F359" i="1"/>
  <c r="F367" i="1"/>
  <c r="F375" i="1"/>
  <c r="F384" i="1"/>
  <c r="F392" i="1"/>
  <c r="F400" i="1"/>
  <c r="G349" i="1"/>
  <c r="G358" i="1"/>
  <c r="G366" i="1"/>
  <c r="G374" i="1"/>
  <c r="G383" i="1"/>
  <c r="G391" i="1"/>
  <c r="G399" i="1"/>
  <c r="H348" i="1"/>
  <c r="H356" i="1"/>
  <c r="H365" i="1"/>
  <c r="H373" i="1"/>
  <c r="H382" i="1"/>
  <c r="H390" i="1"/>
  <c r="H398" i="1"/>
  <c r="H406" i="1"/>
  <c r="L355" i="1"/>
  <c r="L364" i="1"/>
  <c r="L372" i="1"/>
  <c r="L381" i="1"/>
  <c r="L389" i="1"/>
  <c r="L397" i="1"/>
  <c r="L405" i="1"/>
  <c r="E292" i="1"/>
  <c r="E297" i="1"/>
  <c r="E302" i="1"/>
  <c r="E308" i="1"/>
  <c r="E313" i="1"/>
  <c r="E318" i="1"/>
  <c r="E324" i="1"/>
  <c r="E329" i="1"/>
  <c r="E334" i="1"/>
  <c r="E340" i="1"/>
  <c r="E344" i="1"/>
  <c r="F291" i="1"/>
  <c r="F295" i="1"/>
  <c r="F299" i="1"/>
  <c r="F303" i="1"/>
  <c r="F307" i="1"/>
  <c r="F311" i="1"/>
  <c r="F315" i="1"/>
  <c r="F319" i="1"/>
  <c r="F323" i="1"/>
  <c r="F327" i="1"/>
  <c r="F331" i="1"/>
  <c r="F335" i="1"/>
  <c r="F339" i="1"/>
  <c r="F343" i="1"/>
  <c r="F347" i="1"/>
  <c r="G294" i="1"/>
  <c r="G298" i="1"/>
  <c r="G302" i="1"/>
  <c r="G306" i="1"/>
  <c r="G310" i="1"/>
  <c r="G314" i="1"/>
  <c r="G318" i="1"/>
  <c r="G322" i="1"/>
  <c r="G326" i="1"/>
  <c r="G330" i="1"/>
  <c r="G334" i="1"/>
  <c r="G338" i="1"/>
  <c r="G342" i="1"/>
  <c r="G346" i="1"/>
  <c r="H293" i="1"/>
  <c r="H297" i="1"/>
  <c r="H301" i="1"/>
  <c r="H305" i="1"/>
  <c r="H309" i="1"/>
  <c r="H313" i="1"/>
  <c r="H317" i="1"/>
  <c r="H321" i="1"/>
  <c r="H325" i="1"/>
  <c r="E354" i="1"/>
  <c r="E371" i="1"/>
  <c r="E388" i="1"/>
  <c r="E404" i="1"/>
  <c r="F362" i="1"/>
  <c r="F378" i="1"/>
  <c r="F388" i="1"/>
  <c r="F399" i="1"/>
  <c r="G352" i="1"/>
  <c r="G362" i="1"/>
  <c r="G373" i="1"/>
  <c r="G386" i="1"/>
  <c r="G395" i="1"/>
  <c r="G406" i="1"/>
  <c r="H360" i="1"/>
  <c r="H369" i="1"/>
  <c r="H381" i="1"/>
  <c r="H393" i="1"/>
  <c r="H402" i="1"/>
  <c r="L354" i="1"/>
  <c r="L367" i="1"/>
  <c r="L376" i="1"/>
  <c r="L388" i="1"/>
  <c r="L400" i="1"/>
  <c r="E296" i="1"/>
  <c r="E304" i="1"/>
  <c r="E310" i="1"/>
  <c r="E317" i="1"/>
  <c r="E325" i="1"/>
  <c r="E332" i="1"/>
  <c r="E338" i="1"/>
  <c r="E345" i="1"/>
  <c r="F293" i="1"/>
  <c r="F298" i="1"/>
  <c r="F304" i="1"/>
  <c r="F309" i="1"/>
  <c r="F314" i="1"/>
  <c r="F320" i="1"/>
  <c r="F325" i="1"/>
  <c r="F330" i="1"/>
  <c r="F336" i="1"/>
  <c r="F341" i="1"/>
  <c r="F346" i="1"/>
  <c r="G295" i="1"/>
  <c r="G300" i="1"/>
  <c r="G305" i="1"/>
  <c r="G311" i="1"/>
  <c r="G316" i="1"/>
  <c r="G321" i="1"/>
  <c r="G327" i="1"/>
  <c r="G332" i="1"/>
  <c r="G337" i="1"/>
  <c r="G343" i="1"/>
  <c r="H291" i="1"/>
  <c r="H296" i="1"/>
  <c r="H302" i="1"/>
  <c r="H307" i="1"/>
  <c r="H312" i="1"/>
  <c r="H318" i="1"/>
  <c r="H323" i="1"/>
  <c r="H328" i="1"/>
  <c r="H332" i="1"/>
  <c r="H336" i="1"/>
  <c r="H340" i="1"/>
  <c r="H344" i="1"/>
  <c r="L291" i="1"/>
  <c r="L295" i="1"/>
  <c r="L299" i="1"/>
  <c r="L303" i="1"/>
  <c r="L307" i="1"/>
  <c r="L311" i="1"/>
  <c r="L315" i="1"/>
  <c r="L319" i="1"/>
  <c r="L323" i="1"/>
  <c r="L327" i="1"/>
  <c r="L331" i="1"/>
  <c r="L335" i="1"/>
  <c r="L339" i="1"/>
  <c r="L343" i="1"/>
  <c r="L347" i="1"/>
  <c r="E234" i="1"/>
  <c r="E238" i="1"/>
  <c r="E242" i="1"/>
  <c r="E246" i="1"/>
  <c r="E250" i="1"/>
  <c r="E254" i="1"/>
  <c r="E258" i="1"/>
  <c r="E262" i="1"/>
  <c r="E266" i="1"/>
  <c r="E364" i="1"/>
  <c r="E381" i="1"/>
  <c r="E397" i="1"/>
  <c r="F354" i="1"/>
  <c r="F371" i="1"/>
  <c r="F387" i="1"/>
  <c r="F396" i="1"/>
  <c r="G348" i="1"/>
  <c r="G361" i="1"/>
  <c r="G370" i="1"/>
  <c r="G382" i="1"/>
  <c r="G394" i="1"/>
  <c r="G403" i="1"/>
  <c r="H355" i="1"/>
  <c r="H368" i="1"/>
  <c r="H377" i="1"/>
  <c r="H389" i="1"/>
  <c r="H401" i="1"/>
  <c r="L351" i="1"/>
  <c r="L363" i="1"/>
  <c r="L375" i="1"/>
  <c r="L385" i="1"/>
  <c r="L396" i="1"/>
  <c r="E294" i="1"/>
  <c r="E301" i="1"/>
  <c r="E309" i="1"/>
  <c r="E316" i="1"/>
  <c r="E322" i="1"/>
  <c r="E330" i="1"/>
  <c r="E337" i="1"/>
  <c r="E343" i="1"/>
  <c r="F292" i="1"/>
  <c r="F297" i="1"/>
  <c r="F302" i="1"/>
  <c r="F308" i="1"/>
  <c r="F313" i="1"/>
  <c r="F318" i="1"/>
  <c r="F324" i="1"/>
  <c r="F329" i="1"/>
  <c r="F334" i="1"/>
  <c r="F340" i="1"/>
  <c r="F345" i="1"/>
  <c r="G293" i="1"/>
  <c r="G299" i="1"/>
  <c r="G304" i="1"/>
  <c r="G309" i="1"/>
  <c r="G315" i="1"/>
  <c r="G320" i="1"/>
  <c r="G325" i="1"/>
  <c r="G331" i="1"/>
  <c r="G336" i="1"/>
  <c r="G341" i="1"/>
  <c r="G347" i="1"/>
  <c r="H295" i="1"/>
  <c r="H300" i="1"/>
  <c r="H306" i="1"/>
  <c r="H311" i="1"/>
  <c r="H316" i="1"/>
  <c r="H322" i="1"/>
  <c r="H327" i="1"/>
  <c r="H331" i="1"/>
  <c r="H335" i="1"/>
  <c r="H339" i="1"/>
  <c r="H343" i="1"/>
  <c r="H347" i="1"/>
  <c r="L294" i="1"/>
  <c r="L298" i="1"/>
  <c r="L302" i="1"/>
  <c r="L306" i="1"/>
  <c r="L310" i="1"/>
  <c r="L314" i="1"/>
  <c r="L318" i="1"/>
  <c r="L322" i="1"/>
  <c r="L326" i="1"/>
  <c r="L330" i="1"/>
  <c r="L334" i="1"/>
  <c r="L338" i="1"/>
  <c r="L342" i="1"/>
  <c r="L346" i="1"/>
  <c r="E237" i="1"/>
  <c r="E241" i="1"/>
  <c r="E245" i="1"/>
  <c r="E249" i="1"/>
  <c r="E253" i="1"/>
  <c r="E257" i="1"/>
  <c r="E355" i="1"/>
  <c r="E389" i="1"/>
  <c r="F363" i="1"/>
  <c r="F391" i="1"/>
  <c r="G353" i="1"/>
  <c r="G377" i="1"/>
  <c r="G398" i="1"/>
  <c r="H361" i="1"/>
  <c r="H385" i="1"/>
  <c r="H405" i="1"/>
  <c r="L368" i="1"/>
  <c r="L392" i="1"/>
  <c r="E298" i="1"/>
  <c r="E312" i="1"/>
  <c r="E326" i="1"/>
  <c r="E341" i="1"/>
  <c r="F294" i="1"/>
  <c r="F305" i="1"/>
  <c r="F316" i="1"/>
  <c r="F326" i="1"/>
  <c r="F337" i="1"/>
  <c r="G291" i="1"/>
  <c r="G301" i="1"/>
  <c r="G312" i="1"/>
  <c r="G323" i="1"/>
  <c r="G333" i="1"/>
  <c r="G344" i="1"/>
  <c r="H298" i="1"/>
  <c r="H308" i="1"/>
  <c r="H319" i="1"/>
  <c r="H329" i="1"/>
  <c r="H337" i="1"/>
  <c r="H345" i="1"/>
  <c r="L296" i="1"/>
  <c r="L304" i="1"/>
  <c r="L312" i="1"/>
  <c r="L320" i="1"/>
  <c r="L328" i="1"/>
  <c r="L336" i="1"/>
  <c r="L344" i="1"/>
  <c r="E240" i="1"/>
  <c r="E248" i="1"/>
  <c r="E256" i="1"/>
  <c r="E263" i="1"/>
  <c r="E268" i="1"/>
  <c r="E272" i="1"/>
  <c r="E276" i="1"/>
  <c r="E280" i="1"/>
  <c r="E284" i="1"/>
  <c r="E288" i="1"/>
  <c r="F235" i="1"/>
  <c r="F239" i="1"/>
  <c r="F243" i="1"/>
  <c r="F247" i="1"/>
  <c r="F251" i="1"/>
  <c r="F255" i="1"/>
  <c r="F259" i="1"/>
  <c r="F263" i="1"/>
  <c r="F267" i="1"/>
  <c r="F271" i="1"/>
  <c r="F275" i="1"/>
  <c r="F279" i="1"/>
  <c r="F283" i="1"/>
  <c r="F287" i="1"/>
  <c r="G234" i="1"/>
  <c r="G238" i="1"/>
  <c r="G242" i="1"/>
  <c r="G246" i="1"/>
  <c r="G250" i="1"/>
  <c r="G254" i="1"/>
  <c r="G258" i="1"/>
  <c r="G262" i="1"/>
  <c r="G266" i="1"/>
  <c r="G270" i="1"/>
  <c r="G274" i="1"/>
  <c r="G278" i="1"/>
  <c r="G282" i="1"/>
  <c r="G286" i="1"/>
  <c r="G290" i="1"/>
  <c r="H237" i="1"/>
  <c r="H241" i="1"/>
  <c r="H245" i="1"/>
  <c r="H249" i="1"/>
  <c r="H253" i="1"/>
  <c r="H257" i="1"/>
  <c r="H261" i="1"/>
  <c r="H265" i="1"/>
  <c r="H269" i="1"/>
  <c r="H273" i="1"/>
  <c r="H277" i="1"/>
  <c r="H281" i="1"/>
  <c r="H285" i="1"/>
  <c r="H289" i="1"/>
  <c r="L236" i="1"/>
  <c r="L240" i="1"/>
  <c r="L244" i="1"/>
  <c r="L248" i="1"/>
  <c r="L252" i="1"/>
  <c r="L256" i="1"/>
  <c r="L260" i="1"/>
  <c r="L264" i="1"/>
  <c r="L268" i="1"/>
  <c r="L272" i="1"/>
  <c r="L276" i="1"/>
  <c r="L280" i="1"/>
  <c r="L284" i="1"/>
  <c r="L288" i="1"/>
  <c r="E372" i="1"/>
  <c r="E405" i="1"/>
  <c r="F379" i="1"/>
  <c r="F403" i="1"/>
  <c r="G365" i="1"/>
  <c r="G387" i="1"/>
  <c r="H351" i="1"/>
  <c r="H372" i="1"/>
  <c r="H394" i="1"/>
  <c r="L359" i="1"/>
  <c r="L379" i="1"/>
  <c r="L401" i="1"/>
  <c r="E305" i="1"/>
  <c r="E320" i="1"/>
  <c r="E333" i="1"/>
  <c r="E346" i="1"/>
  <c r="F300" i="1"/>
  <c r="F310" i="1"/>
  <c r="F321" i="1"/>
  <c r="F332" i="1"/>
  <c r="F342" i="1"/>
  <c r="G296" i="1"/>
  <c r="G307" i="1"/>
  <c r="G317" i="1"/>
  <c r="G328" i="1"/>
  <c r="G339" i="1"/>
  <c r="H292" i="1"/>
  <c r="H303" i="1"/>
  <c r="H314" i="1"/>
  <c r="H324" i="1"/>
  <c r="H333" i="1"/>
  <c r="H341" i="1"/>
  <c r="L292" i="1"/>
  <c r="L300" i="1"/>
  <c r="L308" i="1"/>
  <c r="L316" i="1"/>
  <c r="L324" i="1"/>
  <c r="L332" i="1"/>
  <c r="L340" i="1"/>
  <c r="E236" i="1"/>
  <c r="E244" i="1"/>
  <c r="E252" i="1"/>
  <c r="E260" i="1"/>
  <c r="E265" i="1"/>
  <c r="E270" i="1"/>
  <c r="E274" i="1"/>
  <c r="E278" i="1"/>
  <c r="E282" i="1"/>
  <c r="E286" i="1"/>
  <c r="E290" i="1"/>
  <c r="F237" i="1"/>
  <c r="F241" i="1"/>
  <c r="F245" i="1"/>
  <c r="F249" i="1"/>
  <c r="F253" i="1"/>
  <c r="F257" i="1"/>
  <c r="F261" i="1"/>
  <c r="F265" i="1"/>
  <c r="F269" i="1"/>
  <c r="F273" i="1"/>
  <c r="F277" i="1"/>
  <c r="F281" i="1"/>
  <c r="F285" i="1"/>
  <c r="F289" i="1"/>
  <c r="G236" i="1"/>
  <c r="G240" i="1"/>
  <c r="G244" i="1"/>
  <c r="G248" i="1"/>
  <c r="G252" i="1"/>
  <c r="G256" i="1"/>
  <c r="G260" i="1"/>
  <c r="G264" i="1"/>
  <c r="G268" i="1"/>
  <c r="G272" i="1"/>
  <c r="G276" i="1"/>
  <c r="G280" i="1"/>
  <c r="G284" i="1"/>
  <c r="G288" i="1"/>
  <c r="H235" i="1"/>
  <c r="H239" i="1"/>
  <c r="H243" i="1"/>
  <c r="H247" i="1"/>
  <c r="H251" i="1"/>
  <c r="H255" i="1"/>
  <c r="H259" i="1"/>
  <c r="E363" i="1"/>
  <c r="F370" i="1"/>
  <c r="G356" i="1"/>
  <c r="G402" i="1"/>
  <c r="H386" i="1"/>
  <c r="L371" i="1"/>
  <c r="E300" i="1"/>
  <c r="E328" i="1"/>
  <c r="F296" i="1"/>
  <c r="F317" i="1"/>
  <c r="F338" i="1"/>
  <c r="G303" i="1"/>
  <c r="G324" i="1"/>
  <c r="G345" i="1"/>
  <c r="H310" i="1"/>
  <c r="H330" i="1"/>
  <c r="H346" i="1"/>
  <c r="L305" i="1"/>
  <c r="L321" i="1"/>
  <c r="L337" i="1"/>
  <c r="E243" i="1"/>
  <c r="E259" i="1"/>
  <c r="E269" i="1"/>
  <c r="E277" i="1"/>
  <c r="E285" i="1"/>
  <c r="F236" i="1"/>
  <c r="F244" i="1"/>
  <c r="F252" i="1"/>
  <c r="F260" i="1"/>
  <c r="F268" i="1"/>
  <c r="F276" i="1"/>
  <c r="F284" i="1"/>
  <c r="G235" i="1"/>
  <c r="G243" i="1"/>
  <c r="G251" i="1"/>
  <c r="G259" i="1"/>
  <c r="G267" i="1"/>
  <c r="G275" i="1"/>
  <c r="G283" i="1"/>
  <c r="H234" i="1"/>
  <c r="H242" i="1"/>
  <c r="H250" i="1"/>
  <c r="H258" i="1"/>
  <c r="H264" i="1"/>
  <c r="H270" i="1"/>
  <c r="H275" i="1"/>
  <c r="H280" i="1"/>
  <c r="H286" i="1"/>
  <c r="L234" i="1"/>
  <c r="L239" i="1"/>
  <c r="L245" i="1"/>
  <c r="L250" i="1"/>
  <c r="L255" i="1"/>
  <c r="L261" i="1"/>
  <c r="L266" i="1"/>
  <c r="L271" i="1"/>
  <c r="L277" i="1"/>
  <c r="L282" i="1"/>
  <c r="L287" i="1"/>
  <c r="E178" i="1"/>
  <c r="E182" i="1"/>
  <c r="E186" i="1"/>
  <c r="E190" i="1"/>
  <c r="E194" i="1"/>
  <c r="E198" i="1"/>
  <c r="E202" i="1"/>
  <c r="E206" i="1"/>
  <c r="E210" i="1"/>
  <c r="E214" i="1"/>
  <c r="E218" i="1"/>
  <c r="E222" i="1"/>
  <c r="E226" i="1"/>
  <c r="E230" i="1"/>
  <c r="F177" i="1"/>
  <c r="F181" i="1"/>
  <c r="F185" i="1"/>
  <c r="F189" i="1"/>
  <c r="F193" i="1"/>
  <c r="F197" i="1"/>
  <c r="F201" i="1"/>
  <c r="F205" i="1"/>
  <c r="F209" i="1"/>
  <c r="F213" i="1"/>
  <c r="F217" i="1"/>
  <c r="F221" i="1"/>
  <c r="F225" i="1"/>
  <c r="F229" i="1"/>
  <c r="F233" i="1"/>
  <c r="G180" i="1"/>
  <c r="G184" i="1"/>
  <c r="G188" i="1"/>
  <c r="G192" i="1"/>
  <c r="G196" i="1"/>
  <c r="G200" i="1"/>
  <c r="G204" i="1"/>
  <c r="G208" i="1"/>
  <c r="G212" i="1"/>
  <c r="G216" i="1"/>
  <c r="G220" i="1"/>
  <c r="G224" i="1"/>
  <c r="G228" i="1"/>
  <c r="G232" i="1"/>
  <c r="H179" i="1"/>
  <c r="H183" i="1"/>
  <c r="H187" i="1"/>
  <c r="H191" i="1"/>
  <c r="H195" i="1"/>
  <c r="H199" i="1"/>
  <c r="H203" i="1"/>
  <c r="H207" i="1"/>
  <c r="H211" i="1"/>
  <c r="H215" i="1"/>
  <c r="H219" i="1"/>
  <c r="H223" i="1"/>
  <c r="H227" i="1"/>
  <c r="H231" i="1"/>
  <c r="L178" i="1"/>
  <c r="L182" i="1"/>
  <c r="L186" i="1"/>
  <c r="L190" i="1"/>
  <c r="L194" i="1"/>
  <c r="L198" i="1"/>
  <c r="L202" i="1"/>
  <c r="L206" i="1"/>
  <c r="L210" i="1"/>
  <c r="L214" i="1"/>
  <c r="L218" i="1"/>
  <c r="L222" i="1"/>
  <c r="L226" i="1"/>
  <c r="L230" i="1"/>
  <c r="E379" i="1"/>
  <c r="F383" i="1"/>
  <c r="G369" i="1"/>
  <c r="H352" i="1"/>
  <c r="H397" i="1"/>
  <c r="L384" i="1"/>
  <c r="E306" i="1"/>
  <c r="E336" i="1"/>
  <c r="F301" i="1"/>
  <c r="F322" i="1"/>
  <c r="F344" i="1"/>
  <c r="G308" i="1"/>
  <c r="G329" i="1"/>
  <c r="H294" i="1"/>
  <c r="H315" i="1"/>
  <c r="H334" i="1"/>
  <c r="L293" i="1"/>
  <c r="L309" i="1"/>
  <c r="L325" i="1"/>
  <c r="L341" i="1"/>
  <c r="E247" i="1"/>
  <c r="E261" i="1"/>
  <c r="E271" i="1"/>
  <c r="E279" i="1"/>
  <c r="E287" i="1"/>
  <c r="F238" i="1"/>
  <c r="F246" i="1"/>
  <c r="F254" i="1"/>
  <c r="F262" i="1"/>
  <c r="F270" i="1"/>
  <c r="F278" i="1"/>
  <c r="F286" i="1"/>
  <c r="G237" i="1"/>
  <c r="G245" i="1"/>
  <c r="G253" i="1"/>
  <c r="G261" i="1"/>
  <c r="G269" i="1"/>
  <c r="G277" i="1"/>
  <c r="G285" i="1"/>
  <c r="H236" i="1"/>
  <c r="H244" i="1"/>
  <c r="H252" i="1"/>
  <c r="H260" i="1"/>
  <c r="H266" i="1"/>
  <c r="H271" i="1"/>
  <c r="H276" i="1"/>
  <c r="H282" i="1"/>
  <c r="H287" i="1"/>
  <c r="L235" i="1"/>
  <c r="L241" i="1"/>
  <c r="L246" i="1"/>
  <c r="L251" i="1"/>
  <c r="L257" i="1"/>
  <c r="L262" i="1"/>
  <c r="L267" i="1"/>
  <c r="L273" i="1"/>
  <c r="L278" i="1"/>
  <c r="L283" i="1"/>
  <c r="L289" i="1"/>
  <c r="E179" i="1"/>
  <c r="E183" i="1"/>
  <c r="E187" i="1"/>
  <c r="E191" i="1"/>
  <c r="E195" i="1"/>
  <c r="E199" i="1"/>
  <c r="E203" i="1"/>
  <c r="E207" i="1"/>
  <c r="E211" i="1"/>
  <c r="E215" i="1"/>
  <c r="E219" i="1"/>
  <c r="E223" i="1"/>
  <c r="E227" i="1"/>
  <c r="E231" i="1"/>
  <c r="F178" i="1"/>
  <c r="F182" i="1"/>
  <c r="F186" i="1"/>
  <c r="F190" i="1"/>
  <c r="F194" i="1"/>
  <c r="F198" i="1"/>
  <c r="F202" i="1"/>
  <c r="F206" i="1"/>
  <c r="F210" i="1"/>
  <c r="F214" i="1"/>
  <c r="F218" i="1"/>
  <c r="F222" i="1"/>
  <c r="F226" i="1"/>
  <c r="F230" i="1"/>
  <c r="G177" i="1"/>
  <c r="G181" i="1"/>
  <c r="G185" i="1"/>
  <c r="G189" i="1"/>
  <c r="G193" i="1"/>
  <c r="G197" i="1"/>
  <c r="G201" i="1"/>
  <c r="G205" i="1"/>
  <c r="G209" i="1"/>
  <c r="G213" i="1"/>
  <c r="G217" i="1"/>
  <c r="G221" i="1"/>
  <c r="G225" i="1"/>
  <c r="G229" i="1"/>
  <c r="G233" i="1"/>
  <c r="H180" i="1"/>
  <c r="H184" i="1"/>
  <c r="H188" i="1"/>
  <c r="H192" i="1"/>
  <c r="H196" i="1"/>
  <c r="H200" i="1"/>
  <c r="H204" i="1"/>
  <c r="H208" i="1"/>
  <c r="H212" i="1"/>
  <c r="H216" i="1"/>
  <c r="H220" i="1"/>
  <c r="H224" i="1"/>
  <c r="H228" i="1"/>
  <c r="H232" i="1"/>
  <c r="L179" i="1"/>
  <c r="L183" i="1"/>
  <c r="L187" i="1"/>
  <c r="L191" i="1"/>
  <c r="L195" i="1"/>
  <c r="L199" i="1"/>
  <c r="L203" i="1"/>
  <c r="L207" i="1"/>
  <c r="L211" i="1"/>
  <c r="L215" i="1"/>
  <c r="L219" i="1"/>
  <c r="L223" i="1"/>
  <c r="L227" i="1"/>
  <c r="L231" i="1"/>
  <c r="E122" i="1"/>
  <c r="E126" i="1"/>
  <c r="E130" i="1"/>
  <c r="E134" i="1"/>
  <c r="E138" i="1"/>
  <c r="E142" i="1"/>
  <c r="E146" i="1"/>
  <c r="E150" i="1"/>
  <c r="E154" i="1"/>
  <c r="E158" i="1"/>
  <c r="E162" i="1"/>
  <c r="E166" i="1"/>
  <c r="E170" i="1"/>
  <c r="E174" i="1"/>
  <c r="F121" i="1"/>
  <c r="F125" i="1"/>
  <c r="F129" i="1"/>
  <c r="F133" i="1"/>
  <c r="F137" i="1"/>
  <c r="F141" i="1"/>
  <c r="F145" i="1"/>
  <c r="F149" i="1"/>
  <c r="F153" i="1"/>
  <c r="F157" i="1"/>
  <c r="F161" i="1"/>
  <c r="F165" i="1"/>
  <c r="F169" i="1"/>
  <c r="F173" i="1"/>
  <c r="G120" i="1"/>
  <c r="G124" i="1"/>
  <c r="G128" i="1"/>
  <c r="G132" i="1"/>
  <c r="G136" i="1"/>
  <c r="G140" i="1"/>
  <c r="G144" i="1"/>
  <c r="G148" i="1"/>
  <c r="G152" i="1"/>
  <c r="G156" i="1"/>
  <c r="G160" i="1"/>
  <c r="G164" i="1"/>
  <c r="E396" i="1"/>
  <c r="F395" i="1"/>
  <c r="G378" i="1"/>
  <c r="H364" i="1"/>
  <c r="L350" i="1"/>
  <c r="L393" i="1"/>
  <c r="E314" i="1"/>
  <c r="E342" i="1"/>
  <c r="F306" i="1"/>
  <c r="F328" i="1"/>
  <c r="G292" i="1"/>
  <c r="G313" i="1"/>
  <c r="G335" i="1"/>
  <c r="F353" i="1"/>
  <c r="L360" i="1"/>
  <c r="F312" i="1"/>
  <c r="G340" i="1"/>
  <c r="H326" i="1"/>
  <c r="L301" i="1"/>
  <c r="L333" i="1"/>
  <c r="E255" i="1"/>
  <c r="E275" i="1"/>
  <c r="F234" i="1"/>
  <c r="F250" i="1"/>
  <c r="F266" i="1"/>
  <c r="F282" i="1"/>
  <c r="G241" i="1"/>
  <c r="G257" i="1"/>
  <c r="G273" i="1"/>
  <c r="G289" i="1"/>
  <c r="H248" i="1"/>
  <c r="H263" i="1"/>
  <c r="H274" i="1"/>
  <c r="H284" i="1"/>
  <c r="L238" i="1"/>
  <c r="L249" i="1"/>
  <c r="L259" i="1"/>
  <c r="L270" i="1"/>
  <c r="L281" i="1"/>
  <c r="E177" i="1"/>
  <c r="E185" i="1"/>
  <c r="E193" i="1"/>
  <c r="E201" i="1"/>
  <c r="E209" i="1"/>
  <c r="E217" i="1"/>
  <c r="E225" i="1"/>
  <c r="E233" i="1"/>
  <c r="F184" i="1"/>
  <c r="F192" i="1"/>
  <c r="F200" i="1"/>
  <c r="F208" i="1"/>
  <c r="F216" i="1"/>
  <c r="F224" i="1"/>
  <c r="F232" i="1"/>
  <c r="G183" i="1"/>
  <c r="G191" i="1"/>
  <c r="G199" i="1"/>
  <c r="G207" i="1"/>
  <c r="G215" i="1"/>
  <c r="G223" i="1"/>
  <c r="G231" i="1"/>
  <c r="H182" i="1"/>
  <c r="H190" i="1"/>
  <c r="H198" i="1"/>
  <c r="H206" i="1"/>
  <c r="H214" i="1"/>
  <c r="H222" i="1"/>
  <c r="H230" i="1"/>
  <c r="L181" i="1"/>
  <c r="L189" i="1"/>
  <c r="L197" i="1"/>
  <c r="L205" i="1"/>
  <c r="L213" i="1"/>
  <c r="L221" i="1"/>
  <c r="L229" i="1"/>
  <c r="E123" i="1"/>
  <c r="E128" i="1"/>
  <c r="E133" i="1"/>
  <c r="E139" i="1"/>
  <c r="E144" i="1"/>
  <c r="E149" i="1"/>
  <c r="E155" i="1"/>
  <c r="E160" i="1"/>
  <c r="E165" i="1"/>
  <c r="E171" i="1"/>
  <c r="E176" i="1"/>
  <c r="F124" i="1"/>
  <c r="F130" i="1"/>
  <c r="F135" i="1"/>
  <c r="F140" i="1"/>
  <c r="F146" i="1"/>
  <c r="F151" i="1"/>
  <c r="F156" i="1"/>
  <c r="F162" i="1"/>
  <c r="F167" i="1"/>
  <c r="F172" i="1"/>
  <c r="G121" i="1"/>
  <c r="G126" i="1"/>
  <c r="G131" i="1"/>
  <c r="G137" i="1"/>
  <c r="G142" i="1"/>
  <c r="G147" i="1"/>
  <c r="G153" i="1"/>
  <c r="G158" i="1"/>
  <c r="G163" i="1"/>
  <c r="G168" i="1"/>
  <c r="G172" i="1"/>
  <c r="G176" i="1"/>
  <c r="H123" i="1"/>
  <c r="H127" i="1"/>
  <c r="H131" i="1"/>
  <c r="H135" i="1"/>
  <c r="H139" i="1"/>
  <c r="H143" i="1"/>
  <c r="H147" i="1"/>
  <c r="H151" i="1"/>
  <c r="H155" i="1"/>
  <c r="H159" i="1"/>
  <c r="H163" i="1"/>
  <c r="H167" i="1"/>
  <c r="H171" i="1"/>
  <c r="H175" i="1"/>
  <c r="L122" i="1"/>
  <c r="L126" i="1"/>
  <c r="L130" i="1"/>
  <c r="L134" i="1"/>
  <c r="L138" i="1"/>
  <c r="L142" i="1"/>
  <c r="L146" i="1"/>
  <c r="L150" i="1"/>
  <c r="L154" i="1"/>
  <c r="L158" i="1"/>
  <c r="L162" i="1"/>
  <c r="L166" i="1"/>
  <c r="L170" i="1"/>
  <c r="L174" i="1"/>
  <c r="F404" i="1"/>
  <c r="L404" i="1"/>
  <c r="E293" i="1"/>
  <c r="F333" i="1"/>
  <c r="H299" i="1"/>
  <c r="H338" i="1"/>
  <c r="L313" i="1"/>
  <c r="L345" i="1"/>
  <c r="E235" i="1"/>
  <c r="E264" i="1"/>
  <c r="E281" i="1"/>
  <c r="F240" i="1"/>
  <c r="F256" i="1"/>
  <c r="F272" i="1"/>
  <c r="F288" i="1"/>
  <c r="G247" i="1"/>
  <c r="G263" i="1"/>
  <c r="G279" i="1"/>
  <c r="H238" i="1"/>
  <c r="H254" i="1"/>
  <c r="H267" i="1"/>
  <c r="H278" i="1"/>
  <c r="H288" i="1"/>
  <c r="L242" i="1"/>
  <c r="L253" i="1"/>
  <c r="L263" i="1"/>
  <c r="L274" i="1"/>
  <c r="L285" i="1"/>
  <c r="E180" i="1"/>
  <c r="E188" i="1"/>
  <c r="E196" i="1"/>
  <c r="E204" i="1"/>
  <c r="E212" i="1"/>
  <c r="E220" i="1"/>
  <c r="E228" i="1"/>
  <c r="F179" i="1"/>
  <c r="F187" i="1"/>
  <c r="F195" i="1"/>
  <c r="F203" i="1"/>
  <c r="F211" i="1"/>
  <c r="F219" i="1"/>
  <c r="F227" i="1"/>
  <c r="G178" i="1"/>
  <c r="G186" i="1"/>
  <c r="G194" i="1"/>
  <c r="G202" i="1"/>
  <c r="G210" i="1"/>
  <c r="G218" i="1"/>
  <c r="G226" i="1"/>
  <c r="H177" i="1"/>
  <c r="H185" i="1"/>
  <c r="H193" i="1"/>
  <c r="H201" i="1"/>
  <c r="H209" i="1"/>
  <c r="H217" i="1"/>
  <c r="H225" i="1"/>
  <c r="H233" i="1"/>
  <c r="L184" i="1"/>
  <c r="L192" i="1"/>
  <c r="L200" i="1"/>
  <c r="L208" i="1"/>
  <c r="L216" i="1"/>
  <c r="L224" i="1"/>
  <c r="L232" i="1"/>
  <c r="E124" i="1"/>
  <c r="E129" i="1"/>
  <c r="E135" i="1"/>
  <c r="E140" i="1"/>
  <c r="E145" i="1"/>
  <c r="E151" i="1"/>
  <c r="E156" i="1"/>
  <c r="E161" i="1"/>
  <c r="E167" i="1"/>
  <c r="E172" i="1"/>
  <c r="F120" i="1"/>
  <c r="F126" i="1"/>
  <c r="F131" i="1"/>
  <c r="F136" i="1"/>
  <c r="F142" i="1"/>
  <c r="F147" i="1"/>
  <c r="F152" i="1"/>
  <c r="F158" i="1"/>
  <c r="F163" i="1"/>
  <c r="F168" i="1"/>
  <c r="F174" i="1"/>
  <c r="G122" i="1"/>
  <c r="G127" i="1"/>
  <c r="G133" i="1"/>
  <c r="G138" i="1"/>
  <c r="G143" i="1"/>
  <c r="G149" i="1"/>
  <c r="G154" i="1"/>
  <c r="G159" i="1"/>
  <c r="G165" i="1"/>
  <c r="G169" i="1"/>
  <c r="G173" i="1"/>
  <c r="H120" i="1"/>
  <c r="H124" i="1"/>
  <c r="H128" i="1"/>
  <c r="H132" i="1"/>
  <c r="H136" i="1"/>
  <c r="H140" i="1"/>
  <c r="H144" i="1"/>
  <c r="H148" i="1"/>
  <c r="H152" i="1"/>
  <c r="H156" i="1"/>
  <c r="H160" i="1"/>
  <c r="H164" i="1"/>
  <c r="H168" i="1"/>
  <c r="H172" i="1"/>
  <c r="H176" i="1"/>
  <c r="L123" i="1"/>
  <c r="L127" i="1"/>
  <c r="L131" i="1"/>
  <c r="L135" i="1"/>
  <c r="L139" i="1"/>
  <c r="L143" i="1"/>
  <c r="L147" i="1"/>
  <c r="L151" i="1"/>
  <c r="L155" i="1"/>
  <c r="L159" i="1"/>
  <c r="L163" i="1"/>
  <c r="L167" i="1"/>
  <c r="L171" i="1"/>
  <c r="L175" i="1"/>
  <c r="E64" i="1"/>
  <c r="E68" i="1"/>
  <c r="E72" i="1"/>
  <c r="E76" i="1"/>
  <c r="E80" i="1"/>
  <c r="E84" i="1"/>
  <c r="E88" i="1"/>
  <c r="E92" i="1"/>
  <c r="E96" i="1"/>
  <c r="E100" i="1"/>
  <c r="E104" i="1"/>
  <c r="E108" i="1"/>
  <c r="E112" i="1"/>
  <c r="E116" i="1"/>
  <c r="F63" i="1"/>
  <c r="F67" i="1"/>
  <c r="F71" i="1"/>
  <c r="F75" i="1"/>
  <c r="F79" i="1"/>
  <c r="F83" i="1"/>
  <c r="F87" i="1"/>
  <c r="F91" i="1"/>
  <c r="F95" i="1"/>
  <c r="F99" i="1"/>
  <c r="F103" i="1"/>
  <c r="F107" i="1"/>
  <c r="F111" i="1"/>
  <c r="F115" i="1"/>
  <c r="F119" i="1"/>
  <c r="G66" i="1"/>
  <c r="G70" i="1"/>
  <c r="G74" i="1"/>
  <c r="G78" i="1"/>
  <c r="G82" i="1"/>
  <c r="G86" i="1"/>
  <c r="G90" i="1"/>
  <c r="G94" i="1"/>
  <c r="G98" i="1"/>
  <c r="G102" i="1"/>
  <c r="G106" i="1"/>
  <c r="G110" i="1"/>
  <c r="G114" i="1"/>
  <c r="G118" i="1"/>
  <c r="H65" i="1"/>
  <c r="H69" i="1"/>
  <c r="G390" i="1"/>
  <c r="E321" i="1"/>
  <c r="G297" i="1"/>
  <c r="H304" i="1"/>
  <c r="H342" i="1"/>
  <c r="L317" i="1"/>
  <c r="E239" i="1"/>
  <c r="E267" i="1"/>
  <c r="E283" i="1"/>
  <c r="F242" i="1"/>
  <c r="F258" i="1"/>
  <c r="F274" i="1"/>
  <c r="F290" i="1"/>
  <c r="G249" i="1"/>
  <c r="G265" i="1"/>
  <c r="G281" i="1"/>
  <c r="H240" i="1"/>
  <c r="H256" i="1"/>
  <c r="H268" i="1"/>
  <c r="H279" i="1"/>
  <c r="H290" i="1"/>
  <c r="L243" i="1"/>
  <c r="L254" i="1"/>
  <c r="L265" i="1"/>
  <c r="L275" i="1"/>
  <c r="L286" i="1"/>
  <c r="E181" i="1"/>
  <c r="E189" i="1"/>
  <c r="E197" i="1"/>
  <c r="E205" i="1"/>
  <c r="E213" i="1"/>
  <c r="E221" i="1"/>
  <c r="E229" i="1"/>
  <c r="F180" i="1"/>
  <c r="F188" i="1"/>
  <c r="F196" i="1"/>
  <c r="F204" i="1"/>
  <c r="F212" i="1"/>
  <c r="F220" i="1"/>
  <c r="F228" i="1"/>
  <c r="G179" i="1"/>
  <c r="G187" i="1"/>
  <c r="G195" i="1"/>
  <c r="G203" i="1"/>
  <c r="G211" i="1"/>
  <c r="G219" i="1"/>
  <c r="G227" i="1"/>
  <c r="H178" i="1"/>
  <c r="H186" i="1"/>
  <c r="H194" i="1"/>
  <c r="H202" i="1"/>
  <c r="H210" i="1"/>
  <c r="H218" i="1"/>
  <c r="H226" i="1"/>
  <c r="L177" i="1"/>
  <c r="L185" i="1"/>
  <c r="L193" i="1"/>
  <c r="L201" i="1"/>
  <c r="L209" i="1"/>
  <c r="L217" i="1"/>
  <c r="L225" i="1"/>
  <c r="L233" i="1"/>
  <c r="E120" i="1"/>
  <c r="E125" i="1"/>
  <c r="E131" i="1"/>
  <c r="E136" i="1"/>
  <c r="E141" i="1"/>
  <c r="E147" i="1"/>
  <c r="E152" i="1"/>
  <c r="E157" i="1"/>
  <c r="E163" i="1"/>
  <c r="E168" i="1"/>
  <c r="E173" i="1"/>
  <c r="F122" i="1"/>
  <c r="F127" i="1"/>
  <c r="F132" i="1"/>
  <c r="F138" i="1"/>
  <c r="F143" i="1"/>
  <c r="F148" i="1"/>
  <c r="F154" i="1"/>
  <c r="F159" i="1"/>
  <c r="F164" i="1"/>
  <c r="F170" i="1"/>
  <c r="F175" i="1"/>
  <c r="G123" i="1"/>
  <c r="G129" i="1"/>
  <c r="G134" i="1"/>
  <c r="G139" i="1"/>
  <c r="G145" i="1"/>
  <c r="G150" i="1"/>
  <c r="G155" i="1"/>
  <c r="G161" i="1"/>
  <c r="G166" i="1"/>
  <c r="G170" i="1"/>
  <c r="G174" i="1"/>
  <c r="H121" i="1"/>
  <c r="H125" i="1"/>
  <c r="H129" i="1"/>
  <c r="H133" i="1"/>
  <c r="H137" i="1"/>
  <c r="H141" i="1"/>
  <c r="H145" i="1"/>
  <c r="H149" i="1"/>
  <c r="H153" i="1"/>
  <c r="H157" i="1"/>
  <c r="H161" i="1"/>
  <c r="H165" i="1"/>
  <c r="H169" i="1"/>
  <c r="H173" i="1"/>
  <c r="L120" i="1"/>
  <c r="L124" i="1"/>
  <c r="L128" i="1"/>
  <c r="L132" i="1"/>
  <c r="L136" i="1"/>
  <c r="L140" i="1"/>
  <c r="L144" i="1"/>
  <c r="L148" i="1"/>
  <c r="L152" i="1"/>
  <c r="L156" i="1"/>
  <c r="L160" i="1"/>
  <c r="L164" i="1"/>
  <c r="L168" i="1"/>
  <c r="L172" i="1"/>
  <c r="L176" i="1"/>
  <c r="E65" i="1"/>
  <c r="E69" i="1"/>
  <c r="E73" i="1"/>
  <c r="E77" i="1"/>
  <c r="E81" i="1"/>
  <c r="E85" i="1"/>
  <c r="E89" i="1"/>
  <c r="E93" i="1"/>
  <c r="E97" i="1"/>
  <c r="E101" i="1"/>
  <c r="E105" i="1"/>
  <c r="E109" i="1"/>
  <c r="E113" i="1"/>
  <c r="E117" i="1"/>
  <c r="F64" i="1"/>
  <c r="F68" i="1"/>
  <c r="F72" i="1"/>
  <c r="F76" i="1"/>
  <c r="F80" i="1"/>
  <c r="F84" i="1"/>
  <c r="F88" i="1"/>
  <c r="F92" i="1"/>
  <c r="F96" i="1"/>
  <c r="F100" i="1"/>
  <c r="F104" i="1"/>
  <c r="F108" i="1"/>
  <c r="F112" i="1"/>
  <c r="F116" i="1"/>
  <c r="G63" i="1"/>
  <c r="G67" i="1"/>
  <c r="G71" i="1"/>
  <c r="G75" i="1"/>
  <c r="G79" i="1"/>
  <c r="G83" i="1"/>
  <c r="G87" i="1"/>
  <c r="G91" i="1"/>
  <c r="G95" i="1"/>
  <c r="G99" i="1"/>
  <c r="G103" i="1"/>
  <c r="G107" i="1"/>
  <c r="G111" i="1"/>
  <c r="G115" i="1"/>
  <c r="G119" i="1"/>
  <c r="H66" i="1"/>
  <c r="H70" i="1"/>
  <c r="H74" i="1"/>
  <c r="H376" i="1"/>
  <c r="E347" i="1"/>
  <c r="L329" i="1"/>
  <c r="E251" i="1"/>
  <c r="F264" i="1"/>
  <c r="G271" i="1"/>
  <c r="H272" i="1"/>
  <c r="L258" i="1"/>
  <c r="E184" i="1"/>
  <c r="E216" i="1"/>
  <c r="F191" i="1"/>
  <c r="F223" i="1"/>
  <c r="G198" i="1"/>
  <c r="G230" i="1"/>
  <c r="H205" i="1"/>
  <c r="L180" i="1"/>
  <c r="L212" i="1"/>
  <c r="E132" i="1"/>
  <c r="E153" i="1"/>
  <c r="E175" i="1"/>
  <c r="F139" i="1"/>
  <c r="F160" i="1"/>
  <c r="G125" i="1"/>
  <c r="G146" i="1"/>
  <c r="G167" i="1"/>
  <c r="H126" i="1"/>
  <c r="H142" i="1"/>
  <c r="H158" i="1"/>
  <c r="H174" i="1"/>
  <c r="L133" i="1"/>
  <c r="L149" i="1"/>
  <c r="L165" i="1"/>
  <c r="E63" i="1"/>
  <c r="E71" i="1"/>
  <c r="E79" i="1"/>
  <c r="E87" i="1"/>
  <c r="E95" i="1"/>
  <c r="E103" i="1"/>
  <c r="E111" i="1"/>
  <c r="E119" i="1"/>
  <c r="F70" i="1"/>
  <c r="F78" i="1"/>
  <c r="F86" i="1"/>
  <c r="F94" i="1"/>
  <c r="F102" i="1"/>
  <c r="F110" i="1"/>
  <c r="F118" i="1"/>
  <c r="G69" i="1"/>
  <c r="G77" i="1"/>
  <c r="G85" i="1"/>
  <c r="G93" i="1"/>
  <c r="G101" i="1"/>
  <c r="G109" i="1"/>
  <c r="G117" i="1"/>
  <c r="H68" i="1"/>
  <c r="H75" i="1"/>
  <c r="H79" i="1"/>
  <c r="H83" i="1"/>
  <c r="H87" i="1"/>
  <c r="H91" i="1"/>
  <c r="H95" i="1"/>
  <c r="H99" i="1"/>
  <c r="H103" i="1"/>
  <c r="H107" i="1"/>
  <c r="H111" i="1"/>
  <c r="H115" i="1"/>
  <c r="H119" i="1"/>
  <c r="L66" i="1"/>
  <c r="L70" i="1"/>
  <c r="L74" i="1"/>
  <c r="L78" i="1"/>
  <c r="L82" i="1"/>
  <c r="L86" i="1"/>
  <c r="L90" i="1"/>
  <c r="L94" i="1"/>
  <c r="L98" i="1"/>
  <c r="L102" i="1"/>
  <c r="L106" i="1"/>
  <c r="L110" i="1"/>
  <c r="L114" i="1"/>
  <c r="L118" i="1"/>
  <c r="E9" i="1"/>
  <c r="E13" i="1"/>
  <c r="E17" i="1"/>
  <c r="E21" i="1"/>
  <c r="E25" i="1"/>
  <c r="E29" i="1"/>
  <c r="E33" i="1"/>
  <c r="E37" i="1"/>
  <c r="E41" i="1"/>
  <c r="E45" i="1"/>
  <c r="E49" i="1"/>
  <c r="E53" i="1"/>
  <c r="E57" i="1"/>
  <c r="E61" i="1"/>
  <c r="F8" i="1"/>
  <c r="F12" i="1"/>
  <c r="F16" i="1"/>
  <c r="F20" i="1"/>
  <c r="F24" i="1"/>
  <c r="F28" i="1"/>
  <c r="F32" i="1"/>
  <c r="F36" i="1"/>
  <c r="F40" i="1"/>
  <c r="F44" i="1"/>
  <c r="F48" i="1"/>
  <c r="F52" i="1"/>
  <c r="F56" i="1"/>
  <c r="F60" i="1"/>
  <c r="G7" i="1"/>
  <c r="G11" i="1"/>
  <c r="G15" i="1"/>
  <c r="G19" i="1"/>
  <c r="G23" i="1"/>
  <c r="G27" i="1"/>
  <c r="G31" i="1"/>
  <c r="G35" i="1"/>
  <c r="G39" i="1"/>
  <c r="G43" i="1"/>
  <c r="G47" i="1"/>
  <c r="G51" i="1"/>
  <c r="G55" i="1"/>
  <c r="G59" i="1"/>
  <c r="H6" i="1"/>
  <c r="H10" i="1"/>
  <c r="H14" i="1"/>
  <c r="H18" i="1"/>
  <c r="H22" i="1"/>
  <c r="H26" i="1"/>
  <c r="H30" i="1"/>
  <c r="H34" i="1"/>
  <c r="H38" i="1"/>
  <c r="H42" i="1"/>
  <c r="H46" i="1"/>
  <c r="H50" i="1"/>
  <c r="H54" i="1"/>
  <c r="H58" i="1"/>
  <c r="H62" i="1"/>
  <c r="L9" i="1"/>
  <c r="L13" i="1"/>
  <c r="L17" i="1"/>
  <c r="L21" i="1"/>
  <c r="L25" i="1"/>
  <c r="L29" i="1"/>
  <c r="L33" i="1"/>
  <c r="L37" i="1"/>
  <c r="L41" i="1"/>
  <c r="L45" i="1"/>
  <c r="L49" i="1"/>
  <c r="L53" i="1"/>
  <c r="L57" i="1"/>
  <c r="L61" i="1"/>
  <c r="L297" i="1"/>
  <c r="F248" i="1"/>
  <c r="H262" i="1"/>
  <c r="L290" i="1"/>
  <c r="F215" i="1"/>
  <c r="H197" i="1"/>
  <c r="E169" i="1"/>
  <c r="G162" i="1"/>
  <c r="L129" i="1"/>
  <c r="E102" i="1"/>
  <c r="F69" i="1"/>
  <c r="F109" i="1"/>
  <c r="G84" i="1"/>
  <c r="G116" i="1"/>
  <c r="H86" i="1"/>
  <c r="H98" i="1"/>
  <c r="H114" i="1"/>
  <c r="L73" i="1"/>
  <c r="G319" i="1"/>
  <c r="E273" i="1"/>
  <c r="F280" i="1"/>
  <c r="G287" i="1"/>
  <c r="H283" i="1"/>
  <c r="L269" i="1"/>
  <c r="E192" i="1"/>
  <c r="E224" i="1"/>
  <c r="F199" i="1"/>
  <c r="F231" i="1"/>
  <c r="G206" i="1"/>
  <c r="H181" i="1"/>
  <c r="H213" i="1"/>
  <c r="L188" i="1"/>
  <c r="L220" i="1"/>
  <c r="E137" i="1"/>
  <c r="E159" i="1"/>
  <c r="F123" i="1"/>
  <c r="F144" i="1"/>
  <c r="F166" i="1"/>
  <c r="G130" i="1"/>
  <c r="G151" i="1"/>
  <c r="G171" i="1"/>
  <c r="H130" i="1"/>
  <c r="H146" i="1"/>
  <c r="H162" i="1"/>
  <c r="L121" i="1"/>
  <c r="L137" i="1"/>
  <c r="L153" i="1"/>
  <c r="L169" i="1"/>
  <c r="E66" i="1"/>
  <c r="E74" i="1"/>
  <c r="E82" i="1"/>
  <c r="E90" i="1"/>
  <c r="E98" i="1"/>
  <c r="E106" i="1"/>
  <c r="E114" i="1"/>
  <c r="F65" i="1"/>
  <c r="F73" i="1"/>
  <c r="F81" i="1"/>
  <c r="F89" i="1"/>
  <c r="F97" i="1"/>
  <c r="F105" i="1"/>
  <c r="F113" i="1"/>
  <c r="G64" i="1"/>
  <c r="G72" i="1"/>
  <c r="G80" i="1"/>
  <c r="G88" i="1"/>
  <c r="G96" i="1"/>
  <c r="G104" i="1"/>
  <c r="G112" i="1"/>
  <c r="H63" i="1"/>
  <c r="H71" i="1"/>
  <c r="H76" i="1"/>
  <c r="H80" i="1"/>
  <c r="H84" i="1"/>
  <c r="H88" i="1"/>
  <c r="H92" i="1"/>
  <c r="H96" i="1"/>
  <c r="H100" i="1"/>
  <c r="H104" i="1"/>
  <c r="H108" i="1"/>
  <c r="H112" i="1"/>
  <c r="H116" i="1"/>
  <c r="L63" i="1"/>
  <c r="L67" i="1"/>
  <c r="L71" i="1"/>
  <c r="L75" i="1"/>
  <c r="L79" i="1"/>
  <c r="L83" i="1"/>
  <c r="L87" i="1"/>
  <c r="L91" i="1"/>
  <c r="L95" i="1"/>
  <c r="L99" i="1"/>
  <c r="L103" i="1"/>
  <c r="L107" i="1"/>
  <c r="L111" i="1"/>
  <c r="L115" i="1"/>
  <c r="L119" i="1"/>
  <c r="E6" i="1"/>
  <c r="E10" i="1"/>
  <c r="E14" i="1"/>
  <c r="E18" i="1"/>
  <c r="E22" i="1"/>
  <c r="E26" i="1"/>
  <c r="E30" i="1"/>
  <c r="E34" i="1"/>
  <c r="E38" i="1"/>
  <c r="E42" i="1"/>
  <c r="E46" i="1"/>
  <c r="E50" i="1"/>
  <c r="E54" i="1"/>
  <c r="E58" i="1"/>
  <c r="E62" i="1"/>
  <c r="F9" i="1"/>
  <c r="F13" i="1"/>
  <c r="F17" i="1"/>
  <c r="F21" i="1"/>
  <c r="F25" i="1"/>
  <c r="F29" i="1"/>
  <c r="F33" i="1"/>
  <c r="F37" i="1"/>
  <c r="F41" i="1"/>
  <c r="F45" i="1"/>
  <c r="F49" i="1"/>
  <c r="F53" i="1"/>
  <c r="F57" i="1"/>
  <c r="F61" i="1"/>
  <c r="G8" i="1"/>
  <c r="G12" i="1"/>
  <c r="G16" i="1"/>
  <c r="G20" i="1"/>
  <c r="G24" i="1"/>
  <c r="G28" i="1"/>
  <c r="G32" i="1"/>
  <c r="G36" i="1"/>
  <c r="G40" i="1"/>
  <c r="G44" i="1"/>
  <c r="G48" i="1"/>
  <c r="G52" i="1"/>
  <c r="G56" i="1"/>
  <c r="G60" i="1"/>
  <c r="H7" i="1"/>
  <c r="H11" i="1"/>
  <c r="H15" i="1"/>
  <c r="H19" i="1"/>
  <c r="H23" i="1"/>
  <c r="H27" i="1"/>
  <c r="H31" i="1"/>
  <c r="H35" i="1"/>
  <c r="H39" i="1"/>
  <c r="H43" i="1"/>
  <c r="H47" i="1"/>
  <c r="H51" i="1"/>
  <c r="H55" i="1"/>
  <c r="H59" i="1"/>
  <c r="L6" i="1"/>
  <c r="L10" i="1"/>
  <c r="L14" i="1"/>
  <c r="L18" i="1"/>
  <c r="L22" i="1"/>
  <c r="L26" i="1"/>
  <c r="L30" i="1"/>
  <c r="L34" i="1"/>
  <c r="L38" i="1"/>
  <c r="L42" i="1"/>
  <c r="L46" i="1"/>
  <c r="L50" i="1"/>
  <c r="L54" i="1"/>
  <c r="L58" i="1"/>
  <c r="L62" i="1"/>
  <c r="G255" i="1"/>
  <c r="F183" i="1"/>
  <c r="G222" i="1"/>
  <c r="L204" i="1"/>
  <c r="E127" i="1"/>
  <c r="F134" i="1"/>
  <c r="F176" i="1"/>
  <c r="H122" i="1"/>
  <c r="H154" i="1"/>
  <c r="L145" i="1"/>
  <c r="E78" i="1"/>
  <c r="E94" i="1"/>
  <c r="E118" i="1"/>
  <c r="F85" i="1"/>
  <c r="F101" i="1"/>
  <c r="G68" i="1"/>
  <c r="G92" i="1"/>
  <c r="G108" i="1"/>
  <c r="H73" i="1"/>
  <c r="H82" i="1"/>
  <c r="H94" i="1"/>
  <c r="H106" i="1"/>
  <c r="H118" i="1"/>
  <c r="L69" i="1"/>
  <c r="L81" i="1"/>
  <c r="L93" i="1"/>
  <c r="H320" i="1"/>
  <c r="E289" i="1"/>
  <c r="G239" i="1"/>
  <c r="H246" i="1"/>
  <c r="L237" i="1"/>
  <c r="L279" i="1"/>
  <c r="E200" i="1"/>
  <c r="E232" i="1"/>
  <c r="F207" i="1"/>
  <c r="G182" i="1"/>
  <c r="G214" i="1"/>
  <c r="H189" i="1"/>
  <c r="H221" i="1"/>
  <c r="L196" i="1"/>
  <c r="L228" i="1"/>
  <c r="E121" i="1"/>
  <c r="E143" i="1"/>
  <c r="E164" i="1"/>
  <c r="F128" i="1"/>
  <c r="F150" i="1"/>
  <c r="F171" i="1"/>
  <c r="G135" i="1"/>
  <c r="G157" i="1"/>
  <c r="G175" i="1"/>
  <c r="H134" i="1"/>
  <c r="H150" i="1"/>
  <c r="H166" i="1"/>
  <c r="L125" i="1"/>
  <c r="L141" i="1"/>
  <c r="L157" i="1"/>
  <c r="L173" i="1"/>
  <c r="E67" i="1"/>
  <c r="E75" i="1"/>
  <c r="E83" i="1"/>
  <c r="E91" i="1"/>
  <c r="E99" i="1"/>
  <c r="E107" i="1"/>
  <c r="E115" i="1"/>
  <c r="F66" i="1"/>
  <c r="F74" i="1"/>
  <c r="F82" i="1"/>
  <c r="F90" i="1"/>
  <c r="F98" i="1"/>
  <c r="F106" i="1"/>
  <c r="F114" i="1"/>
  <c r="G65" i="1"/>
  <c r="G73" i="1"/>
  <c r="G81" i="1"/>
  <c r="G89" i="1"/>
  <c r="G97" i="1"/>
  <c r="G105" i="1"/>
  <c r="G113" i="1"/>
  <c r="H64" i="1"/>
  <c r="H72" i="1"/>
  <c r="H77" i="1"/>
  <c r="H81" i="1"/>
  <c r="H85" i="1"/>
  <c r="H89" i="1"/>
  <c r="H93" i="1"/>
  <c r="H97" i="1"/>
  <c r="H101" i="1"/>
  <c r="H105" i="1"/>
  <c r="H109" i="1"/>
  <c r="H113" i="1"/>
  <c r="H117" i="1"/>
  <c r="L64" i="1"/>
  <c r="L68" i="1"/>
  <c r="L72" i="1"/>
  <c r="L76" i="1"/>
  <c r="L80" i="1"/>
  <c r="L84" i="1"/>
  <c r="L88" i="1"/>
  <c r="L92" i="1"/>
  <c r="L96" i="1"/>
  <c r="L100" i="1"/>
  <c r="L104" i="1"/>
  <c r="L108" i="1"/>
  <c r="L112" i="1"/>
  <c r="L116" i="1"/>
  <c r="E7" i="1"/>
  <c r="E11" i="1"/>
  <c r="E15" i="1"/>
  <c r="E19" i="1"/>
  <c r="E23" i="1"/>
  <c r="E27" i="1"/>
  <c r="E31" i="1"/>
  <c r="E35" i="1"/>
  <c r="E39" i="1"/>
  <c r="E43" i="1"/>
  <c r="E47" i="1"/>
  <c r="E51" i="1"/>
  <c r="E55" i="1"/>
  <c r="E59" i="1"/>
  <c r="F6" i="1"/>
  <c r="F10" i="1"/>
  <c r="F14" i="1"/>
  <c r="F18" i="1"/>
  <c r="F22" i="1"/>
  <c r="F26" i="1"/>
  <c r="F30" i="1"/>
  <c r="F34" i="1"/>
  <c r="F38" i="1"/>
  <c r="F42" i="1"/>
  <c r="F46" i="1"/>
  <c r="F50" i="1"/>
  <c r="F54" i="1"/>
  <c r="F58" i="1"/>
  <c r="F62" i="1"/>
  <c r="G9" i="1"/>
  <c r="G13" i="1"/>
  <c r="G17" i="1"/>
  <c r="G21" i="1"/>
  <c r="G25" i="1"/>
  <c r="G29" i="1"/>
  <c r="G33" i="1"/>
  <c r="G37" i="1"/>
  <c r="G41" i="1"/>
  <c r="G45" i="1"/>
  <c r="G49" i="1"/>
  <c r="G53" i="1"/>
  <c r="G57" i="1"/>
  <c r="G61" i="1"/>
  <c r="H8" i="1"/>
  <c r="H12" i="1"/>
  <c r="H16" i="1"/>
  <c r="H20" i="1"/>
  <c r="H24" i="1"/>
  <c r="H28" i="1"/>
  <c r="H32" i="1"/>
  <c r="H36" i="1"/>
  <c r="H40" i="1"/>
  <c r="H44" i="1"/>
  <c r="H48" i="1"/>
  <c r="H52" i="1"/>
  <c r="H56" i="1"/>
  <c r="H60" i="1"/>
  <c r="L7" i="1"/>
  <c r="L11" i="1"/>
  <c r="L15" i="1"/>
  <c r="L19" i="1"/>
  <c r="L23" i="1"/>
  <c r="L27" i="1"/>
  <c r="L31" i="1"/>
  <c r="L35" i="1"/>
  <c r="L39" i="1"/>
  <c r="L43" i="1"/>
  <c r="L47" i="1"/>
  <c r="L51" i="1"/>
  <c r="L55" i="1"/>
  <c r="L59" i="1"/>
  <c r="L247" i="1"/>
  <c r="E208" i="1"/>
  <c r="G190" i="1"/>
  <c r="H229" i="1"/>
  <c r="E148" i="1"/>
  <c r="F155" i="1"/>
  <c r="G141" i="1"/>
  <c r="H138" i="1"/>
  <c r="H170" i="1"/>
  <c r="L161" i="1"/>
  <c r="E70" i="1"/>
  <c r="E86" i="1"/>
  <c r="E110" i="1"/>
  <c r="F77" i="1"/>
  <c r="F93" i="1"/>
  <c r="F117" i="1"/>
  <c r="G76" i="1"/>
  <c r="G100" i="1"/>
  <c r="H67" i="1"/>
  <c r="H78" i="1"/>
  <c r="H90" i="1"/>
  <c r="H102" i="1"/>
  <c r="H110" i="1"/>
  <c r="L65" i="1"/>
  <c r="L77" i="1"/>
  <c r="L85" i="1"/>
  <c r="L101" i="1"/>
  <c r="L117" i="1"/>
  <c r="E8" i="1"/>
  <c r="E24" i="1"/>
  <c r="E40" i="1"/>
  <c r="E56" i="1"/>
  <c r="F15" i="1"/>
  <c r="F31" i="1"/>
  <c r="F47" i="1"/>
  <c r="G6" i="1"/>
  <c r="G22" i="1"/>
  <c r="G38" i="1"/>
  <c r="G54" i="1"/>
  <c r="H13" i="1"/>
  <c r="H29" i="1"/>
  <c r="H45" i="1"/>
  <c r="H61" i="1"/>
  <c r="L20" i="1"/>
  <c r="L36" i="1"/>
  <c r="L52" i="1"/>
  <c r="E16" i="1"/>
  <c r="G14" i="1"/>
  <c r="G62" i="1"/>
  <c r="L12" i="1"/>
  <c r="E52" i="1"/>
  <c r="L105" i="1"/>
  <c r="E12" i="1"/>
  <c r="E28" i="1"/>
  <c r="E44" i="1"/>
  <c r="E60" i="1"/>
  <c r="F19" i="1"/>
  <c r="F35" i="1"/>
  <c r="F51" i="1"/>
  <c r="G10" i="1"/>
  <c r="G26" i="1"/>
  <c r="G42" i="1"/>
  <c r="G58" i="1"/>
  <c r="H17" i="1"/>
  <c r="H33" i="1"/>
  <c r="H49" i="1"/>
  <c r="L8" i="1"/>
  <c r="L24" i="1"/>
  <c r="L40" i="1"/>
  <c r="L56" i="1"/>
  <c r="L89" i="1"/>
  <c r="L109" i="1"/>
  <c r="E32" i="1"/>
  <c r="F7" i="1"/>
  <c r="F39" i="1"/>
  <c r="G30" i="1"/>
  <c r="H21" i="1"/>
  <c r="H53" i="1"/>
  <c r="L44" i="1"/>
  <c r="L97" i="1"/>
  <c r="E36" i="1"/>
  <c r="F11" i="1"/>
  <c r="F43" i="1"/>
  <c r="G18" i="1"/>
  <c r="G50" i="1"/>
  <c r="H25" i="1"/>
  <c r="H57" i="1"/>
  <c r="L32" i="1"/>
  <c r="E48" i="1"/>
  <c r="F23" i="1"/>
  <c r="F55" i="1"/>
  <c r="G46" i="1"/>
  <c r="H37" i="1"/>
  <c r="L28" i="1"/>
  <c r="L60" i="1"/>
  <c r="L113" i="1"/>
  <c r="E20" i="1"/>
  <c r="F27" i="1"/>
  <c r="F59" i="1"/>
  <c r="G34" i="1"/>
  <c r="H9" i="1"/>
  <c r="H41" i="1"/>
  <c r="L16" i="1"/>
  <c r="L48" i="1"/>
  <c r="AC51" i="1" l="1"/>
  <c r="AD51" i="1" s="1"/>
  <c r="AC88" i="1"/>
  <c r="AD88" i="1" s="1"/>
  <c r="AC38" i="1"/>
  <c r="AD38" i="1" s="1"/>
  <c r="AC79" i="1"/>
  <c r="AD79" i="1" s="1"/>
  <c r="AC57" i="1"/>
  <c r="AD57" i="1" s="1"/>
  <c r="AC94" i="1"/>
  <c r="AD94" i="1" s="1"/>
  <c r="AC193" i="1"/>
  <c r="AD193" i="1" s="1"/>
  <c r="AC275" i="1"/>
  <c r="AD275" i="1" s="1"/>
  <c r="AC274" i="1"/>
  <c r="AD274" i="1" s="1"/>
  <c r="AC227" i="1"/>
  <c r="AD227" i="1" s="1"/>
  <c r="AC257" i="1"/>
  <c r="AD257" i="1" s="1"/>
  <c r="AC202" i="1"/>
  <c r="AD202" i="1" s="1"/>
  <c r="AC321" i="1"/>
  <c r="AD321" i="1" s="1"/>
  <c r="AC316" i="1"/>
  <c r="AD316" i="1" s="1"/>
  <c r="AC401" i="1"/>
  <c r="AD401" i="1" s="1"/>
  <c r="AC288" i="1"/>
  <c r="AD288" i="1" s="1"/>
  <c r="AC256" i="1"/>
  <c r="AD256" i="1" s="1"/>
  <c r="AC240" i="1"/>
  <c r="AD240" i="1" s="1"/>
  <c r="AC336" i="1"/>
  <c r="AD336" i="1" s="1"/>
  <c r="AC368" i="1"/>
  <c r="AD368" i="1" s="1"/>
  <c r="AC334" i="1"/>
  <c r="AD334" i="1" s="1"/>
  <c r="AC302" i="1"/>
  <c r="AD302" i="1" s="1"/>
  <c r="AC335" i="1"/>
  <c r="AD335" i="1" s="1"/>
  <c r="AC389" i="1"/>
  <c r="AD389" i="1" s="1"/>
  <c r="AC355" i="1"/>
  <c r="AD355" i="1" s="1"/>
  <c r="AC391" i="1"/>
  <c r="AD391" i="1" s="1"/>
  <c r="AC374" i="1"/>
  <c r="AD374" i="1" s="1"/>
  <c r="AC358" i="1"/>
  <c r="AD358" i="1" s="1"/>
  <c r="AC394" i="1"/>
  <c r="AD394" i="1" s="1"/>
  <c r="AC377" i="1"/>
  <c r="AD377" i="1" s="1"/>
  <c r="AC361" i="1"/>
  <c r="AD361" i="1" s="1"/>
  <c r="AC357" i="1"/>
  <c r="AD357" i="1" s="1"/>
  <c r="AC380" i="1"/>
  <c r="AD380" i="1" s="1"/>
  <c r="AC40" i="1"/>
  <c r="AD40" i="1" s="1"/>
  <c r="AC77" i="1"/>
  <c r="AD77" i="1" s="1"/>
  <c r="AC47" i="1"/>
  <c r="AD47" i="1" s="1"/>
  <c r="AC31" i="1"/>
  <c r="AD31" i="1" s="1"/>
  <c r="AC15" i="1"/>
  <c r="AD15" i="1" s="1"/>
  <c r="AC116" i="1"/>
  <c r="AD116" i="1" s="1"/>
  <c r="AC100" i="1"/>
  <c r="AD100" i="1" s="1"/>
  <c r="AC84" i="1"/>
  <c r="AD84" i="1" s="1"/>
  <c r="AC68" i="1"/>
  <c r="AD68" i="1" s="1"/>
  <c r="AC173" i="1"/>
  <c r="AD173" i="1" s="1"/>
  <c r="AC228" i="1"/>
  <c r="AD228" i="1" s="1"/>
  <c r="AC81" i="1"/>
  <c r="AD81" i="1" s="1"/>
  <c r="AC50" i="1"/>
  <c r="AD50" i="1" s="1"/>
  <c r="AC34" i="1"/>
  <c r="AD34" i="1" s="1"/>
  <c r="AC18" i="1"/>
  <c r="AD18" i="1" s="1"/>
  <c r="AC107" i="1"/>
  <c r="AD107" i="1" s="1"/>
  <c r="AC91" i="1"/>
  <c r="AD91" i="1" s="1"/>
  <c r="AC75" i="1"/>
  <c r="AD75" i="1" s="1"/>
  <c r="AC73" i="1"/>
  <c r="AD73" i="1" s="1"/>
  <c r="AC53" i="1"/>
  <c r="AD53" i="1" s="1"/>
  <c r="AC37" i="1"/>
  <c r="AD37" i="1" s="1"/>
  <c r="AC21" i="1"/>
  <c r="AD21" i="1" s="1"/>
  <c r="AC106" i="1"/>
  <c r="AD106" i="1" s="1"/>
  <c r="AC90" i="1"/>
  <c r="AD90" i="1" s="1"/>
  <c r="AC74" i="1"/>
  <c r="AD74" i="1" s="1"/>
  <c r="AC128" i="1"/>
  <c r="AD128" i="1" s="1"/>
  <c r="AC217" i="1"/>
  <c r="AD217" i="1" s="1"/>
  <c r="AC265" i="1"/>
  <c r="AD265" i="1" s="1"/>
  <c r="AC216" i="1"/>
  <c r="AD216" i="1" s="1"/>
  <c r="AC184" i="1"/>
  <c r="AD184" i="1" s="1"/>
  <c r="AC263" i="1"/>
  <c r="AD263" i="1" s="1"/>
  <c r="AC404" i="1"/>
  <c r="AD404" i="1" s="1"/>
  <c r="AC221" i="1"/>
  <c r="AD221" i="1" s="1"/>
  <c r="AC189" i="1"/>
  <c r="AD189" i="1" s="1"/>
  <c r="AC270" i="1"/>
  <c r="AD270" i="1" s="1"/>
  <c r="AC393" i="1"/>
  <c r="AD393" i="1" s="1"/>
  <c r="AC207" i="1"/>
  <c r="AD207" i="1" s="1"/>
  <c r="AC191" i="1"/>
  <c r="AD191" i="1" s="1"/>
  <c r="AC273" i="1"/>
  <c r="AD273" i="1" s="1"/>
  <c r="AC251" i="1"/>
  <c r="AD251" i="1" s="1"/>
  <c r="AC341" i="1"/>
  <c r="AD341" i="1" s="1"/>
  <c r="AC230" i="1"/>
  <c r="AD230" i="1" s="1"/>
  <c r="AC214" i="1"/>
  <c r="AD214" i="1" s="1"/>
  <c r="AC198" i="1"/>
  <c r="AD198" i="1" s="1"/>
  <c r="AC182" i="1"/>
  <c r="AD182" i="1" s="1"/>
  <c r="AC261" i="1"/>
  <c r="AD261" i="1" s="1"/>
  <c r="AC239" i="1"/>
  <c r="AD239" i="1" s="1"/>
  <c r="AC305" i="1"/>
  <c r="AD305" i="1" s="1"/>
  <c r="AC371" i="1"/>
  <c r="AD371" i="1" s="1"/>
  <c r="AC340" i="1"/>
  <c r="AD340" i="1" s="1"/>
  <c r="AC308" i="1"/>
  <c r="AD308" i="1" s="1"/>
  <c r="AC379" i="1"/>
  <c r="AD379" i="1" s="1"/>
  <c r="AC284" i="1"/>
  <c r="AD284" i="1" s="1"/>
  <c r="AC252" i="1"/>
  <c r="AD252" i="1" s="1"/>
  <c r="AC236" i="1"/>
  <c r="AD236" i="1" s="1"/>
  <c r="AC328" i="1"/>
  <c r="AD328" i="1" s="1"/>
  <c r="AC296" i="1"/>
  <c r="AD296" i="1" s="1"/>
  <c r="AC346" i="1"/>
  <c r="AD346" i="1" s="1"/>
  <c r="AC330" i="1"/>
  <c r="AD330" i="1" s="1"/>
  <c r="AC314" i="1"/>
  <c r="AD314" i="1" s="1"/>
  <c r="AC298" i="1"/>
  <c r="AD298" i="1" s="1"/>
  <c r="AC351" i="1"/>
  <c r="AD351" i="1" s="1"/>
  <c r="AC347" i="1"/>
  <c r="AD347" i="1" s="1"/>
  <c r="AC331" i="1"/>
  <c r="AD331" i="1" s="1"/>
  <c r="AC315" i="1"/>
  <c r="AD315" i="1" s="1"/>
  <c r="AC299" i="1"/>
  <c r="AD299" i="1" s="1"/>
  <c r="AC400" i="1"/>
  <c r="AD400" i="1" s="1"/>
  <c r="AC354" i="1"/>
  <c r="AD354" i="1" s="1"/>
  <c r="AC381" i="1"/>
  <c r="AD381" i="1" s="1"/>
  <c r="AC403" i="1"/>
  <c r="AD403" i="1" s="1"/>
  <c r="AC387" i="1"/>
  <c r="AD387" i="1" s="1"/>
  <c r="AC370" i="1"/>
  <c r="AD370" i="1" s="1"/>
  <c r="AC353" i="1"/>
  <c r="AD353" i="1" s="1"/>
  <c r="AC406" i="1"/>
  <c r="AD406" i="1" s="1"/>
  <c r="AC390" i="1"/>
  <c r="AD390" i="1" s="1"/>
  <c r="AC373" i="1"/>
  <c r="AD373" i="1" s="1"/>
  <c r="AC356" i="1"/>
  <c r="AD356" i="1" s="1"/>
  <c r="AC28" i="1"/>
  <c r="AD28" i="1" s="1"/>
  <c r="AC12" i="1"/>
  <c r="AD12" i="1" s="1"/>
  <c r="AC85" i="1"/>
  <c r="AD85" i="1" s="1"/>
  <c r="AC35" i="1"/>
  <c r="AD35" i="1" s="1"/>
  <c r="AC72" i="1"/>
  <c r="AD72" i="1" s="1"/>
  <c r="AC95" i="1"/>
  <c r="AD95" i="1" s="1"/>
  <c r="AC63" i="1"/>
  <c r="AD63" i="1" s="1"/>
  <c r="AC25" i="1"/>
  <c r="AD25" i="1" s="1"/>
  <c r="AC9" i="1"/>
  <c r="AD9" i="1" s="1"/>
  <c r="AC110" i="1"/>
  <c r="AD110" i="1" s="1"/>
  <c r="AC224" i="1"/>
  <c r="AD224" i="1" s="1"/>
  <c r="AC229" i="1"/>
  <c r="AD229" i="1" s="1"/>
  <c r="AC281" i="1"/>
  <c r="AD281" i="1" s="1"/>
  <c r="AC360" i="1"/>
  <c r="AD360" i="1" s="1"/>
  <c r="AC195" i="1"/>
  <c r="AD195" i="1" s="1"/>
  <c r="AC278" i="1"/>
  <c r="AD278" i="1" s="1"/>
  <c r="AC235" i="1"/>
  <c r="AD235" i="1" s="1"/>
  <c r="AC293" i="1"/>
  <c r="AD293" i="1" s="1"/>
  <c r="AC218" i="1"/>
  <c r="AD218" i="1" s="1"/>
  <c r="AC287" i="1"/>
  <c r="AD287" i="1" s="1"/>
  <c r="AC266" i="1"/>
  <c r="AD266" i="1" s="1"/>
  <c r="AC245" i="1"/>
  <c r="AD245" i="1" s="1"/>
  <c r="AC48" i="1"/>
  <c r="AD48" i="1" s="1"/>
  <c r="AC32" i="1"/>
  <c r="AD32" i="1" s="1"/>
  <c r="AC97" i="1"/>
  <c r="AD97" i="1" s="1"/>
  <c r="AC24" i="1"/>
  <c r="AD24" i="1" s="1"/>
  <c r="AC105" i="1"/>
  <c r="AD105" i="1" s="1"/>
  <c r="AC20" i="1"/>
  <c r="AD20" i="1" s="1"/>
  <c r="AC117" i="1"/>
  <c r="AD117" i="1" s="1"/>
  <c r="AC65" i="1"/>
  <c r="AD65" i="1" s="1"/>
  <c r="AC59" i="1"/>
  <c r="AD59" i="1" s="1"/>
  <c r="AC43" i="1"/>
  <c r="AD43" i="1" s="1"/>
  <c r="AC27" i="1"/>
  <c r="AD27" i="1" s="1"/>
  <c r="AC11" i="1"/>
  <c r="AD11" i="1" s="1"/>
  <c r="AC112" i="1"/>
  <c r="AD112" i="1" s="1"/>
  <c r="AC96" i="1"/>
  <c r="AD96" i="1" s="1"/>
  <c r="AC80" i="1"/>
  <c r="AD80" i="1" s="1"/>
  <c r="AC196" i="1"/>
  <c r="AD196" i="1" s="1"/>
  <c r="AC279" i="1"/>
  <c r="AD279" i="1" s="1"/>
  <c r="AC69" i="1"/>
  <c r="AD69" i="1" s="1"/>
  <c r="AC204" i="1"/>
  <c r="AD204" i="1" s="1"/>
  <c r="AC62" i="1"/>
  <c r="AD62" i="1" s="1"/>
  <c r="AC30" i="1"/>
  <c r="AD30" i="1" s="1"/>
  <c r="AC14" i="1"/>
  <c r="AD14" i="1" s="1"/>
  <c r="AC119" i="1"/>
  <c r="AD119" i="1" s="1"/>
  <c r="AC103" i="1"/>
  <c r="AD103" i="1" s="1"/>
  <c r="AC87" i="1"/>
  <c r="AD87" i="1" s="1"/>
  <c r="AC71" i="1"/>
  <c r="AD71" i="1" s="1"/>
  <c r="AC220" i="1"/>
  <c r="AD220" i="1" s="1"/>
  <c r="AC297" i="1"/>
  <c r="AD297" i="1" s="1"/>
  <c r="AC33" i="1"/>
  <c r="AD33" i="1" s="1"/>
  <c r="AC17" i="1"/>
  <c r="AD17" i="1" s="1"/>
  <c r="AC118" i="1"/>
  <c r="AD118" i="1" s="1"/>
  <c r="AC70" i="1"/>
  <c r="AD70" i="1" s="1"/>
  <c r="AC209" i="1"/>
  <c r="AD209" i="1" s="1"/>
  <c r="AC177" i="1"/>
  <c r="AD177" i="1" s="1"/>
  <c r="AC254" i="1"/>
  <c r="AD254" i="1" s="1"/>
  <c r="AC208" i="1"/>
  <c r="AD208" i="1" s="1"/>
  <c r="AC253" i="1"/>
  <c r="AD253" i="1" s="1"/>
  <c r="AC213" i="1"/>
  <c r="AD213" i="1" s="1"/>
  <c r="AC259" i="1"/>
  <c r="AD259" i="1" s="1"/>
  <c r="AC350" i="1"/>
  <c r="AD350" i="1" s="1"/>
  <c r="AC219" i="1"/>
  <c r="AD219" i="1" s="1"/>
  <c r="AC203" i="1"/>
  <c r="AD203" i="1" s="1"/>
  <c r="AC187" i="1"/>
  <c r="AD187" i="1" s="1"/>
  <c r="AC289" i="1"/>
  <c r="AD289" i="1" s="1"/>
  <c r="AC267" i="1"/>
  <c r="AD267" i="1" s="1"/>
  <c r="AC246" i="1"/>
  <c r="AD246" i="1" s="1"/>
  <c r="AC226" i="1"/>
  <c r="AD226" i="1" s="1"/>
  <c r="AC210" i="1"/>
  <c r="AD210" i="1" s="1"/>
  <c r="AC194" i="1"/>
  <c r="AD194" i="1" s="1"/>
  <c r="AC178" i="1"/>
  <c r="AD178" i="1" s="1"/>
  <c r="AC277" i="1"/>
  <c r="AD277" i="1" s="1"/>
  <c r="AC255" i="1"/>
  <c r="AD255" i="1" s="1"/>
  <c r="AC234" i="1"/>
  <c r="AD234" i="1" s="1"/>
  <c r="AC332" i="1"/>
  <c r="AD332" i="1" s="1"/>
  <c r="AC300" i="1"/>
  <c r="AD300" i="1" s="1"/>
  <c r="AC359" i="1"/>
  <c r="AD359" i="1" s="1"/>
  <c r="AC264" i="1"/>
  <c r="AD264" i="1" s="1"/>
  <c r="AC248" i="1"/>
  <c r="AD248" i="1" s="1"/>
  <c r="AC320" i="1"/>
  <c r="AD320" i="1" s="1"/>
  <c r="AC342" i="1"/>
  <c r="AD342" i="1" s="1"/>
  <c r="AC310" i="1"/>
  <c r="AD310" i="1" s="1"/>
  <c r="AC294" i="1"/>
  <c r="AD294" i="1" s="1"/>
  <c r="AC343" i="1"/>
  <c r="AD343" i="1" s="1"/>
  <c r="AC327" i="1"/>
  <c r="AD327" i="1" s="1"/>
  <c r="AC311" i="1"/>
  <c r="AD311" i="1" s="1"/>
  <c r="AC388" i="1"/>
  <c r="AD388" i="1" s="1"/>
  <c r="AC405" i="1"/>
  <c r="AD405" i="1" s="1"/>
  <c r="AC372" i="1"/>
  <c r="AD372" i="1" s="1"/>
  <c r="AC399" i="1"/>
  <c r="AD399" i="1" s="1"/>
  <c r="AC383" i="1"/>
  <c r="AD383" i="1" s="1"/>
  <c r="AC366" i="1"/>
  <c r="AD366" i="1" s="1"/>
  <c r="AC349" i="1"/>
  <c r="AD349" i="1" s="1"/>
  <c r="AC402" i="1"/>
  <c r="AD402" i="1" s="1"/>
  <c r="AC386" i="1"/>
  <c r="AD386" i="1" s="1"/>
  <c r="AC369" i="1"/>
  <c r="AD369" i="1" s="1"/>
  <c r="AC352" i="1"/>
  <c r="AD352" i="1" s="1"/>
  <c r="AC407" i="1"/>
  <c r="AD407" i="1" s="1"/>
  <c r="AC19" i="1"/>
  <c r="AD19" i="1" s="1"/>
  <c r="AC104" i="1"/>
  <c r="AD104" i="1" s="1"/>
  <c r="AC22" i="1"/>
  <c r="AD22" i="1" s="1"/>
  <c r="AC6" i="1"/>
  <c r="AD6" i="1" s="1"/>
  <c r="AC78" i="1"/>
  <c r="AD78" i="1" s="1"/>
  <c r="AC329" i="1"/>
  <c r="AD329" i="1" s="1"/>
  <c r="AD225" i="1"/>
  <c r="AC192" i="1"/>
  <c r="AD192" i="1" s="1"/>
  <c r="AC313" i="1"/>
  <c r="AD313" i="1" s="1"/>
  <c r="AC197" i="1"/>
  <c r="AD197" i="1" s="1"/>
  <c r="AC301" i="1"/>
  <c r="AD301" i="1" s="1"/>
  <c r="AC179" i="1"/>
  <c r="AD179" i="1" s="1"/>
  <c r="AC272" i="1"/>
  <c r="AD272" i="1" s="1"/>
  <c r="AC318" i="1"/>
  <c r="AD318" i="1" s="1"/>
  <c r="AC363" i="1"/>
  <c r="AD363" i="1" s="1"/>
  <c r="AC319" i="1"/>
  <c r="AD319" i="1" s="1"/>
  <c r="AC303" i="1"/>
  <c r="AD303" i="1" s="1"/>
  <c r="AC16" i="1"/>
  <c r="AD16" i="1" s="1"/>
  <c r="AC60" i="1"/>
  <c r="AD60" i="1" s="1"/>
  <c r="AC44" i="1"/>
  <c r="AD44" i="1" s="1"/>
  <c r="AC89" i="1"/>
  <c r="AD89" i="1" s="1"/>
  <c r="AC8" i="1"/>
  <c r="AD8" i="1" s="1"/>
  <c r="AC101" i="1"/>
  <c r="AD101" i="1" s="1"/>
  <c r="AC39" i="1"/>
  <c r="AD39" i="1" s="1"/>
  <c r="AC23" i="1"/>
  <c r="AD23" i="1" s="1"/>
  <c r="AC7" i="1"/>
  <c r="AD7" i="1" s="1"/>
  <c r="AC108" i="1"/>
  <c r="AD108" i="1" s="1"/>
  <c r="AC92" i="1"/>
  <c r="AD92" i="1" s="1"/>
  <c r="AC237" i="1"/>
  <c r="AD237" i="1" s="1"/>
  <c r="AC58" i="1"/>
  <c r="AD58" i="1" s="1"/>
  <c r="AC42" i="1"/>
  <c r="AD42" i="1" s="1"/>
  <c r="AC26" i="1"/>
  <c r="AD26" i="1" s="1"/>
  <c r="AC115" i="1"/>
  <c r="AD115" i="1" s="1"/>
  <c r="AC99" i="1"/>
  <c r="AD99" i="1" s="1"/>
  <c r="AC83" i="1"/>
  <c r="AD83" i="1" s="1"/>
  <c r="AC290" i="1"/>
  <c r="AD290" i="1" s="1"/>
  <c r="AC61" i="1"/>
  <c r="AD61" i="1" s="1"/>
  <c r="AC45" i="1"/>
  <c r="AD45" i="1" s="1"/>
  <c r="AC29" i="1"/>
  <c r="AD29" i="1" s="1"/>
  <c r="AC13" i="1"/>
  <c r="AD13" i="1" s="1"/>
  <c r="AC114" i="1"/>
  <c r="AD114" i="1" s="1"/>
  <c r="AC82" i="1"/>
  <c r="AD82" i="1" s="1"/>
  <c r="AC66" i="1"/>
  <c r="AD66" i="1" s="1"/>
  <c r="AC180" i="1"/>
  <c r="AD180" i="1" s="1"/>
  <c r="AC258" i="1"/>
  <c r="AD258" i="1" s="1"/>
  <c r="AC233" i="1"/>
  <c r="AD233" i="1" s="1"/>
  <c r="AC201" i="1"/>
  <c r="AD201" i="1" s="1"/>
  <c r="AC286" i="1"/>
  <c r="AD286" i="1" s="1"/>
  <c r="AC243" i="1"/>
  <c r="AD243" i="1" s="1"/>
  <c r="AC317" i="1"/>
  <c r="AD317" i="1" s="1"/>
  <c r="AC171" i="1"/>
  <c r="AD171" i="1" s="1"/>
  <c r="AC200" i="1"/>
  <c r="AD200" i="1" s="1"/>
  <c r="AC285" i="1"/>
  <c r="AD285" i="1" s="1"/>
  <c r="AC242" i="1"/>
  <c r="AD242" i="1" s="1"/>
  <c r="AC345" i="1"/>
  <c r="AD345" i="1" s="1"/>
  <c r="AC205" i="1"/>
  <c r="AD205" i="1" s="1"/>
  <c r="AC249" i="1"/>
  <c r="AD249" i="1" s="1"/>
  <c r="AC333" i="1"/>
  <c r="AD333" i="1" s="1"/>
  <c r="AC231" i="1"/>
  <c r="AD231" i="1" s="1"/>
  <c r="AC215" i="1"/>
  <c r="AD215" i="1" s="1"/>
  <c r="AC199" i="1"/>
  <c r="AD199" i="1" s="1"/>
  <c r="AC183" i="1"/>
  <c r="AD183" i="1" s="1"/>
  <c r="AC283" i="1"/>
  <c r="AD283" i="1" s="1"/>
  <c r="AC262" i="1"/>
  <c r="AD262" i="1" s="1"/>
  <c r="AC241" i="1"/>
  <c r="AD241" i="1" s="1"/>
  <c r="AC309" i="1"/>
  <c r="AD309" i="1" s="1"/>
  <c r="AC222" i="1"/>
  <c r="AD222" i="1" s="1"/>
  <c r="AC206" i="1"/>
  <c r="AD206" i="1" s="1"/>
  <c r="AC271" i="1"/>
  <c r="AD271" i="1" s="1"/>
  <c r="AC250" i="1"/>
  <c r="AD250" i="1" s="1"/>
  <c r="AC324" i="1"/>
  <c r="AD324" i="1" s="1"/>
  <c r="AC292" i="1"/>
  <c r="AD292" i="1" s="1"/>
  <c r="AC276" i="1"/>
  <c r="AD276" i="1" s="1"/>
  <c r="AC260" i="1"/>
  <c r="AD260" i="1" s="1"/>
  <c r="AC244" i="1"/>
  <c r="AD244" i="1" s="1"/>
  <c r="AC344" i="1"/>
  <c r="AD344" i="1" s="1"/>
  <c r="AC312" i="1"/>
  <c r="AD312" i="1" s="1"/>
  <c r="AC392" i="1"/>
  <c r="AD392" i="1" s="1"/>
  <c r="AC338" i="1"/>
  <c r="AD338" i="1" s="1"/>
  <c r="AC322" i="1"/>
  <c r="AD322" i="1" s="1"/>
  <c r="AC306" i="1"/>
  <c r="AD306" i="1" s="1"/>
  <c r="AC375" i="1"/>
  <c r="AD375" i="1" s="1"/>
  <c r="AC323" i="1"/>
  <c r="AD323" i="1" s="1"/>
  <c r="AC307" i="1"/>
  <c r="AD307" i="1" s="1"/>
  <c r="AC291" i="1"/>
  <c r="AD291" i="1" s="1"/>
  <c r="AC397" i="1"/>
  <c r="AD397" i="1" s="1"/>
  <c r="AC364" i="1"/>
  <c r="AD364" i="1" s="1"/>
  <c r="AC395" i="1"/>
  <c r="AD395" i="1" s="1"/>
  <c r="AC378" i="1"/>
  <c r="AD378" i="1" s="1"/>
  <c r="AC362" i="1"/>
  <c r="AD362" i="1" s="1"/>
  <c r="AC398" i="1"/>
  <c r="AD398" i="1" s="1"/>
  <c r="AC382" i="1"/>
  <c r="AD382" i="1" s="1"/>
  <c r="AC365" i="1"/>
  <c r="AD365" i="1" s="1"/>
  <c r="AC348" i="1"/>
  <c r="AD348" i="1" s="1"/>
  <c r="V375" i="1" l="1"/>
  <c r="W375" i="1"/>
  <c r="X375" i="1" s="1"/>
  <c r="W333" i="1"/>
  <c r="X333" i="1" s="1"/>
  <c r="V333" i="1"/>
  <c r="W7" i="1"/>
  <c r="V7" i="1"/>
  <c r="V366" i="1"/>
  <c r="W366" i="1"/>
  <c r="W259" i="1"/>
  <c r="V259" i="1"/>
  <c r="V322" i="1"/>
  <c r="W322" i="1"/>
  <c r="X322" i="1" s="1"/>
  <c r="W262" i="1"/>
  <c r="V262" i="1"/>
  <c r="V286" i="1"/>
  <c r="W286" i="1"/>
  <c r="W26" i="1"/>
  <c r="V26" i="1"/>
  <c r="V319" i="1"/>
  <c r="W319" i="1"/>
  <c r="X319" i="1" s="1"/>
  <c r="V407" i="1"/>
  <c r="W407" i="1"/>
  <c r="X407" i="1" s="1"/>
  <c r="V399" i="1"/>
  <c r="W399" i="1"/>
  <c r="W234" i="1"/>
  <c r="V234" i="1"/>
  <c r="W253" i="1"/>
  <c r="V253" i="1"/>
  <c r="W30" i="1"/>
  <c r="V30" i="1"/>
  <c r="W105" i="1"/>
  <c r="X105" i="1" s="1"/>
  <c r="V105" i="1"/>
  <c r="W224" i="1"/>
  <c r="V224" i="1"/>
  <c r="W85" i="1"/>
  <c r="X85" i="1" s="1"/>
  <c r="V85" i="1"/>
  <c r="V331" i="1"/>
  <c r="W331" i="1"/>
  <c r="X331" i="1" s="1"/>
  <c r="V305" i="1"/>
  <c r="W305" i="1"/>
  <c r="W251" i="1"/>
  <c r="V251" i="1"/>
  <c r="W90" i="1"/>
  <c r="X90" i="1" s="1"/>
  <c r="V90" i="1"/>
  <c r="W107" i="1"/>
  <c r="V107" i="1"/>
  <c r="V380" i="1"/>
  <c r="W380" i="1"/>
  <c r="V355" i="1"/>
  <c r="W355" i="1"/>
  <c r="X355" i="1" s="1"/>
  <c r="W256" i="1"/>
  <c r="X256" i="1" s="1"/>
  <c r="V256" i="1"/>
  <c r="W51" i="1"/>
  <c r="V51" i="1"/>
  <c r="V364" i="1"/>
  <c r="W364" i="1"/>
  <c r="V338" i="1"/>
  <c r="W338" i="1"/>
  <c r="X338" i="1" s="1"/>
  <c r="V324" i="1"/>
  <c r="W324" i="1"/>
  <c r="W283" i="1"/>
  <c r="V283" i="1"/>
  <c r="V345" i="1"/>
  <c r="W345" i="1"/>
  <c r="W201" i="1"/>
  <c r="V201" i="1"/>
  <c r="W29" i="1"/>
  <c r="X29" i="1" s="1"/>
  <c r="V29" i="1"/>
  <c r="W42" i="1"/>
  <c r="V42" i="1"/>
  <c r="W101" i="1"/>
  <c r="X101" i="1" s="1"/>
  <c r="V101" i="1"/>
  <c r="V363" i="1"/>
  <c r="W363" i="1"/>
  <c r="X363" i="1" s="1"/>
  <c r="W352" i="1"/>
  <c r="X352" i="1" s="1"/>
  <c r="V352" i="1"/>
  <c r="V372" i="1"/>
  <c r="W372" i="1"/>
  <c r="X372" i="1" s="1"/>
  <c r="W342" i="1"/>
  <c r="X342" i="1" s="1"/>
  <c r="V342" i="1"/>
  <c r="W255" i="1"/>
  <c r="V255" i="1"/>
  <c r="V289" i="1"/>
  <c r="W289" i="1"/>
  <c r="W208" i="1"/>
  <c r="V208" i="1"/>
  <c r="V297" i="1"/>
  <c r="W297" i="1"/>
  <c r="W62" i="1"/>
  <c r="V62" i="1"/>
  <c r="W11" i="1"/>
  <c r="X11" i="1" s="1"/>
  <c r="V11" i="1"/>
  <c r="W24" i="1"/>
  <c r="V24" i="1"/>
  <c r="W293" i="1"/>
  <c r="X293" i="1" s="1"/>
  <c r="V293" i="1"/>
  <c r="W110" i="1"/>
  <c r="V110" i="1"/>
  <c r="V12" i="1"/>
  <c r="W12" i="1"/>
  <c r="V387" i="1"/>
  <c r="W387" i="1"/>
  <c r="X387" i="1" s="1"/>
  <c r="V347" i="1"/>
  <c r="W347" i="1"/>
  <c r="W236" i="1"/>
  <c r="V236" i="1"/>
  <c r="W239" i="1"/>
  <c r="X239" i="1" s="1"/>
  <c r="V239" i="1"/>
  <c r="W273" i="1"/>
  <c r="V273" i="1"/>
  <c r="W263" i="1"/>
  <c r="X263" i="1" s="1"/>
  <c r="V263" i="1"/>
  <c r="W106" i="1"/>
  <c r="V106" i="1"/>
  <c r="W18" i="1"/>
  <c r="X18" i="1" s="1"/>
  <c r="V18" i="1"/>
  <c r="W100" i="1"/>
  <c r="V100" i="1"/>
  <c r="W357" i="1"/>
  <c r="X357" i="1" s="1"/>
  <c r="V357" i="1"/>
  <c r="W389" i="1"/>
  <c r="V389" i="1"/>
  <c r="W288" i="1"/>
  <c r="X288" i="1" s="1"/>
  <c r="V288" i="1"/>
  <c r="W275" i="1"/>
  <c r="V275" i="1"/>
  <c r="W392" i="1"/>
  <c r="X392" i="1" s="1"/>
  <c r="V392" i="1"/>
  <c r="W233" i="1"/>
  <c r="V233" i="1"/>
  <c r="W318" i="1"/>
  <c r="X318" i="1" s="1"/>
  <c r="V318" i="1"/>
  <c r="W320" i="1"/>
  <c r="V320" i="1"/>
  <c r="W220" i="1"/>
  <c r="X220" i="1" s="1"/>
  <c r="V220" i="1"/>
  <c r="W204" i="1"/>
  <c r="V204" i="1"/>
  <c r="W27" i="1"/>
  <c r="X27" i="1" s="1"/>
  <c r="V27" i="1"/>
  <c r="W97" i="1"/>
  <c r="V97" i="1"/>
  <c r="W235" i="1"/>
  <c r="X235" i="1" s="1"/>
  <c r="V235" i="1"/>
  <c r="W9" i="1"/>
  <c r="V9" i="1"/>
  <c r="W28" i="1"/>
  <c r="X28" i="1" s="1"/>
  <c r="V28" i="1"/>
  <c r="V403" i="1"/>
  <c r="W403" i="1"/>
  <c r="X403" i="1" s="1"/>
  <c r="V351" i="1"/>
  <c r="W351" i="1"/>
  <c r="W252" i="1"/>
  <c r="V252" i="1"/>
  <c r="W261" i="1"/>
  <c r="X261" i="1" s="1"/>
  <c r="V261" i="1"/>
  <c r="W191" i="1"/>
  <c r="V191" i="1"/>
  <c r="W184" i="1"/>
  <c r="X184" i="1" s="1"/>
  <c r="V184" i="1"/>
  <c r="W21" i="1"/>
  <c r="V21" i="1"/>
  <c r="W34" i="1"/>
  <c r="X34" i="1" s="1"/>
  <c r="V34" i="1"/>
  <c r="V116" i="1"/>
  <c r="W116" i="1"/>
  <c r="X116" i="1" s="1"/>
  <c r="V361" i="1"/>
  <c r="W361" i="1"/>
  <c r="V335" i="1"/>
  <c r="W335" i="1"/>
  <c r="X335" i="1" s="1"/>
  <c r="V401" i="1"/>
  <c r="W401" i="1"/>
  <c r="W193" i="1"/>
  <c r="V193" i="1"/>
  <c r="W250" i="1"/>
  <c r="X250" i="1" s="1"/>
  <c r="V250" i="1"/>
  <c r="W45" i="1"/>
  <c r="V45" i="1"/>
  <c r="V369" i="1"/>
  <c r="W369" i="1"/>
  <c r="W254" i="1"/>
  <c r="V254" i="1"/>
  <c r="W365" i="1"/>
  <c r="X365" i="1" s="1"/>
  <c r="V365" i="1"/>
  <c r="V291" i="1"/>
  <c r="W291" i="1"/>
  <c r="X291" i="1" s="1"/>
  <c r="W312" i="1"/>
  <c r="X312" i="1" s="1"/>
  <c r="V312" i="1"/>
  <c r="W271" i="1"/>
  <c r="V271" i="1"/>
  <c r="W199" i="1"/>
  <c r="X199" i="1" s="1"/>
  <c r="V199" i="1"/>
  <c r="W285" i="1"/>
  <c r="V285" i="1"/>
  <c r="W258" i="1"/>
  <c r="X258" i="1" s="1"/>
  <c r="V258" i="1"/>
  <c r="W61" i="1"/>
  <c r="V61" i="1"/>
  <c r="W237" i="1"/>
  <c r="X237" i="1" s="1"/>
  <c r="V237" i="1"/>
  <c r="W89" i="1"/>
  <c r="V89" i="1"/>
  <c r="W272" i="1"/>
  <c r="X272" i="1" s="1"/>
  <c r="V272" i="1"/>
  <c r="W78" i="1"/>
  <c r="V78" i="1"/>
  <c r="V386" i="1"/>
  <c r="W386" i="1"/>
  <c r="V388" i="1"/>
  <c r="W388" i="1"/>
  <c r="X388" i="1" s="1"/>
  <c r="W248" i="1"/>
  <c r="X248" i="1" s="1"/>
  <c r="V248" i="1"/>
  <c r="W178" i="1"/>
  <c r="V178" i="1"/>
  <c r="W203" i="1"/>
  <c r="X203" i="1" s="1"/>
  <c r="V203" i="1"/>
  <c r="W177" i="1"/>
  <c r="V177" i="1"/>
  <c r="W71" i="1"/>
  <c r="X71" i="1" s="1"/>
  <c r="V71" i="1"/>
  <c r="W69" i="1"/>
  <c r="V69" i="1"/>
  <c r="W43" i="1"/>
  <c r="X43" i="1" s="1"/>
  <c r="V43" i="1"/>
  <c r="W32" i="1"/>
  <c r="V32" i="1"/>
  <c r="W278" i="1"/>
  <c r="X278" i="1" s="1"/>
  <c r="V278" i="1"/>
  <c r="W25" i="1"/>
  <c r="V25" i="1"/>
  <c r="V356" i="1"/>
  <c r="W356" i="1"/>
  <c r="W381" i="1"/>
  <c r="V381" i="1"/>
  <c r="V298" i="1"/>
  <c r="W298" i="1"/>
  <c r="V284" i="1"/>
  <c r="W284" i="1"/>
  <c r="X284" i="1" s="1"/>
  <c r="W182" i="1"/>
  <c r="X182" i="1" s="1"/>
  <c r="V182" i="1"/>
  <c r="W207" i="1"/>
  <c r="V207" i="1"/>
  <c r="W216" i="1"/>
  <c r="X216" i="1" s="1"/>
  <c r="V216" i="1"/>
  <c r="W37" i="1"/>
  <c r="V37" i="1"/>
  <c r="W50" i="1"/>
  <c r="X50" i="1" s="1"/>
  <c r="V50" i="1"/>
  <c r="W15" i="1"/>
  <c r="V15" i="1"/>
  <c r="V377" i="1"/>
  <c r="W377" i="1"/>
  <c r="W302" i="1"/>
  <c r="V302" i="1"/>
  <c r="V316" i="1"/>
  <c r="W316" i="1"/>
  <c r="W94" i="1"/>
  <c r="V94" i="1"/>
  <c r="W397" i="1"/>
  <c r="X397" i="1" s="1"/>
  <c r="V397" i="1"/>
  <c r="W242" i="1"/>
  <c r="V242" i="1"/>
  <c r="W8" i="1"/>
  <c r="X8" i="1" s="1"/>
  <c r="V8" i="1"/>
  <c r="W405" i="1"/>
  <c r="V405" i="1"/>
  <c r="W187" i="1"/>
  <c r="X187" i="1" s="1"/>
  <c r="V187" i="1"/>
  <c r="W344" i="1"/>
  <c r="V344" i="1"/>
  <c r="W215" i="1"/>
  <c r="X215" i="1" s="1"/>
  <c r="V215" i="1"/>
  <c r="V180" i="1"/>
  <c r="W180" i="1"/>
  <c r="X180" i="1" s="1"/>
  <c r="W92" i="1"/>
  <c r="X92" i="1" s="1"/>
  <c r="V92" i="1"/>
  <c r="W6" i="1"/>
  <c r="V6" i="1"/>
  <c r="V311" i="1"/>
  <c r="W311" i="1"/>
  <c r="W194" i="1"/>
  <c r="V194" i="1"/>
  <c r="W209" i="1"/>
  <c r="X209" i="1" s="1"/>
  <c r="V209" i="1"/>
  <c r="W279" i="1"/>
  <c r="V279" i="1"/>
  <c r="W48" i="1"/>
  <c r="X48" i="1" s="1"/>
  <c r="V48" i="1"/>
  <c r="W373" i="1"/>
  <c r="X373" i="1" s="1"/>
  <c r="V373" i="1"/>
  <c r="V314" i="1"/>
  <c r="W314" i="1"/>
  <c r="V393" i="1"/>
  <c r="W393" i="1"/>
  <c r="X393" i="1" s="1"/>
  <c r="W81" i="1"/>
  <c r="X81" i="1" s="1"/>
  <c r="V81" i="1"/>
  <c r="V321" i="1"/>
  <c r="W321" i="1"/>
  <c r="X321" i="1" s="1"/>
  <c r="V348" i="1"/>
  <c r="W348" i="1"/>
  <c r="W183" i="1"/>
  <c r="V183" i="1"/>
  <c r="W58" i="1"/>
  <c r="X58" i="1" s="1"/>
  <c r="V58" i="1"/>
  <c r="V329" i="1"/>
  <c r="W329" i="1"/>
  <c r="X329" i="1" s="1"/>
  <c r="W277" i="1"/>
  <c r="X277" i="1" s="1"/>
  <c r="V277" i="1"/>
  <c r="W382" i="1"/>
  <c r="V382" i="1"/>
  <c r="V307" i="1"/>
  <c r="W307" i="1"/>
  <c r="W206" i="1"/>
  <c r="V206" i="1"/>
  <c r="W200" i="1"/>
  <c r="X200" i="1" s="1"/>
  <c r="V200" i="1"/>
  <c r="V290" i="1"/>
  <c r="W290" i="1"/>
  <c r="X290" i="1" s="1"/>
  <c r="W44" i="1"/>
  <c r="X44" i="1" s="1"/>
  <c r="V44" i="1"/>
  <c r="W179" i="1"/>
  <c r="V179" i="1"/>
  <c r="V402" i="1"/>
  <c r="W402" i="1"/>
  <c r="W264" i="1"/>
  <c r="V264" i="1"/>
  <c r="W219" i="1"/>
  <c r="X219" i="1" s="1"/>
  <c r="V219" i="1"/>
  <c r="W87" i="1"/>
  <c r="X87" i="1" s="1"/>
  <c r="V87" i="1"/>
  <c r="W59" i="1"/>
  <c r="X59" i="1" s="1"/>
  <c r="V59" i="1"/>
  <c r="W195" i="1"/>
  <c r="V195" i="1"/>
  <c r="W63" i="1"/>
  <c r="X63" i="1" s="1"/>
  <c r="V63" i="1"/>
  <c r="V354" i="1"/>
  <c r="W354" i="1"/>
  <c r="V379" i="1"/>
  <c r="W379" i="1"/>
  <c r="W198" i="1"/>
  <c r="V198" i="1"/>
  <c r="W265" i="1"/>
  <c r="X265" i="1" s="1"/>
  <c r="V265" i="1"/>
  <c r="W53" i="1"/>
  <c r="V53" i="1"/>
  <c r="W31" i="1"/>
  <c r="X31" i="1" s="1"/>
  <c r="V31" i="1"/>
  <c r="V394" i="1"/>
  <c r="W394" i="1"/>
  <c r="X394" i="1" s="1"/>
  <c r="W334" i="1"/>
  <c r="X334" i="1" s="1"/>
  <c r="V334" i="1"/>
  <c r="W57" i="1"/>
  <c r="X57" i="1" s="1"/>
  <c r="V57" i="1"/>
  <c r="V398" i="1"/>
  <c r="W398" i="1"/>
  <c r="V323" i="1"/>
  <c r="W323" i="1"/>
  <c r="X323" i="1" s="1"/>
  <c r="W244" i="1"/>
  <c r="X244" i="1" s="1"/>
  <c r="AE244" i="1" s="1"/>
  <c r="V244" i="1"/>
  <c r="W222" i="1"/>
  <c r="X222" i="1" s="1"/>
  <c r="V222" i="1"/>
  <c r="W231" i="1"/>
  <c r="X231" i="1" s="1"/>
  <c r="V231" i="1"/>
  <c r="W171" i="1"/>
  <c r="V171" i="1"/>
  <c r="W66" i="1"/>
  <c r="X66" i="1" s="1"/>
  <c r="AE66" i="1" s="1"/>
  <c r="V66" i="1"/>
  <c r="W83" i="1"/>
  <c r="X83" i="1" s="1"/>
  <c r="V83" i="1"/>
  <c r="W108" i="1"/>
  <c r="X108" i="1" s="1"/>
  <c r="V108" i="1"/>
  <c r="W60" i="1"/>
  <c r="V60" i="1"/>
  <c r="W301" i="1"/>
  <c r="X301" i="1" s="1"/>
  <c r="V301" i="1"/>
  <c r="W22" i="1"/>
  <c r="X22" i="1" s="1"/>
  <c r="V22" i="1"/>
  <c r="W349" i="1"/>
  <c r="X349" i="1" s="1"/>
  <c r="V349" i="1"/>
  <c r="V327" i="1"/>
  <c r="W327" i="1"/>
  <c r="X327" i="1" s="1"/>
  <c r="V359" i="1"/>
  <c r="W359" i="1"/>
  <c r="W210" i="1"/>
  <c r="X210" i="1" s="1"/>
  <c r="AE210" i="1" s="1"/>
  <c r="V210" i="1"/>
  <c r="V350" i="1"/>
  <c r="W350" i="1"/>
  <c r="W70" i="1"/>
  <c r="V70" i="1"/>
  <c r="W103" i="1"/>
  <c r="X103" i="1" s="1"/>
  <c r="V103" i="1"/>
  <c r="W196" i="1"/>
  <c r="X196" i="1" s="1"/>
  <c r="V196" i="1"/>
  <c r="W65" i="1"/>
  <c r="X65" i="1" s="1"/>
  <c r="V65" i="1"/>
  <c r="W245" i="1"/>
  <c r="V245" i="1"/>
  <c r="W360" i="1"/>
  <c r="X360" i="1" s="1"/>
  <c r="V360" i="1"/>
  <c r="W95" i="1"/>
  <c r="X95" i="1" s="1"/>
  <c r="V95" i="1"/>
  <c r="V390" i="1"/>
  <c r="W390" i="1"/>
  <c r="W400" i="1"/>
  <c r="V400" i="1"/>
  <c r="V330" i="1"/>
  <c r="W330" i="1"/>
  <c r="V308" i="1"/>
  <c r="W308" i="1"/>
  <c r="W214" i="1"/>
  <c r="X214" i="1" s="1"/>
  <c r="V214" i="1"/>
  <c r="W270" i="1"/>
  <c r="V270" i="1"/>
  <c r="W217" i="1"/>
  <c r="X217" i="1" s="1"/>
  <c r="V217" i="1"/>
  <c r="W73" i="1"/>
  <c r="X73" i="1" s="1"/>
  <c r="V73" i="1"/>
  <c r="W228" i="1"/>
  <c r="X228" i="1" s="1"/>
  <c r="V228" i="1"/>
  <c r="W47" i="1"/>
  <c r="V47" i="1"/>
  <c r="W358" i="1"/>
  <c r="X358" i="1" s="1"/>
  <c r="V358" i="1"/>
  <c r="W368" i="1"/>
  <c r="X368" i="1" s="1"/>
  <c r="V368" i="1"/>
  <c r="W202" i="1"/>
  <c r="X202" i="1" s="1"/>
  <c r="V202" i="1"/>
  <c r="W79" i="1"/>
  <c r="V79" i="1"/>
  <c r="V362" i="1"/>
  <c r="W362" i="1"/>
  <c r="W317" i="1"/>
  <c r="X317" i="1" s="1"/>
  <c r="AE317" i="1" s="1"/>
  <c r="V317" i="1"/>
  <c r="W16" i="1"/>
  <c r="X16" i="1" s="1"/>
  <c r="V16" i="1"/>
  <c r="V343" i="1"/>
  <c r="W343" i="1"/>
  <c r="X343" i="1" s="1"/>
  <c r="W226" i="1"/>
  <c r="X226" i="1" s="1"/>
  <c r="V226" i="1"/>
  <c r="W119" i="1"/>
  <c r="X119" i="1" s="1"/>
  <c r="V119" i="1"/>
  <c r="W80" i="1"/>
  <c r="X80" i="1" s="1"/>
  <c r="V80" i="1"/>
  <c r="W117" i="1"/>
  <c r="V117" i="1"/>
  <c r="W266" i="1"/>
  <c r="X266" i="1" s="1"/>
  <c r="V266" i="1"/>
  <c r="W281" i="1"/>
  <c r="X281" i="1" s="1"/>
  <c r="V281" i="1"/>
  <c r="W72" i="1"/>
  <c r="X72" i="1" s="1"/>
  <c r="V72" i="1"/>
  <c r="W406" i="1"/>
  <c r="V406" i="1"/>
  <c r="V299" i="1"/>
  <c r="W299" i="1"/>
  <c r="V346" i="1"/>
  <c r="W346" i="1"/>
  <c r="V340" i="1"/>
  <c r="W340" i="1"/>
  <c r="W230" i="1"/>
  <c r="V230" i="1"/>
  <c r="W189" i="1"/>
  <c r="X189" i="1" s="1"/>
  <c r="V189" i="1"/>
  <c r="W128" i="1"/>
  <c r="X128" i="1" s="1"/>
  <c r="V128" i="1"/>
  <c r="W75" i="1"/>
  <c r="X75" i="1" s="1"/>
  <c r="V75" i="1"/>
  <c r="W173" i="1"/>
  <c r="X173" i="1" s="1"/>
  <c r="V173" i="1"/>
  <c r="W77" i="1"/>
  <c r="X77" i="1" s="1"/>
  <c r="V77" i="1"/>
  <c r="V374" i="1"/>
  <c r="W374" i="1"/>
  <c r="W336" i="1"/>
  <c r="X336" i="1" s="1"/>
  <c r="V336" i="1"/>
  <c r="W257" i="1"/>
  <c r="X257" i="1" s="1"/>
  <c r="V257" i="1"/>
  <c r="W38" i="1"/>
  <c r="X38" i="1" s="1"/>
  <c r="V38" i="1"/>
  <c r="W309" i="1"/>
  <c r="X309" i="1" s="1"/>
  <c r="AE309" i="1" s="1"/>
  <c r="V309" i="1"/>
  <c r="W99" i="1"/>
  <c r="X99" i="1" s="1"/>
  <c r="V99" i="1"/>
  <c r="W104" i="1"/>
  <c r="X104" i="1" s="1"/>
  <c r="V104" i="1"/>
  <c r="W118" i="1"/>
  <c r="X118" i="1" s="1"/>
  <c r="V118" i="1"/>
  <c r="V378" i="1"/>
  <c r="W378" i="1"/>
  <c r="V306" i="1"/>
  <c r="W306" i="1"/>
  <c r="W276" i="1"/>
  <c r="X276" i="1" s="1"/>
  <c r="V276" i="1"/>
  <c r="W241" i="1"/>
  <c r="X241" i="1" s="1"/>
  <c r="V241" i="1"/>
  <c r="W249" i="1"/>
  <c r="X249" i="1" s="1"/>
  <c r="AE249" i="1" s="1"/>
  <c r="V249" i="1"/>
  <c r="W243" i="1"/>
  <c r="X243" i="1" s="1"/>
  <c r="V243" i="1"/>
  <c r="W114" i="1"/>
  <c r="X114" i="1" s="1"/>
  <c r="V114" i="1"/>
  <c r="W115" i="1"/>
  <c r="X115" i="1" s="1"/>
  <c r="V115" i="1"/>
  <c r="W23" i="1"/>
  <c r="X23" i="1" s="1"/>
  <c r="V23" i="1"/>
  <c r="V303" i="1"/>
  <c r="W303" i="1"/>
  <c r="V313" i="1"/>
  <c r="W313" i="1"/>
  <c r="W19" i="1"/>
  <c r="X19" i="1" s="1"/>
  <c r="AE19" i="1" s="1"/>
  <c r="V19" i="1"/>
  <c r="V383" i="1"/>
  <c r="W383" i="1"/>
  <c r="W294" i="1"/>
  <c r="X294" i="1" s="1"/>
  <c r="V294" i="1"/>
  <c r="V332" i="1"/>
  <c r="W332" i="1"/>
  <c r="W246" i="1"/>
  <c r="X246" i="1" s="1"/>
  <c r="V246" i="1"/>
  <c r="W213" i="1"/>
  <c r="X213" i="1" s="1"/>
  <c r="V213" i="1"/>
  <c r="W17" i="1"/>
  <c r="X17" i="1" s="1"/>
  <c r="V17" i="1"/>
  <c r="W14" i="1"/>
  <c r="X14" i="1" s="1"/>
  <c r="V14" i="1"/>
  <c r="W96" i="1"/>
  <c r="X96" i="1" s="1"/>
  <c r="AE96" i="1" s="1"/>
  <c r="V96" i="1"/>
  <c r="W20" i="1"/>
  <c r="X20" i="1" s="1"/>
  <c r="V20" i="1"/>
  <c r="V287" i="1"/>
  <c r="W287" i="1"/>
  <c r="W229" i="1"/>
  <c r="X229" i="1" s="1"/>
  <c r="V229" i="1"/>
  <c r="W35" i="1"/>
  <c r="X35" i="1" s="1"/>
  <c r="AE35" i="1" s="1"/>
  <c r="V35" i="1"/>
  <c r="V353" i="1"/>
  <c r="W353" i="1"/>
  <c r="V315" i="1"/>
  <c r="W315" i="1"/>
  <c r="W296" i="1"/>
  <c r="X296" i="1" s="1"/>
  <c r="V296" i="1"/>
  <c r="V371" i="1"/>
  <c r="W371" i="1"/>
  <c r="W341" i="1"/>
  <c r="X341" i="1" s="1"/>
  <c r="V341" i="1"/>
  <c r="W221" i="1"/>
  <c r="X221" i="1" s="1"/>
  <c r="V221" i="1"/>
  <c r="W74" i="1"/>
  <c r="X74" i="1" s="1"/>
  <c r="V74" i="1"/>
  <c r="W91" i="1"/>
  <c r="X91" i="1" s="1"/>
  <c r="AE91" i="1" s="1"/>
  <c r="V91" i="1"/>
  <c r="W68" i="1"/>
  <c r="X68" i="1" s="1"/>
  <c r="AE68" i="1" s="1"/>
  <c r="V68" i="1"/>
  <c r="W40" i="1"/>
  <c r="X40" i="1" s="1"/>
  <c r="V40" i="1"/>
  <c r="V391" i="1"/>
  <c r="W391" i="1"/>
  <c r="W240" i="1"/>
  <c r="X240" i="1" s="1"/>
  <c r="V240" i="1"/>
  <c r="W227" i="1"/>
  <c r="X227" i="1" s="1"/>
  <c r="V227" i="1"/>
  <c r="W88" i="1"/>
  <c r="X88" i="1" s="1"/>
  <c r="V88" i="1"/>
  <c r="W260" i="1"/>
  <c r="X260" i="1" s="1"/>
  <c r="V260" i="1"/>
  <c r="W82" i="1"/>
  <c r="X82" i="1" s="1"/>
  <c r="V82" i="1"/>
  <c r="W197" i="1"/>
  <c r="X197" i="1" s="1"/>
  <c r="V197" i="1"/>
  <c r="V300" i="1"/>
  <c r="W300" i="1"/>
  <c r="V395" i="1"/>
  <c r="W395" i="1"/>
  <c r="V292" i="1"/>
  <c r="W292" i="1"/>
  <c r="W205" i="1"/>
  <c r="X205" i="1" s="1"/>
  <c r="AE205" i="1" s="1"/>
  <c r="V205" i="1"/>
  <c r="W13" i="1"/>
  <c r="X13" i="1" s="1"/>
  <c r="V13" i="1"/>
  <c r="W39" i="1"/>
  <c r="X39" i="1" s="1"/>
  <c r="AE39" i="1" s="1"/>
  <c r="V39" i="1"/>
  <c r="W192" i="1"/>
  <c r="X192" i="1" s="1"/>
  <c r="V192" i="1"/>
  <c r="V310" i="1"/>
  <c r="W310" i="1"/>
  <c r="W267" i="1"/>
  <c r="X267" i="1" s="1"/>
  <c r="AE267" i="1" s="1"/>
  <c r="V267" i="1"/>
  <c r="W33" i="1"/>
  <c r="X33" i="1" s="1"/>
  <c r="V33" i="1"/>
  <c r="W112" i="1"/>
  <c r="X112" i="1" s="1"/>
  <c r="AE112" i="1" s="1"/>
  <c r="V112" i="1"/>
  <c r="W218" i="1"/>
  <c r="X218" i="1" s="1"/>
  <c r="V218" i="1"/>
  <c r="V370" i="1"/>
  <c r="W370" i="1"/>
  <c r="W328" i="1"/>
  <c r="X328" i="1" s="1"/>
  <c r="V328" i="1"/>
  <c r="V404" i="1"/>
  <c r="W404" i="1"/>
  <c r="W84" i="1"/>
  <c r="X84" i="1" s="1"/>
  <c r="AE84" i="1" s="1"/>
  <c r="V84" i="1"/>
  <c r="W274" i="1"/>
  <c r="X274" i="1" s="1"/>
  <c r="V274" i="1"/>
  <c r="AE277" i="1"/>
  <c r="AE59" i="1"/>
  <c r="AE373" i="1"/>
  <c r="AE321" i="1"/>
  <c r="AE83" i="1"/>
  <c r="AE22" i="1"/>
  <c r="AE368" i="1"/>
  <c r="AE17" i="1"/>
  <c r="AE88" i="1"/>
  <c r="AE318" i="1"/>
  <c r="AE261" i="1"/>
  <c r="AE260" i="1"/>
  <c r="AE328" i="1"/>
  <c r="AE250" i="1"/>
  <c r="AE363" i="1"/>
  <c r="V225" i="1"/>
  <c r="W225" i="1"/>
  <c r="AE342" i="1"/>
  <c r="AE288" i="1"/>
  <c r="AE397" i="1"/>
  <c r="AE392" i="1"/>
  <c r="AE333" i="1"/>
  <c r="AE290" i="1"/>
  <c r="AE319" i="1"/>
  <c r="AE291" i="1"/>
  <c r="AE312" i="1"/>
  <c r="AE243" i="1"/>
  <c r="AE258" i="1"/>
  <c r="AE101" i="1"/>
  <c r="AE272" i="1"/>
  <c r="AE349" i="1"/>
  <c r="AE372" i="1"/>
  <c r="AE248" i="1"/>
  <c r="AE71" i="1"/>
  <c r="AE43" i="1"/>
  <c r="AE278" i="1"/>
  <c r="AE182" i="1"/>
  <c r="AE221" i="1"/>
  <c r="AE18" i="1"/>
  <c r="AE228" i="1"/>
  <c r="AE358" i="1"/>
  <c r="AE202" i="1"/>
  <c r="AE322" i="1"/>
  <c r="AE180" i="1"/>
  <c r="AE8" i="1"/>
  <c r="AE352" i="1"/>
  <c r="AE99" i="1"/>
  <c r="AE343" i="1"/>
  <c r="AE87" i="1"/>
  <c r="AE80" i="1"/>
  <c r="AE219" i="1"/>
  <c r="AE33" i="1"/>
  <c r="AE105" i="1"/>
  <c r="AE48" i="1"/>
  <c r="AE218" i="1"/>
  <c r="AE72" i="1"/>
  <c r="AE28" i="1"/>
  <c r="AE403" i="1"/>
  <c r="AE265" i="1"/>
  <c r="AE173" i="1"/>
  <c r="AE31" i="1"/>
  <c r="AE335" i="1"/>
  <c r="AE336" i="1"/>
  <c r="AE256" i="1"/>
  <c r="AK242" i="1"/>
  <c r="AJ242" i="1"/>
  <c r="AK99" i="1"/>
  <c r="AJ99" i="1"/>
  <c r="AK398" i="1"/>
  <c r="AJ398" i="1"/>
  <c r="AK378" i="1"/>
  <c r="AJ378" i="1"/>
  <c r="AK291" i="1"/>
  <c r="AJ291" i="1"/>
  <c r="AJ323" i="1"/>
  <c r="AK323" i="1"/>
  <c r="AJ338" i="1"/>
  <c r="AK338" i="1"/>
  <c r="AK312" i="1"/>
  <c r="AJ312" i="1"/>
  <c r="AK276" i="1"/>
  <c r="AJ276" i="1"/>
  <c r="AJ324" i="1"/>
  <c r="AK324" i="1"/>
  <c r="AK222" i="1"/>
  <c r="AJ222" i="1"/>
  <c r="AK241" i="1"/>
  <c r="AJ241" i="1"/>
  <c r="AJ199" i="1"/>
  <c r="AK199" i="1"/>
  <c r="AK231" i="1"/>
  <c r="AJ231" i="1"/>
  <c r="AJ285" i="1"/>
  <c r="AK285" i="1"/>
  <c r="AJ243" i="1"/>
  <c r="AK243" i="1"/>
  <c r="AJ201" i="1"/>
  <c r="AK201" i="1"/>
  <c r="AK66" i="1"/>
  <c r="AJ66" i="1"/>
  <c r="AJ61" i="1"/>
  <c r="AK61" i="1"/>
  <c r="AK83" i="1"/>
  <c r="AJ83" i="1"/>
  <c r="AJ237" i="1"/>
  <c r="AK237" i="1"/>
  <c r="AK23" i="1"/>
  <c r="AJ23" i="1"/>
  <c r="AJ101" i="1"/>
  <c r="AK101" i="1"/>
  <c r="AJ60" i="1"/>
  <c r="AK60" i="1"/>
  <c r="AJ303" i="1"/>
  <c r="AK303" i="1"/>
  <c r="AJ272" i="1"/>
  <c r="AK272" i="1"/>
  <c r="AK301" i="1"/>
  <c r="AJ301" i="1"/>
  <c r="AJ313" i="1"/>
  <c r="AK313" i="1"/>
  <c r="AJ78" i="1"/>
  <c r="AK78" i="1"/>
  <c r="AK22" i="1"/>
  <c r="AJ22" i="1"/>
  <c r="AK386" i="1"/>
  <c r="AJ386" i="1"/>
  <c r="AJ349" i="1"/>
  <c r="AK349" i="1"/>
  <c r="AJ372" i="1"/>
  <c r="AK372" i="1"/>
  <c r="AK388" i="1"/>
  <c r="AJ388" i="1"/>
  <c r="AJ327" i="1"/>
  <c r="AK327" i="1"/>
  <c r="AJ342" i="1"/>
  <c r="AK342" i="1"/>
  <c r="AK359" i="1"/>
  <c r="AJ359" i="1"/>
  <c r="AJ178" i="1"/>
  <c r="AK178" i="1"/>
  <c r="AK210" i="1"/>
  <c r="AJ210" i="1"/>
  <c r="AK289" i="1"/>
  <c r="AJ289" i="1"/>
  <c r="AK350" i="1"/>
  <c r="AJ350" i="1"/>
  <c r="AJ208" i="1"/>
  <c r="AK208" i="1"/>
  <c r="AJ297" i="1"/>
  <c r="AK297" i="1"/>
  <c r="AK62" i="1"/>
  <c r="AJ62" i="1"/>
  <c r="AK196" i="1"/>
  <c r="AJ196" i="1"/>
  <c r="AK96" i="1"/>
  <c r="AJ96" i="1"/>
  <c r="AJ20" i="1"/>
  <c r="AK20" i="1"/>
  <c r="AK32" i="1"/>
  <c r="AJ32" i="1"/>
  <c r="AJ287" i="1"/>
  <c r="AK287" i="1"/>
  <c r="AJ278" i="1"/>
  <c r="AK278" i="1"/>
  <c r="AK229" i="1"/>
  <c r="AJ229" i="1"/>
  <c r="AK25" i="1"/>
  <c r="AJ25" i="1"/>
  <c r="AJ35" i="1"/>
  <c r="AK35" i="1"/>
  <c r="AJ356" i="1"/>
  <c r="AK356" i="1"/>
  <c r="AJ353" i="1"/>
  <c r="AK353" i="1"/>
  <c r="AJ381" i="1"/>
  <c r="AK381" i="1"/>
  <c r="AJ315" i="1"/>
  <c r="AK315" i="1"/>
  <c r="AK298" i="1"/>
  <c r="AJ298" i="1"/>
  <c r="AJ296" i="1"/>
  <c r="AK296" i="1"/>
  <c r="AK284" i="1"/>
  <c r="AJ284" i="1"/>
  <c r="AJ371" i="1"/>
  <c r="AK371" i="1"/>
  <c r="AK239" i="1"/>
  <c r="AJ239" i="1"/>
  <c r="AJ214" i="1"/>
  <c r="AK214" i="1"/>
  <c r="AJ273" i="1"/>
  <c r="AK273" i="1"/>
  <c r="AJ270" i="1"/>
  <c r="AK270" i="1"/>
  <c r="AJ263" i="1"/>
  <c r="AK263" i="1"/>
  <c r="AJ216" i="1"/>
  <c r="AK216" i="1"/>
  <c r="AJ18" i="1"/>
  <c r="AK18" i="1"/>
  <c r="AJ228" i="1"/>
  <c r="AK228" i="1"/>
  <c r="AJ68" i="1"/>
  <c r="AK68" i="1"/>
  <c r="AK15" i="1"/>
  <c r="AJ15" i="1"/>
  <c r="AK47" i="1"/>
  <c r="AJ47" i="1"/>
  <c r="AJ40" i="1"/>
  <c r="AK40" i="1"/>
  <c r="AK357" i="1"/>
  <c r="AJ357" i="1"/>
  <c r="AK377" i="1"/>
  <c r="AJ377" i="1"/>
  <c r="AJ358" i="1"/>
  <c r="AK358" i="1"/>
  <c r="AK389" i="1"/>
  <c r="AJ389" i="1"/>
  <c r="AK302" i="1"/>
  <c r="AJ302" i="1"/>
  <c r="AJ240" i="1"/>
  <c r="AK240" i="1"/>
  <c r="AJ316" i="1"/>
  <c r="AK316" i="1"/>
  <c r="AK202" i="1"/>
  <c r="AJ202" i="1"/>
  <c r="AK227" i="1"/>
  <c r="AJ227" i="1"/>
  <c r="AK275" i="1"/>
  <c r="AJ275" i="1"/>
  <c r="AK94" i="1"/>
  <c r="AJ94" i="1"/>
  <c r="AK88" i="1"/>
  <c r="AJ88" i="1"/>
  <c r="AJ249" i="1"/>
  <c r="AK249" i="1"/>
  <c r="AK345" i="1"/>
  <c r="AJ345" i="1"/>
  <c r="AJ29" i="1"/>
  <c r="AK29" i="1"/>
  <c r="AK42" i="1"/>
  <c r="AJ42" i="1"/>
  <c r="AJ108" i="1"/>
  <c r="AK108" i="1"/>
  <c r="AJ19" i="1"/>
  <c r="AK19" i="1"/>
  <c r="AK352" i="1"/>
  <c r="AJ352" i="1"/>
  <c r="AK294" i="1"/>
  <c r="AJ294" i="1"/>
  <c r="AJ70" i="1"/>
  <c r="AK70" i="1"/>
  <c r="AJ103" i="1"/>
  <c r="AK103" i="1"/>
  <c r="AK69" i="1"/>
  <c r="AJ69" i="1"/>
  <c r="AK65" i="1"/>
  <c r="AJ65" i="1"/>
  <c r="AK24" i="1"/>
  <c r="AJ24" i="1"/>
  <c r="AK106" i="1"/>
  <c r="AJ106" i="1"/>
  <c r="AK73" i="1"/>
  <c r="AJ73" i="1"/>
  <c r="AJ100" i="1"/>
  <c r="AK100" i="1"/>
  <c r="AJ368" i="1"/>
  <c r="AK368" i="1"/>
  <c r="AK288" i="1"/>
  <c r="AJ288" i="1"/>
  <c r="AJ79" i="1"/>
  <c r="AK79" i="1"/>
  <c r="AJ206" i="1"/>
  <c r="AK206" i="1"/>
  <c r="AJ183" i="1"/>
  <c r="AK183" i="1"/>
  <c r="AK233" i="1"/>
  <c r="AJ233" i="1"/>
  <c r="AK82" i="1"/>
  <c r="AJ82" i="1"/>
  <c r="AK45" i="1"/>
  <c r="AJ45" i="1"/>
  <c r="AJ92" i="1"/>
  <c r="AK92" i="1"/>
  <c r="AK365" i="1"/>
  <c r="AJ365" i="1"/>
  <c r="AJ364" i="1"/>
  <c r="AK364" i="1"/>
  <c r="AJ306" i="1"/>
  <c r="AK306" i="1"/>
  <c r="AJ244" i="1"/>
  <c r="AK244" i="1"/>
  <c r="AK271" i="1"/>
  <c r="AJ271" i="1"/>
  <c r="AK283" i="1"/>
  <c r="AJ283" i="1"/>
  <c r="AK171" i="1"/>
  <c r="AJ171" i="1"/>
  <c r="AJ258" i="1"/>
  <c r="AK258" i="1"/>
  <c r="AK114" i="1"/>
  <c r="AJ114" i="1"/>
  <c r="AJ115" i="1"/>
  <c r="AK115" i="1"/>
  <c r="AJ89" i="1"/>
  <c r="AK89" i="1"/>
  <c r="AK363" i="1"/>
  <c r="AJ363" i="1"/>
  <c r="AJ225" i="1"/>
  <c r="AK225" i="1"/>
  <c r="AJ383" i="1"/>
  <c r="AK383" i="1"/>
  <c r="AK248" i="1"/>
  <c r="AJ248" i="1"/>
  <c r="AK332" i="1"/>
  <c r="AJ332" i="1"/>
  <c r="AJ255" i="1"/>
  <c r="AK255" i="1"/>
  <c r="AK246" i="1"/>
  <c r="AJ246" i="1"/>
  <c r="AK203" i="1"/>
  <c r="AJ203" i="1"/>
  <c r="AK213" i="1"/>
  <c r="AJ213" i="1"/>
  <c r="AK177" i="1"/>
  <c r="AJ177" i="1"/>
  <c r="AJ17" i="1"/>
  <c r="AK17" i="1"/>
  <c r="AJ71" i="1"/>
  <c r="AK71" i="1"/>
  <c r="AJ14" i="1"/>
  <c r="AK14" i="1"/>
  <c r="AJ11" i="1"/>
  <c r="AK11" i="1"/>
  <c r="AK43" i="1"/>
  <c r="AJ43" i="1"/>
  <c r="AJ245" i="1"/>
  <c r="AK245" i="1"/>
  <c r="AJ293" i="1"/>
  <c r="AK293" i="1"/>
  <c r="AJ360" i="1"/>
  <c r="AK360" i="1"/>
  <c r="AJ110" i="1"/>
  <c r="AK110" i="1"/>
  <c r="AJ95" i="1"/>
  <c r="AK95" i="1"/>
  <c r="AJ12" i="1"/>
  <c r="AK12" i="1"/>
  <c r="AJ390" i="1"/>
  <c r="AK390" i="1"/>
  <c r="AK387" i="1"/>
  <c r="AJ387" i="1"/>
  <c r="AK400" i="1"/>
  <c r="AJ400" i="1"/>
  <c r="AK347" i="1"/>
  <c r="AJ347" i="1"/>
  <c r="AK330" i="1"/>
  <c r="AJ330" i="1"/>
  <c r="AJ236" i="1"/>
  <c r="AK236" i="1"/>
  <c r="AJ308" i="1"/>
  <c r="AK308" i="1"/>
  <c r="AJ182" i="1"/>
  <c r="AK182" i="1"/>
  <c r="AK341" i="1"/>
  <c r="AJ341" i="1"/>
  <c r="AJ207" i="1"/>
  <c r="AK207" i="1"/>
  <c r="AK221" i="1"/>
  <c r="AJ221" i="1"/>
  <c r="AJ217" i="1"/>
  <c r="AK217" i="1"/>
  <c r="AJ74" i="1"/>
  <c r="AK74" i="1"/>
  <c r="AJ37" i="1"/>
  <c r="AK37" i="1"/>
  <c r="AK91" i="1"/>
  <c r="AJ91" i="1"/>
  <c r="AK50" i="1"/>
  <c r="AJ50" i="1"/>
  <c r="AK391" i="1"/>
  <c r="AJ391" i="1"/>
  <c r="AK348" i="1"/>
  <c r="AJ348" i="1"/>
  <c r="AK382" i="1"/>
  <c r="AJ382" i="1"/>
  <c r="AK362" i="1"/>
  <c r="AJ362" i="1"/>
  <c r="AJ395" i="1"/>
  <c r="AK395" i="1"/>
  <c r="AK397" i="1"/>
  <c r="AJ397" i="1"/>
  <c r="AJ307" i="1"/>
  <c r="AK307" i="1"/>
  <c r="AK375" i="1"/>
  <c r="AJ375" i="1"/>
  <c r="AJ322" i="1"/>
  <c r="AK322" i="1"/>
  <c r="AK392" i="1"/>
  <c r="AJ392" i="1"/>
  <c r="AJ344" i="1"/>
  <c r="AK344" i="1"/>
  <c r="AJ260" i="1"/>
  <c r="AK260" i="1"/>
  <c r="AK292" i="1"/>
  <c r="AJ292" i="1"/>
  <c r="AK250" i="1"/>
  <c r="AJ250" i="1"/>
  <c r="AJ309" i="1"/>
  <c r="AK309" i="1"/>
  <c r="AJ262" i="1"/>
  <c r="AK262" i="1"/>
  <c r="AJ215" i="1"/>
  <c r="AK215" i="1"/>
  <c r="AJ333" i="1"/>
  <c r="AK333" i="1"/>
  <c r="AJ205" i="1"/>
  <c r="AK205" i="1"/>
  <c r="AK200" i="1"/>
  <c r="AJ200" i="1"/>
  <c r="AK317" i="1"/>
  <c r="AJ317" i="1"/>
  <c r="AJ286" i="1"/>
  <c r="AK286" i="1"/>
  <c r="AJ180" i="1"/>
  <c r="AK180" i="1"/>
  <c r="AK13" i="1"/>
  <c r="AJ13" i="1"/>
  <c r="AJ290" i="1"/>
  <c r="AK290" i="1"/>
  <c r="AJ26" i="1"/>
  <c r="AK26" i="1"/>
  <c r="AK58" i="1"/>
  <c r="AJ58" i="1"/>
  <c r="AK7" i="1"/>
  <c r="AJ7" i="1"/>
  <c r="AJ39" i="1"/>
  <c r="AK39" i="1"/>
  <c r="AK8" i="1"/>
  <c r="AJ8" i="1"/>
  <c r="AJ44" i="1"/>
  <c r="AK44" i="1"/>
  <c r="AK16" i="1"/>
  <c r="AJ16" i="1"/>
  <c r="AK319" i="1"/>
  <c r="AJ319" i="1"/>
  <c r="AK318" i="1"/>
  <c r="AJ318" i="1"/>
  <c r="AJ179" i="1"/>
  <c r="AK179" i="1"/>
  <c r="AK197" i="1"/>
  <c r="AJ197" i="1"/>
  <c r="AK192" i="1"/>
  <c r="AJ192" i="1"/>
  <c r="AK329" i="1"/>
  <c r="AJ329" i="1"/>
  <c r="AK104" i="1"/>
  <c r="AJ104" i="1"/>
  <c r="AK402" i="1"/>
  <c r="AJ402" i="1"/>
  <c r="AJ399" i="1"/>
  <c r="AK399" i="1"/>
  <c r="AJ405" i="1"/>
  <c r="AK405" i="1"/>
  <c r="AK311" i="1"/>
  <c r="AJ311" i="1"/>
  <c r="AJ310" i="1"/>
  <c r="AK310" i="1"/>
  <c r="AJ320" i="1"/>
  <c r="AK320" i="1"/>
  <c r="AJ264" i="1"/>
  <c r="AK264" i="1"/>
  <c r="AJ300" i="1"/>
  <c r="AK300" i="1"/>
  <c r="AK234" i="1"/>
  <c r="AJ234" i="1"/>
  <c r="AK277" i="1"/>
  <c r="AJ277" i="1"/>
  <c r="AK194" i="1"/>
  <c r="AJ194" i="1"/>
  <c r="AJ226" i="1"/>
  <c r="AK226" i="1"/>
  <c r="AK267" i="1"/>
  <c r="AJ267" i="1"/>
  <c r="AK187" i="1"/>
  <c r="AJ187" i="1"/>
  <c r="AK219" i="1"/>
  <c r="AJ219" i="1"/>
  <c r="AJ259" i="1"/>
  <c r="AK259" i="1"/>
  <c r="AJ253" i="1"/>
  <c r="AK253" i="1"/>
  <c r="AJ254" i="1"/>
  <c r="AK254" i="1"/>
  <c r="AK33" i="1"/>
  <c r="AJ33" i="1"/>
  <c r="AJ30" i="1"/>
  <c r="AK30" i="1"/>
  <c r="AK204" i="1"/>
  <c r="AJ204" i="1"/>
  <c r="AJ279" i="1"/>
  <c r="AK279" i="1"/>
  <c r="AK112" i="1"/>
  <c r="AJ112" i="1"/>
  <c r="AJ27" i="1"/>
  <c r="AK27" i="1"/>
  <c r="AK59" i="1"/>
  <c r="AJ59" i="1"/>
  <c r="AJ117" i="1"/>
  <c r="AK117" i="1"/>
  <c r="AK105" i="1"/>
  <c r="AJ105" i="1"/>
  <c r="AK97" i="1"/>
  <c r="AJ97" i="1"/>
  <c r="AK48" i="1"/>
  <c r="AJ48" i="1"/>
  <c r="AJ266" i="1"/>
  <c r="AK266" i="1"/>
  <c r="AJ218" i="1"/>
  <c r="AK218" i="1"/>
  <c r="AK235" i="1"/>
  <c r="AJ235" i="1"/>
  <c r="AK281" i="1"/>
  <c r="AJ281" i="1"/>
  <c r="AJ9" i="1"/>
  <c r="AK9" i="1"/>
  <c r="AJ72" i="1"/>
  <c r="AK72" i="1"/>
  <c r="AK85" i="1"/>
  <c r="AJ85" i="1"/>
  <c r="AJ28" i="1"/>
  <c r="AK28" i="1"/>
  <c r="AJ373" i="1"/>
  <c r="AK373" i="1"/>
  <c r="AJ406" i="1"/>
  <c r="AK406" i="1"/>
  <c r="AJ370" i="1"/>
  <c r="AK370" i="1"/>
  <c r="AK403" i="1"/>
  <c r="AJ403" i="1"/>
  <c r="AK354" i="1"/>
  <c r="AJ354" i="1"/>
  <c r="AJ299" i="1"/>
  <c r="AK299" i="1"/>
  <c r="AK331" i="1"/>
  <c r="AJ331" i="1"/>
  <c r="AK351" i="1"/>
  <c r="AJ351" i="1"/>
  <c r="AK314" i="1"/>
  <c r="AJ314" i="1"/>
  <c r="AK328" i="1"/>
  <c r="AJ328" i="1"/>
  <c r="AK252" i="1"/>
  <c r="AJ252" i="1"/>
  <c r="AJ379" i="1"/>
  <c r="AK379" i="1"/>
  <c r="AK340" i="1"/>
  <c r="AJ340" i="1"/>
  <c r="AJ305" i="1"/>
  <c r="AK305" i="1"/>
  <c r="AJ261" i="1"/>
  <c r="AK261" i="1"/>
  <c r="AJ198" i="1"/>
  <c r="AK198" i="1"/>
  <c r="AK230" i="1"/>
  <c r="AJ230" i="1"/>
  <c r="AJ393" i="1"/>
  <c r="AK393" i="1"/>
  <c r="AK404" i="1"/>
  <c r="AJ404" i="1"/>
  <c r="AK184" i="1"/>
  <c r="AJ184" i="1"/>
  <c r="AJ265" i="1"/>
  <c r="AK265" i="1"/>
  <c r="AJ128" i="1"/>
  <c r="AK128" i="1"/>
  <c r="AJ21" i="1"/>
  <c r="AK21" i="1"/>
  <c r="AK53" i="1"/>
  <c r="AJ53" i="1"/>
  <c r="AK107" i="1"/>
  <c r="AJ107" i="1"/>
  <c r="AJ34" i="1"/>
  <c r="AK34" i="1"/>
  <c r="AJ81" i="1"/>
  <c r="AK81" i="1"/>
  <c r="AJ173" i="1"/>
  <c r="AK173" i="1"/>
  <c r="AK116" i="1"/>
  <c r="AJ116" i="1"/>
  <c r="AK31" i="1"/>
  <c r="AJ31" i="1"/>
  <c r="AK77" i="1"/>
  <c r="AJ77" i="1"/>
  <c r="AK361" i="1"/>
  <c r="AJ361" i="1"/>
  <c r="AK394" i="1"/>
  <c r="AJ394" i="1"/>
  <c r="AJ374" i="1"/>
  <c r="AK374" i="1"/>
  <c r="AJ355" i="1"/>
  <c r="AK355" i="1"/>
  <c r="AK335" i="1"/>
  <c r="AJ335" i="1"/>
  <c r="AJ334" i="1"/>
  <c r="AK334" i="1"/>
  <c r="AK336" i="1"/>
  <c r="AJ336" i="1"/>
  <c r="AK256" i="1"/>
  <c r="AJ256" i="1"/>
  <c r="AJ401" i="1"/>
  <c r="AK401" i="1"/>
  <c r="AJ321" i="1"/>
  <c r="AK321" i="1"/>
  <c r="AK257" i="1"/>
  <c r="AJ257" i="1"/>
  <c r="AK274" i="1"/>
  <c r="AJ274" i="1"/>
  <c r="AJ193" i="1"/>
  <c r="AK193" i="1"/>
  <c r="AJ57" i="1"/>
  <c r="AK57" i="1"/>
  <c r="AK38" i="1"/>
  <c r="AJ38" i="1"/>
  <c r="AK51" i="1"/>
  <c r="AJ51" i="1"/>
  <c r="AJ6" i="1"/>
  <c r="AK6" i="1"/>
  <c r="AJ407" i="1"/>
  <c r="AK407" i="1"/>
  <c r="AJ369" i="1"/>
  <c r="AK369" i="1"/>
  <c r="AK366" i="1"/>
  <c r="AJ366" i="1"/>
  <c r="AK343" i="1"/>
  <c r="AJ343" i="1"/>
  <c r="AK209" i="1"/>
  <c r="AJ209" i="1"/>
  <c r="AJ118" i="1"/>
  <c r="AK118" i="1"/>
  <c r="AJ220" i="1"/>
  <c r="AK220" i="1"/>
  <c r="AJ87" i="1"/>
  <c r="AK87" i="1"/>
  <c r="AJ119" i="1"/>
  <c r="AK119" i="1"/>
  <c r="AK80" i="1"/>
  <c r="AJ80" i="1"/>
  <c r="AK195" i="1"/>
  <c r="AJ195" i="1"/>
  <c r="AJ224" i="1"/>
  <c r="AK224" i="1"/>
  <c r="AJ63" i="1"/>
  <c r="AK63" i="1"/>
  <c r="AK346" i="1"/>
  <c r="AJ346" i="1"/>
  <c r="AK251" i="1"/>
  <c r="AJ251" i="1"/>
  <c r="AJ191" i="1"/>
  <c r="AK191" i="1"/>
  <c r="AK189" i="1"/>
  <c r="AJ189" i="1"/>
  <c r="AJ90" i="1"/>
  <c r="AK90" i="1"/>
  <c r="AK75" i="1"/>
  <c r="AJ75" i="1"/>
  <c r="AK84" i="1"/>
  <c r="AJ84" i="1"/>
  <c r="AJ380" i="1"/>
  <c r="AK380" i="1"/>
  <c r="X404" i="1" l="1"/>
  <c r="AE404" i="1" s="1"/>
  <c r="X292" i="1"/>
  <c r="X371" i="1"/>
  <c r="AE371" i="1" s="1"/>
  <c r="X299" i="1"/>
  <c r="AE299" i="1" s="1"/>
  <c r="X362" i="1"/>
  <c r="X330" i="1"/>
  <c r="X359" i="1"/>
  <c r="AE359" i="1" s="1"/>
  <c r="X307" i="1"/>
  <c r="X311" i="1"/>
  <c r="X316" i="1"/>
  <c r="AE316" i="1" s="1"/>
  <c r="X356" i="1"/>
  <c r="AE356" i="1" s="1"/>
  <c r="X386" i="1"/>
  <c r="AE386" i="1" s="1"/>
  <c r="X361" i="1"/>
  <c r="X351" i="1"/>
  <c r="AE351" i="1" s="1"/>
  <c r="X347" i="1"/>
  <c r="X297" i="1"/>
  <c r="AE297" i="1" s="1"/>
  <c r="X345" i="1"/>
  <c r="X364" i="1"/>
  <c r="AE364" i="1" s="1"/>
  <c r="X380" i="1"/>
  <c r="AE380" i="1" s="1"/>
  <c r="X305" i="1"/>
  <c r="X399" i="1"/>
  <c r="X286" i="1"/>
  <c r="X366" i="1"/>
  <c r="AE366" i="1" s="1"/>
  <c r="AH366" i="1" s="1"/>
  <c r="X395" i="1"/>
  <c r="AE395" i="1" s="1"/>
  <c r="X391" i="1"/>
  <c r="X332" i="1"/>
  <c r="AE332" i="1" s="1"/>
  <c r="X313" i="1"/>
  <c r="AE313" i="1" s="1"/>
  <c r="X230" i="1"/>
  <c r="X406" i="1"/>
  <c r="AE406" i="1" s="1"/>
  <c r="X117" i="1"/>
  <c r="X79" i="1"/>
  <c r="AE79" i="1" s="1"/>
  <c r="X47" i="1"/>
  <c r="AE47" i="1" s="1"/>
  <c r="X270" i="1"/>
  <c r="X400" i="1"/>
  <c r="X245" i="1"/>
  <c r="AE245" i="1" s="1"/>
  <c r="X70" i="1"/>
  <c r="X60" i="1"/>
  <c r="AE60" i="1" s="1"/>
  <c r="X171" i="1"/>
  <c r="X198" i="1"/>
  <c r="AE198" i="1" s="1"/>
  <c r="X195" i="1"/>
  <c r="X264" i="1"/>
  <c r="X382" i="1"/>
  <c r="X183" i="1"/>
  <c r="AE183" i="1" s="1"/>
  <c r="X279" i="1"/>
  <c r="X6" i="1"/>
  <c r="X344" i="1"/>
  <c r="X242" i="1"/>
  <c r="AE242" i="1" s="1"/>
  <c r="X302" i="1"/>
  <c r="X37" i="1"/>
  <c r="X25" i="1"/>
  <c r="AE25" i="1" s="1"/>
  <c r="X69" i="1"/>
  <c r="AE69" i="1" s="1"/>
  <c r="X178" i="1"/>
  <c r="X78" i="1"/>
  <c r="AE78" i="1" s="1"/>
  <c r="X61" i="1"/>
  <c r="X271" i="1"/>
  <c r="AE271" i="1" s="1"/>
  <c r="X254" i="1"/>
  <c r="X193" i="1"/>
  <c r="AE193" i="1" s="1"/>
  <c r="X191" i="1"/>
  <c r="X97" i="1"/>
  <c r="X320" i="1"/>
  <c r="X275" i="1"/>
  <c r="AE275" i="1" s="1"/>
  <c r="X100" i="1"/>
  <c r="AE100" i="1" s="1"/>
  <c r="X273" i="1"/>
  <c r="AE273" i="1" s="1"/>
  <c r="X24" i="1"/>
  <c r="AE24" i="1" s="1"/>
  <c r="X208" i="1"/>
  <c r="X42" i="1"/>
  <c r="X283" i="1"/>
  <c r="AE283" i="1" s="1"/>
  <c r="X51" i="1"/>
  <c r="X107" i="1"/>
  <c r="AE107" i="1" s="1"/>
  <c r="X30" i="1"/>
  <c r="X262" i="1"/>
  <c r="AE262" i="1" s="1"/>
  <c r="AH262" i="1" s="1"/>
  <c r="X7" i="1"/>
  <c r="X370" i="1"/>
  <c r="AE370" i="1" s="1"/>
  <c r="X300" i="1"/>
  <c r="AE300" i="1" s="1"/>
  <c r="X315" i="1"/>
  <c r="AE315" i="1" s="1"/>
  <c r="X287" i="1"/>
  <c r="AE287" i="1" s="1"/>
  <c r="X303" i="1"/>
  <c r="AE303" i="1" s="1"/>
  <c r="X306" i="1"/>
  <c r="AE306" i="1" s="1"/>
  <c r="X340" i="1"/>
  <c r="AE340" i="1" s="1"/>
  <c r="X390" i="1"/>
  <c r="X350" i="1"/>
  <c r="AE350" i="1" s="1"/>
  <c r="X398" i="1"/>
  <c r="AE398" i="1" s="1"/>
  <c r="X379" i="1"/>
  <c r="AE379" i="1" s="1"/>
  <c r="X402" i="1"/>
  <c r="AE402" i="1" s="1"/>
  <c r="X348" i="1"/>
  <c r="AE348" i="1" s="1"/>
  <c r="X314" i="1"/>
  <c r="X377" i="1"/>
  <c r="AE377" i="1" s="1"/>
  <c r="X298" i="1"/>
  <c r="AE298" i="1" s="1"/>
  <c r="X369" i="1"/>
  <c r="X401" i="1"/>
  <c r="X12" i="1"/>
  <c r="X289" i="1"/>
  <c r="AE289" i="1" s="1"/>
  <c r="X324" i="1"/>
  <c r="AE324" i="1" s="1"/>
  <c r="AI324" i="1" s="1"/>
  <c r="X253" i="1"/>
  <c r="X310" i="1"/>
  <c r="AE310" i="1" s="1"/>
  <c r="X353" i="1"/>
  <c r="X383" i="1"/>
  <c r="AE383" i="1" s="1"/>
  <c r="X378" i="1"/>
  <c r="X374" i="1"/>
  <c r="AE374" i="1" s="1"/>
  <c r="X346" i="1"/>
  <c r="AE346" i="1" s="1"/>
  <c r="X308" i="1"/>
  <c r="X354" i="1"/>
  <c r="X53" i="1"/>
  <c r="AE53" i="1" s="1"/>
  <c r="X179" i="1"/>
  <c r="X206" i="1"/>
  <c r="AE206" i="1" s="1"/>
  <c r="X194" i="1"/>
  <c r="AE194" i="1" s="1"/>
  <c r="X405" i="1"/>
  <c r="X94" i="1"/>
  <c r="X15" i="1"/>
  <c r="X207" i="1"/>
  <c r="X381" i="1"/>
  <c r="AE381" i="1" s="1"/>
  <c r="X32" i="1"/>
  <c r="AE32" i="1" s="1"/>
  <c r="X177" i="1"/>
  <c r="AE177" i="1" s="1"/>
  <c r="X89" i="1"/>
  <c r="X285" i="1"/>
  <c r="AE285" i="1" s="1"/>
  <c r="X45" i="1"/>
  <c r="X21" i="1"/>
  <c r="X252" i="1"/>
  <c r="AE252" i="1" s="1"/>
  <c r="X9" i="1"/>
  <c r="AE9" i="1" s="1"/>
  <c r="X204" i="1"/>
  <c r="AE204" i="1" s="1"/>
  <c r="X233" i="1"/>
  <c r="AE233" i="1" s="1"/>
  <c r="X389" i="1"/>
  <c r="X106" i="1"/>
  <c r="AE106" i="1" s="1"/>
  <c r="X236" i="1"/>
  <c r="AE236" i="1" s="1"/>
  <c r="X110" i="1"/>
  <c r="X62" i="1"/>
  <c r="AE62" i="1" s="1"/>
  <c r="X255" i="1"/>
  <c r="AE255" i="1" s="1"/>
  <c r="X201" i="1"/>
  <c r="X251" i="1"/>
  <c r="X224" i="1"/>
  <c r="X234" i="1"/>
  <c r="AE234" i="1" s="1"/>
  <c r="X26" i="1"/>
  <c r="AE26" i="1" s="1"/>
  <c r="X259" i="1"/>
  <c r="AP242" i="1"/>
  <c r="AP378" i="1"/>
  <c r="AP398" i="1"/>
  <c r="AP379" i="1"/>
  <c r="AP370" i="1"/>
  <c r="AP198" i="1"/>
  <c r="AP219" i="1"/>
  <c r="AP347" i="1"/>
  <c r="AP177" i="1"/>
  <c r="AP106" i="1"/>
  <c r="AP69" i="1"/>
  <c r="AP103" i="1"/>
  <c r="AP297" i="1"/>
  <c r="AP274" i="1"/>
  <c r="AP328" i="1"/>
  <c r="AP235" i="1"/>
  <c r="AP30" i="1"/>
  <c r="AP110" i="1"/>
  <c r="AP89" i="1"/>
  <c r="AP220" i="1"/>
  <c r="AP230" i="1"/>
  <c r="AP261" i="1"/>
  <c r="AP28" i="1"/>
  <c r="AP320" i="1"/>
  <c r="AP11" i="1"/>
  <c r="AP255" i="1"/>
  <c r="AP208" i="1"/>
  <c r="AP380" i="1"/>
  <c r="AP305" i="1"/>
  <c r="AP117" i="1"/>
  <c r="AP104" i="1"/>
  <c r="AP318" i="1"/>
  <c r="AP319" i="1"/>
  <c r="AE51" i="1"/>
  <c r="AI51" i="1" s="1"/>
  <c r="AE57" i="1"/>
  <c r="AI57" i="1" s="1"/>
  <c r="AE274" i="1"/>
  <c r="AE334" i="1"/>
  <c r="AE355" i="1"/>
  <c r="AE394" i="1"/>
  <c r="AI394" i="1" s="1"/>
  <c r="AE77" i="1"/>
  <c r="AI77" i="1" s="1"/>
  <c r="AE116" i="1"/>
  <c r="AI116" i="1" s="1"/>
  <c r="AE81" i="1"/>
  <c r="AE21" i="1"/>
  <c r="AE230" i="1"/>
  <c r="AI230" i="1" s="1"/>
  <c r="AE314" i="1"/>
  <c r="AH314" i="1" s="1"/>
  <c r="AE331" i="1"/>
  <c r="AI331" i="1" s="1"/>
  <c r="AE354" i="1"/>
  <c r="AH354" i="1" s="1"/>
  <c r="AE85" i="1"/>
  <c r="AI85" i="1" s="1"/>
  <c r="AE235" i="1"/>
  <c r="AE266" i="1"/>
  <c r="AE97" i="1"/>
  <c r="AH97" i="1" s="1"/>
  <c r="AE117" i="1"/>
  <c r="AE27" i="1"/>
  <c r="AI27" i="1" s="1"/>
  <c r="AE279" i="1"/>
  <c r="AE30" i="1"/>
  <c r="AH30" i="1" s="1"/>
  <c r="AE254" i="1"/>
  <c r="AI254" i="1" s="1"/>
  <c r="AE259" i="1"/>
  <c r="AE187" i="1"/>
  <c r="AH187" i="1" s="1"/>
  <c r="AE226" i="1"/>
  <c r="AH226" i="1" s="1"/>
  <c r="AE320" i="1"/>
  <c r="AH320" i="1" s="1"/>
  <c r="AE75" i="1"/>
  <c r="AI75" i="1" s="1"/>
  <c r="AE189" i="1"/>
  <c r="AI189" i="1" s="1"/>
  <c r="AE251" i="1"/>
  <c r="AI251" i="1" s="1"/>
  <c r="AE63" i="1"/>
  <c r="AE195" i="1"/>
  <c r="AE119" i="1"/>
  <c r="AH119" i="1" s="1"/>
  <c r="AE220" i="1"/>
  <c r="AE209" i="1"/>
  <c r="AH209" i="1" s="1"/>
  <c r="AE407" i="1"/>
  <c r="AE92" i="1"/>
  <c r="AI92" i="1" s="1"/>
  <c r="AE45" i="1"/>
  <c r="AE378" i="1"/>
  <c r="AE65" i="1"/>
  <c r="AI65" i="1" s="1"/>
  <c r="AE294" i="1"/>
  <c r="AE29" i="1"/>
  <c r="AH29" i="1" s="1"/>
  <c r="AE311" i="1"/>
  <c r="AI311" i="1" s="1"/>
  <c r="AE104" i="1"/>
  <c r="AE197" i="1"/>
  <c r="AI197" i="1" s="1"/>
  <c r="AE16" i="1"/>
  <c r="AE7" i="1"/>
  <c r="AH7" i="1" s="1"/>
  <c r="AE13" i="1"/>
  <c r="AE344" i="1"/>
  <c r="AH344" i="1" s="1"/>
  <c r="AE307" i="1"/>
  <c r="AE382" i="1"/>
  <c r="AI382" i="1" s="1"/>
  <c r="AE94" i="1"/>
  <c r="AI94" i="1" s="1"/>
  <c r="AE227" i="1"/>
  <c r="AE302" i="1"/>
  <c r="AE391" i="1"/>
  <c r="AI391" i="1" s="1"/>
  <c r="AE40" i="1"/>
  <c r="AE15" i="1"/>
  <c r="AH15" i="1" s="1"/>
  <c r="AE37" i="1"/>
  <c r="AI37" i="1" s="1"/>
  <c r="AE217" i="1"/>
  <c r="AH217" i="1" s="1"/>
  <c r="AE263" i="1"/>
  <c r="AI263" i="1" s="1"/>
  <c r="AE270" i="1"/>
  <c r="AE214" i="1"/>
  <c r="AE239" i="1"/>
  <c r="AH239" i="1" s="1"/>
  <c r="AE308" i="1"/>
  <c r="AH308" i="1" s="1"/>
  <c r="AE330" i="1"/>
  <c r="AH330" i="1" s="1"/>
  <c r="AE347" i="1"/>
  <c r="AH347" i="1" s="1"/>
  <c r="AE400" i="1"/>
  <c r="AI400" i="1" s="1"/>
  <c r="AE387" i="1"/>
  <c r="AE390" i="1"/>
  <c r="AE12" i="1"/>
  <c r="AH12" i="1" s="1"/>
  <c r="AE95" i="1"/>
  <c r="AH95" i="1" s="1"/>
  <c r="AE110" i="1"/>
  <c r="AH110" i="1" s="1"/>
  <c r="AE360" i="1"/>
  <c r="AE293" i="1"/>
  <c r="AH293" i="1" s="1"/>
  <c r="AE20" i="1"/>
  <c r="AH20" i="1" s="1"/>
  <c r="AE11" i="1"/>
  <c r="AE196" i="1"/>
  <c r="AH196" i="1" s="1"/>
  <c r="AE14" i="1"/>
  <c r="AE213" i="1"/>
  <c r="AI213" i="1" s="1"/>
  <c r="AE203" i="1"/>
  <c r="AI203" i="1" s="1"/>
  <c r="AE246" i="1"/>
  <c r="AH246" i="1" s="1"/>
  <c r="AE178" i="1"/>
  <c r="AI178" i="1" s="1"/>
  <c r="AE327" i="1"/>
  <c r="AE89" i="1"/>
  <c r="AI89" i="1" s="1"/>
  <c r="AE23" i="1"/>
  <c r="AE115" i="1"/>
  <c r="AH115" i="1" s="1"/>
  <c r="AE61" i="1"/>
  <c r="AH61" i="1" s="1"/>
  <c r="AE201" i="1"/>
  <c r="AH201" i="1" s="1"/>
  <c r="AE171" i="1"/>
  <c r="AH171" i="1" s="1"/>
  <c r="AE231" i="1"/>
  <c r="AE222" i="1"/>
  <c r="AI222" i="1" s="1"/>
  <c r="AE338" i="1"/>
  <c r="AI338" i="1" s="1"/>
  <c r="AE323" i="1"/>
  <c r="AI323" i="1" s="1"/>
  <c r="AE73" i="1"/>
  <c r="AI73" i="1" s="1"/>
  <c r="AE103" i="1"/>
  <c r="AE108" i="1"/>
  <c r="AE399" i="1"/>
  <c r="AE179" i="1"/>
  <c r="AI179" i="1" s="1"/>
  <c r="AE44" i="1"/>
  <c r="AH44" i="1" s="1"/>
  <c r="AE286" i="1"/>
  <c r="AH286" i="1" s="1"/>
  <c r="AE375" i="1"/>
  <c r="AH375" i="1" s="1"/>
  <c r="AE362" i="1"/>
  <c r="AI362" i="1" s="1"/>
  <c r="AP225" i="1"/>
  <c r="AP338" i="1"/>
  <c r="AP343" i="1"/>
  <c r="AP6" i="1"/>
  <c r="AP193" i="1"/>
  <c r="AP368" i="1"/>
  <c r="AP100" i="1"/>
  <c r="AP294" i="1"/>
  <c r="AP202" i="1"/>
  <c r="AP302" i="1"/>
  <c r="AP23" i="1"/>
  <c r="AP66" i="1"/>
  <c r="AP201" i="1"/>
  <c r="AE38" i="1"/>
  <c r="AH38" i="1" s="1"/>
  <c r="AE257" i="1"/>
  <c r="AE401" i="1"/>
  <c r="AI401" i="1" s="1"/>
  <c r="AE361" i="1"/>
  <c r="AH361" i="1" s="1"/>
  <c r="AE34" i="1"/>
  <c r="AE128" i="1"/>
  <c r="AH128" i="1" s="1"/>
  <c r="AE184" i="1"/>
  <c r="AH184" i="1" s="1"/>
  <c r="AE393" i="1"/>
  <c r="AI393" i="1" s="1"/>
  <c r="AE305" i="1"/>
  <c r="AH305" i="1" s="1"/>
  <c r="AE281" i="1"/>
  <c r="AI281" i="1" s="1"/>
  <c r="AE253" i="1"/>
  <c r="AE264" i="1"/>
  <c r="AI264" i="1" s="1"/>
  <c r="AE90" i="1"/>
  <c r="AE191" i="1"/>
  <c r="AI191" i="1" s="1"/>
  <c r="AE224" i="1"/>
  <c r="AE118" i="1"/>
  <c r="AE369" i="1"/>
  <c r="AI369" i="1" s="1"/>
  <c r="AE6" i="1"/>
  <c r="AH6" i="1" s="1"/>
  <c r="AE82" i="1"/>
  <c r="AI82" i="1" s="1"/>
  <c r="AE365" i="1"/>
  <c r="AH365" i="1" s="1"/>
  <c r="AE70" i="1"/>
  <c r="AE345" i="1"/>
  <c r="AE329" i="1"/>
  <c r="AI329" i="1" s="1"/>
  <c r="AE58" i="1"/>
  <c r="AH58" i="1" s="1"/>
  <c r="AE292" i="1"/>
  <c r="AH292" i="1" s="1"/>
  <c r="AE240" i="1"/>
  <c r="AE389" i="1"/>
  <c r="AH389" i="1" s="1"/>
  <c r="AE357" i="1"/>
  <c r="AI357" i="1" s="1"/>
  <c r="AE50" i="1"/>
  <c r="AE74" i="1"/>
  <c r="AI74" i="1" s="1"/>
  <c r="AE216" i="1"/>
  <c r="AI216" i="1" s="1"/>
  <c r="AE207" i="1"/>
  <c r="AE341" i="1"/>
  <c r="AH341" i="1" s="1"/>
  <c r="AE284" i="1"/>
  <c r="AE296" i="1"/>
  <c r="AI296" i="1" s="1"/>
  <c r="AE353" i="1"/>
  <c r="AE229" i="1"/>
  <c r="AH229" i="1" s="1"/>
  <c r="AE208" i="1"/>
  <c r="AE388" i="1"/>
  <c r="AI388" i="1" s="1"/>
  <c r="AE301" i="1"/>
  <c r="AE237" i="1"/>
  <c r="AI237" i="1" s="1"/>
  <c r="AE114" i="1"/>
  <c r="AI114" i="1" s="1"/>
  <c r="AE199" i="1"/>
  <c r="AE241" i="1"/>
  <c r="AE276" i="1"/>
  <c r="AH276" i="1" s="1"/>
  <c r="AE42" i="1"/>
  <c r="AH42" i="1" s="1"/>
  <c r="AE405" i="1"/>
  <c r="AH405" i="1" s="1"/>
  <c r="AE192" i="1"/>
  <c r="AH192" i="1" s="1"/>
  <c r="AE200" i="1"/>
  <c r="AI200" i="1" s="1"/>
  <c r="AE215" i="1"/>
  <c r="AP224" i="1"/>
  <c r="AP257" i="1"/>
  <c r="AP336" i="1"/>
  <c r="AP116" i="1"/>
  <c r="AP173" i="1"/>
  <c r="AP265" i="1"/>
  <c r="AP264" i="1"/>
  <c r="AP7" i="1"/>
  <c r="AP58" i="1"/>
  <c r="AP344" i="1"/>
  <c r="AP375" i="1"/>
  <c r="AP362" i="1"/>
  <c r="AP115" i="1"/>
  <c r="AP283" i="1"/>
  <c r="AP65" i="1"/>
  <c r="AP94" i="1"/>
  <c r="AP240" i="1"/>
  <c r="AP60" i="1"/>
  <c r="AP276" i="1"/>
  <c r="AP291" i="1"/>
  <c r="AP314" i="1"/>
  <c r="AP373" i="1"/>
  <c r="AP205" i="1"/>
  <c r="AP249" i="1"/>
  <c r="AP47" i="1"/>
  <c r="AP263" i="1"/>
  <c r="AP273" i="1"/>
  <c r="AP349" i="1"/>
  <c r="AP195" i="1"/>
  <c r="AP355" i="1"/>
  <c r="AP53" i="1"/>
  <c r="AP21" i="1"/>
  <c r="AP340" i="1"/>
  <c r="AP250" i="1"/>
  <c r="AP395" i="1"/>
  <c r="AP348" i="1"/>
  <c r="AP37" i="1"/>
  <c r="AP74" i="1"/>
  <c r="AP390" i="1"/>
  <c r="AP114" i="1"/>
  <c r="AP244" i="1"/>
  <c r="AP345" i="1"/>
  <c r="X225" i="1"/>
  <c r="AE225" i="1" s="1"/>
  <c r="AI225" i="1" s="1"/>
  <c r="AP90" i="1"/>
  <c r="AP189" i="1"/>
  <c r="AP34" i="1"/>
  <c r="AP128" i="1"/>
  <c r="AP406" i="1"/>
  <c r="AP9" i="1"/>
  <c r="AP204" i="1"/>
  <c r="AP234" i="1"/>
  <c r="AP311" i="1"/>
  <c r="AP402" i="1"/>
  <c r="AP179" i="1"/>
  <c r="AP12" i="1"/>
  <c r="AP360" i="1"/>
  <c r="AP71" i="1"/>
  <c r="AP332" i="1"/>
  <c r="AP45" i="1"/>
  <c r="AP19" i="1"/>
  <c r="AP42" i="1"/>
  <c r="AP227" i="1"/>
  <c r="AP377" i="1"/>
  <c r="AP239" i="1"/>
  <c r="AP298" i="1"/>
  <c r="AP96" i="1"/>
  <c r="AP359" i="1"/>
  <c r="AP301" i="1"/>
  <c r="AP272" i="1"/>
  <c r="AP83" i="1"/>
  <c r="AP312" i="1"/>
  <c r="AP97" i="1"/>
  <c r="AP392" i="1"/>
  <c r="AP387" i="1"/>
  <c r="AP245" i="1"/>
  <c r="AP206" i="1"/>
  <c r="AP288" i="1"/>
  <c r="AP352" i="1"/>
  <c r="AP29" i="1"/>
  <c r="AP388" i="1"/>
  <c r="AP313" i="1"/>
  <c r="AP75" i="1"/>
  <c r="AP63" i="1"/>
  <c r="AP87" i="1"/>
  <c r="AP252" i="1"/>
  <c r="AP300" i="1"/>
  <c r="AP346" i="1"/>
  <c r="AP401" i="1"/>
  <c r="AP394" i="1"/>
  <c r="AP85" i="1"/>
  <c r="AP48" i="1"/>
  <c r="AP59" i="1"/>
  <c r="AP292" i="1"/>
  <c r="AP260" i="1"/>
  <c r="AP50" i="1"/>
  <c r="AP341" i="1"/>
  <c r="AP182" i="1"/>
  <c r="AP95" i="1"/>
  <c r="AP70" i="1"/>
  <c r="AP108" i="1"/>
  <c r="AP88" i="1"/>
  <c r="AP316" i="1"/>
  <c r="AP18" i="1"/>
  <c r="AP216" i="1"/>
  <c r="AP214" i="1"/>
  <c r="AP353" i="1"/>
  <c r="AP25" i="1"/>
  <c r="AP20" i="1"/>
  <c r="AP386" i="1"/>
  <c r="AP199" i="1"/>
  <c r="AP222" i="1"/>
  <c r="AP405" i="1"/>
  <c r="AP231" i="1"/>
  <c r="AP369" i="1"/>
  <c r="AP38" i="1"/>
  <c r="AP334" i="1"/>
  <c r="AP397" i="1"/>
  <c r="AP400" i="1"/>
  <c r="AP241" i="1"/>
  <c r="AP254" i="1"/>
  <c r="AP44" i="1"/>
  <c r="AP364" i="1"/>
  <c r="AP24" i="1"/>
  <c r="AP371" i="1"/>
  <c r="AP315" i="1"/>
  <c r="AP32" i="1"/>
  <c r="AP210" i="1"/>
  <c r="AP178" i="1"/>
  <c r="AP393" i="1"/>
  <c r="AP194" i="1"/>
  <c r="AP197" i="1"/>
  <c r="AP180" i="1"/>
  <c r="AP191" i="1"/>
  <c r="AP80" i="1"/>
  <c r="AP209" i="1"/>
  <c r="AP57" i="1"/>
  <c r="AP256" i="1"/>
  <c r="AP374" i="1"/>
  <c r="AP31" i="1"/>
  <c r="AP354" i="1"/>
  <c r="AP27" i="1"/>
  <c r="AP33" i="1"/>
  <c r="AP226" i="1"/>
  <c r="AP192" i="1"/>
  <c r="AP16" i="1"/>
  <c r="AP290" i="1"/>
  <c r="AP13" i="1"/>
  <c r="AP286" i="1"/>
  <c r="AP200" i="1"/>
  <c r="AP333" i="1"/>
  <c r="AP215" i="1"/>
  <c r="AP262" i="1"/>
  <c r="AP382" i="1"/>
  <c r="AP330" i="1"/>
  <c r="AP293" i="1"/>
  <c r="AP17" i="1"/>
  <c r="AP246" i="1"/>
  <c r="AP233" i="1"/>
  <c r="AP358" i="1"/>
  <c r="AP296" i="1"/>
  <c r="AP35" i="1"/>
  <c r="AP229" i="1"/>
  <c r="AP350" i="1"/>
  <c r="AP342" i="1"/>
  <c r="AP372" i="1"/>
  <c r="AP237" i="1"/>
  <c r="AP243" i="1"/>
  <c r="AP251" i="1"/>
  <c r="AP119" i="1"/>
  <c r="AP335" i="1"/>
  <c r="AP361" i="1"/>
  <c r="AP77" i="1"/>
  <c r="AP404" i="1"/>
  <c r="AP351" i="1"/>
  <c r="AP403" i="1"/>
  <c r="AP105" i="1"/>
  <c r="AP112" i="1"/>
  <c r="AP253" i="1"/>
  <c r="AP187" i="1"/>
  <c r="AP267" i="1"/>
  <c r="AP399" i="1"/>
  <c r="AP329" i="1"/>
  <c r="AP39" i="1"/>
  <c r="AP317" i="1"/>
  <c r="AP307" i="1"/>
  <c r="AP217" i="1"/>
  <c r="AP221" i="1"/>
  <c r="AP207" i="1"/>
  <c r="AP236" i="1"/>
  <c r="AP43" i="1"/>
  <c r="AP14" i="1"/>
  <c r="AP203" i="1"/>
  <c r="AP248" i="1"/>
  <c r="AP383" i="1"/>
  <c r="AP271" i="1"/>
  <c r="AP306" i="1"/>
  <c r="AP82" i="1"/>
  <c r="AP183" i="1"/>
  <c r="AP73" i="1"/>
  <c r="AP389" i="1"/>
  <c r="AP15" i="1"/>
  <c r="AP62" i="1"/>
  <c r="AP101" i="1"/>
  <c r="AP324" i="1"/>
  <c r="AP99" i="1"/>
  <c r="AH189" i="1"/>
  <c r="AI407" i="1"/>
  <c r="AH407" i="1"/>
  <c r="AH57" i="1"/>
  <c r="AI321" i="1"/>
  <c r="AH321" i="1"/>
  <c r="AH404" i="1"/>
  <c r="AI404" i="1"/>
  <c r="AI48" i="1"/>
  <c r="AH48" i="1"/>
  <c r="AH319" i="1"/>
  <c r="AI319" i="1"/>
  <c r="AI333" i="1"/>
  <c r="AH333" i="1"/>
  <c r="AH221" i="1"/>
  <c r="AI221" i="1"/>
  <c r="AH400" i="1"/>
  <c r="AH11" i="1"/>
  <c r="AI11" i="1"/>
  <c r="AI255" i="1"/>
  <c r="AH255" i="1"/>
  <c r="AI258" i="1"/>
  <c r="AH258" i="1"/>
  <c r="AH92" i="1"/>
  <c r="AH368" i="1"/>
  <c r="AI368" i="1"/>
  <c r="AH70" i="1"/>
  <c r="AI70" i="1"/>
  <c r="AH352" i="1"/>
  <c r="AI352" i="1"/>
  <c r="AI240" i="1"/>
  <c r="AH240" i="1"/>
  <c r="AI68" i="1"/>
  <c r="AH68" i="1"/>
  <c r="AH270" i="1"/>
  <c r="AI270" i="1"/>
  <c r="AH278" i="1"/>
  <c r="AI278" i="1"/>
  <c r="AH289" i="1"/>
  <c r="AI289" i="1"/>
  <c r="AH359" i="1"/>
  <c r="AI359" i="1"/>
  <c r="AI60" i="1"/>
  <c r="AH60" i="1"/>
  <c r="AH23" i="1"/>
  <c r="AI23" i="1"/>
  <c r="AH285" i="1"/>
  <c r="AI285" i="1"/>
  <c r="AH380" i="1"/>
  <c r="AI380" i="1"/>
  <c r="AH346" i="1"/>
  <c r="AI346" i="1"/>
  <c r="AI195" i="1"/>
  <c r="AH195" i="1"/>
  <c r="AI80" i="1"/>
  <c r="AH80" i="1"/>
  <c r="AP321" i="1"/>
  <c r="AP81" i="1"/>
  <c r="AI128" i="1"/>
  <c r="AI265" i="1"/>
  <c r="AH265" i="1"/>
  <c r="AP184" i="1"/>
  <c r="AH252" i="1"/>
  <c r="AI252" i="1"/>
  <c r="AI351" i="1"/>
  <c r="AH351" i="1"/>
  <c r="AI28" i="1"/>
  <c r="AH28" i="1"/>
  <c r="AH85" i="1"/>
  <c r="AP72" i="1"/>
  <c r="AI187" i="1"/>
  <c r="AI194" i="1"/>
  <c r="AH194" i="1"/>
  <c r="AP310" i="1"/>
  <c r="AH311" i="1"/>
  <c r="AI399" i="1"/>
  <c r="AH399" i="1"/>
  <c r="AH197" i="1"/>
  <c r="AH318" i="1"/>
  <c r="AI318" i="1"/>
  <c r="AI44" i="1"/>
  <c r="AI39" i="1"/>
  <c r="AH39" i="1"/>
  <c r="AI58" i="1"/>
  <c r="AI13" i="1"/>
  <c r="AH13" i="1"/>
  <c r="AI286" i="1"/>
  <c r="AI317" i="1"/>
  <c r="AH317" i="1"/>
  <c r="AH215" i="1"/>
  <c r="AI215" i="1"/>
  <c r="AH382" i="1"/>
  <c r="AH50" i="1"/>
  <c r="AI50" i="1"/>
  <c r="AI217" i="1"/>
  <c r="AI207" i="1"/>
  <c r="AH207" i="1"/>
  <c r="AI95" i="1"/>
  <c r="AH245" i="1"/>
  <c r="AI245" i="1"/>
  <c r="AH332" i="1"/>
  <c r="AI332" i="1"/>
  <c r="AH225" i="1"/>
  <c r="AH271" i="1"/>
  <c r="AI271" i="1"/>
  <c r="AI244" i="1"/>
  <c r="AH244" i="1"/>
  <c r="AH364" i="1"/>
  <c r="AI364" i="1"/>
  <c r="AI45" i="1"/>
  <c r="AH45" i="1"/>
  <c r="AH82" i="1"/>
  <c r="AI233" i="1"/>
  <c r="AH233" i="1"/>
  <c r="AI183" i="1"/>
  <c r="AH183" i="1"/>
  <c r="AI288" i="1"/>
  <c r="AH288" i="1"/>
  <c r="AH73" i="1"/>
  <c r="AH106" i="1"/>
  <c r="AI106" i="1"/>
  <c r="AH24" i="1"/>
  <c r="AI24" i="1"/>
  <c r="AH108" i="1"/>
  <c r="AI108" i="1"/>
  <c r="AH249" i="1"/>
  <c r="AI249" i="1"/>
  <c r="AI316" i="1"/>
  <c r="AH316" i="1"/>
  <c r="AH358" i="1"/>
  <c r="AI358" i="1"/>
  <c r="AI18" i="1"/>
  <c r="AH18" i="1"/>
  <c r="AH216" i="1"/>
  <c r="AH263" i="1"/>
  <c r="AI371" i="1"/>
  <c r="AH371" i="1"/>
  <c r="AH25" i="1"/>
  <c r="AI25" i="1"/>
  <c r="AH208" i="1"/>
  <c r="AI208" i="1"/>
  <c r="AH350" i="1"/>
  <c r="AI350" i="1"/>
  <c r="AH210" i="1"/>
  <c r="AI210" i="1"/>
  <c r="AH342" i="1"/>
  <c r="AI342" i="1"/>
  <c r="AH78" i="1"/>
  <c r="AI78" i="1"/>
  <c r="AI313" i="1"/>
  <c r="AH313" i="1"/>
  <c r="AI243" i="1"/>
  <c r="AH243" i="1"/>
  <c r="AH199" i="1"/>
  <c r="AI199" i="1"/>
  <c r="AH99" i="1"/>
  <c r="AI99" i="1"/>
  <c r="AI90" i="1"/>
  <c r="AH90" i="1"/>
  <c r="AH224" i="1"/>
  <c r="AI224" i="1"/>
  <c r="AI209" i="1"/>
  <c r="AH81" i="1"/>
  <c r="AI81" i="1"/>
  <c r="AI59" i="1"/>
  <c r="AH59" i="1"/>
  <c r="AH392" i="1"/>
  <c r="AI392" i="1"/>
  <c r="AI375" i="1"/>
  <c r="AH390" i="1"/>
  <c r="AI390" i="1"/>
  <c r="AH248" i="1"/>
  <c r="AI248" i="1"/>
  <c r="AH306" i="1"/>
  <c r="AI306" i="1"/>
  <c r="AI206" i="1"/>
  <c r="AH206" i="1"/>
  <c r="AH88" i="1"/>
  <c r="AI88" i="1"/>
  <c r="AH357" i="1"/>
  <c r="AI84" i="1"/>
  <c r="AH84" i="1"/>
  <c r="AH87" i="1"/>
  <c r="AI87" i="1"/>
  <c r="AI118" i="1"/>
  <c r="AH118" i="1"/>
  <c r="AH343" i="1"/>
  <c r="AI343" i="1"/>
  <c r="AH369" i="1"/>
  <c r="AI6" i="1"/>
  <c r="AH401" i="1"/>
  <c r="AH336" i="1"/>
  <c r="AI336" i="1"/>
  <c r="AI335" i="1"/>
  <c r="AH335" i="1"/>
  <c r="AH374" i="1"/>
  <c r="AI374" i="1"/>
  <c r="AH173" i="1"/>
  <c r="AI173" i="1"/>
  <c r="AH230" i="1"/>
  <c r="AI261" i="1"/>
  <c r="AH261" i="1"/>
  <c r="AP299" i="1"/>
  <c r="AP281" i="1"/>
  <c r="AP266" i="1"/>
  <c r="AI117" i="1"/>
  <c r="AH117" i="1"/>
  <c r="AI112" i="1"/>
  <c r="AH112" i="1"/>
  <c r="AI204" i="1"/>
  <c r="AH204" i="1"/>
  <c r="AH33" i="1"/>
  <c r="AI33" i="1"/>
  <c r="AP277" i="1"/>
  <c r="AH300" i="1"/>
  <c r="AI300" i="1"/>
  <c r="AH26" i="1"/>
  <c r="AI26" i="1"/>
  <c r="AI309" i="1"/>
  <c r="AH309" i="1"/>
  <c r="AH250" i="1"/>
  <c r="AI250" i="1"/>
  <c r="AI330" i="1"/>
  <c r="AI360" i="1"/>
  <c r="AH360" i="1"/>
  <c r="AI246" i="1"/>
  <c r="AH383" i="1"/>
  <c r="AI383" i="1"/>
  <c r="AI363" i="1"/>
  <c r="AH363" i="1"/>
  <c r="AH114" i="1"/>
  <c r="AP171" i="1"/>
  <c r="AI69" i="1"/>
  <c r="AH69" i="1"/>
  <c r="AI29" i="1"/>
  <c r="AI275" i="1"/>
  <c r="AH275" i="1"/>
  <c r="AI377" i="1"/>
  <c r="AH377" i="1"/>
  <c r="AP40" i="1"/>
  <c r="AI228" i="1"/>
  <c r="AH228" i="1"/>
  <c r="AI284" i="1"/>
  <c r="AH284" i="1"/>
  <c r="AH296" i="1"/>
  <c r="AI315" i="1"/>
  <c r="AH315" i="1"/>
  <c r="AP356" i="1"/>
  <c r="AP287" i="1"/>
  <c r="AH32" i="1"/>
  <c r="AI32" i="1"/>
  <c r="AI20" i="1"/>
  <c r="AP196" i="1"/>
  <c r="AP327" i="1"/>
  <c r="AI372" i="1"/>
  <c r="AH372" i="1"/>
  <c r="AI349" i="1"/>
  <c r="AH349" i="1"/>
  <c r="AH386" i="1"/>
  <c r="AI386" i="1"/>
  <c r="AP22" i="1"/>
  <c r="AP78" i="1"/>
  <c r="AI301" i="1"/>
  <c r="AH301" i="1"/>
  <c r="AH66" i="1"/>
  <c r="AI66" i="1"/>
  <c r="AH323" i="1"/>
  <c r="AH291" i="1"/>
  <c r="AI291" i="1"/>
  <c r="AH406" i="1"/>
  <c r="AI406" i="1"/>
  <c r="AI72" i="1"/>
  <c r="AH72" i="1"/>
  <c r="AI218" i="1"/>
  <c r="AH218" i="1"/>
  <c r="AI105" i="1"/>
  <c r="AH105" i="1"/>
  <c r="AI30" i="1"/>
  <c r="AH254" i="1"/>
  <c r="AI310" i="1"/>
  <c r="AH310" i="1"/>
  <c r="AH402" i="1"/>
  <c r="AI402" i="1"/>
  <c r="AH391" i="1"/>
  <c r="AI110" i="1"/>
  <c r="AI17" i="1"/>
  <c r="AH17" i="1"/>
  <c r="AH89" i="1"/>
  <c r="AH19" i="1"/>
  <c r="AI19" i="1"/>
  <c r="AI202" i="1"/>
  <c r="AH202" i="1"/>
  <c r="AI298" i="1"/>
  <c r="AH298" i="1"/>
  <c r="AH63" i="1"/>
  <c r="AI63" i="1"/>
  <c r="AI119" i="1"/>
  <c r="AH220" i="1"/>
  <c r="AI220" i="1"/>
  <c r="AH51" i="1"/>
  <c r="AI193" i="1"/>
  <c r="AH193" i="1"/>
  <c r="AH256" i="1"/>
  <c r="AI256" i="1"/>
  <c r="AH334" i="1"/>
  <c r="AI334" i="1"/>
  <c r="AI355" i="1"/>
  <c r="AH355" i="1"/>
  <c r="AP107" i="1"/>
  <c r="AH53" i="1"/>
  <c r="AI53" i="1"/>
  <c r="AH21" i="1"/>
  <c r="AI21" i="1"/>
  <c r="AH198" i="1"/>
  <c r="AI198" i="1"/>
  <c r="AI354" i="1"/>
  <c r="AH373" i="1"/>
  <c r="AI373" i="1"/>
  <c r="AI235" i="1"/>
  <c r="AH235" i="1"/>
  <c r="AP279" i="1"/>
  <c r="AP259" i="1"/>
  <c r="AH219" i="1"/>
  <c r="AI219" i="1"/>
  <c r="AH234" i="1"/>
  <c r="AI234" i="1"/>
  <c r="AH264" i="1"/>
  <c r="AH104" i="1"/>
  <c r="AI104" i="1"/>
  <c r="AP8" i="1"/>
  <c r="AH180" i="1"/>
  <c r="AI180" i="1"/>
  <c r="AH200" i="1"/>
  <c r="AP322" i="1"/>
  <c r="AH307" i="1"/>
  <c r="AI307" i="1"/>
  <c r="AH348" i="1"/>
  <c r="AI348" i="1"/>
  <c r="AP91" i="1"/>
  <c r="AP84" i="1"/>
  <c r="AP118" i="1"/>
  <c r="AP366" i="1"/>
  <c r="AP407" i="1"/>
  <c r="AP51" i="1"/>
  <c r="AH274" i="1"/>
  <c r="AI274" i="1"/>
  <c r="AH257" i="1"/>
  <c r="AI257" i="1"/>
  <c r="AI31" i="1"/>
  <c r="AH31" i="1"/>
  <c r="AH116" i="1"/>
  <c r="AH34" i="1"/>
  <c r="AI34" i="1"/>
  <c r="AI305" i="1"/>
  <c r="AI340" i="1"/>
  <c r="AH340" i="1"/>
  <c r="AI379" i="1"/>
  <c r="AH379" i="1"/>
  <c r="AH328" i="1"/>
  <c r="AI328" i="1"/>
  <c r="AP331" i="1"/>
  <c r="AI299" i="1"/>
  <c r="AH299" i="1"/>
  <c r="AH403" i="1"/>
  <c r="AI403" i="1"/>
  <c r="AH281" i="1"/>
  <c r="AP218" i="1"/>
  <c r="AH266" i="1"/>
  <c r="AI266" i="1"/>
  <c r="AI97" i="1"/>
  <c r="AH27" i="1"/>
  <c r="AI279" i="1"/>
  <c r="AH279" i="1"/>
  <c r="AH253" i="1"/>
  <c r="AI253" i="1"/>
  <c r="AI259" i="1"/>
  <c r="AH259" i="1"/>
  <c r="AI267" i="1"/>
  <c r="AH267" i="1"/>
  <c r="AH277" i="1"/>
  <c r="AI277" i="1"/>
  <c r="AI320" i="1"/>
  <c r="AH16" i="1"/>
  <c r="AI16" i="1"/>
  <c r="AH8" i="1"/>
  <c r="AI8" i="1"/>
  <c r="AI7" i="1"/>
  <c r="AP26" i="1"/>
  <c r="AI290" i="1"/>
  <c r="AH290" i="1"/>
  <c r="AH205" i="1"/>
  <c r="AI205" i="1"/>
  <c r="AP309" i="1"/>
  <c r="AH260" i="1"/>
  <c r="AI260" i="1"/>
  <c r="AI322" i="1"/>
  <c r="AH322" i="1"/>
  <c r="AI397" i="1"/>
  <c r="AH397" i="1"/>
  <c r="AI395" i="1"/>
  <c r="AH395" i="1"/>
  <c r="AP391" i="1"/>
  <c r="AI91" i="1"/>
  <c r="AH91" i="1"/>
  <c r="AH182" i="1"/>
  <c r="AI182" i="1"/>
  <c r="AP308" i="1"/>
  <c r="AI236" i="1"/>
  <c r="AH236" i="1"/>
  <c r="AI347" i="1"/>
  <c r="AI387" i="1"/>
  <c r="AH387" i="1"/>
  <c r="AH43" i="1"/>
  <c r="AI43" i="1"/>
  <c r="AH14" i="1"/>
  <c r="AI14" i="1"/>
  <c r="AH71" i="1"/>
  <c r="AI71" i="1"/>
  <c r="AP213" i="1"/>
  <c r="AH203" i="1"/>
  <c r="AP363" i="1"/>
  <c r="AP258" i="1"/>
  <c r="AI171" i="1"/>
  <c r="AP365" i="1"/>
  <c r="AP92" i="1"/>
  <c r="AP79" i="1"/>
  <c r="AI100" i="1"/>
  <c r="AH100" i="1"/>
  <c r="AH103" i="1"/>
  <c r="AI103" i="1"/>
  <c r="AI294" i="1"/>
  <c r="AH294" i="1"/>
  <c r="AI345" i="1"/>
  <c r="AH345" i="1"/>
  <c r="AH94" i="1"/>
  <c r="AP275" i="1"/>
  <c r="AH227" i="1"/>
  <c r="AI227" i="1"/>
  <c r="AI302" i="1"/>
  <c r="AH302" i="1"/>
  <c r="AP357" i="1"/>
  <c r="AH40" i="1"/>
  <c r="AI40" i="1"/>
  <c r="AH47" i="1"/>
  <c r="AI47" i="1"/>
  <c r="AP68" i="1"/>
  <c r="AP228" i="1"/>
  <c r="AP270" i="1"/>
  <c r="AH214" i="1"/>
  <c r="AI214" i="1"/>
  <c r="AI239" i="1"/>
  <c r="AP284" i="1"/>
  <c r="AP381" i="1"/>
  <c r="AH353" i="1"/>
  <c r="AI353" i="1"/>
  <c r="AI35" i="1"/>
  <c r="AH35" i="1"/>
  <c r="AP278" i="1"/>
  <c r="AH287" i="1"/>
  <c r="AI287" i="1"/>
  <c r="AI96" i="1"/>
  <c r="AH96" i="1"/>
  <c r="AI196" i="1"/>
  <c r="AI62" i="1"/>
  <c r="AH62" i="1"/>
  <c r="AH297" i="1"/>
  <c r="AI297" i="1"/>
  <c r="AP289" i="1"/>
  <c r="AH178" i="1"/>
  <c r="AH327" i="1"/>
  <c r="AI327" i="1"/>
  <c r="AH388" i="1"/>
  <c r="AH22" i="1"/>
  <c r="AI22" i="1"/>
  <c r="AI272" i="1"/>
  <c r="AH272" i="1"/>
  <c r="AP303" i="1"/>
  <c r="AI101" i="1"/>
  <c r="AH101" i="1"/>
  <c r="AH237" i="1"/>
  <c r="AH83" i="1"/>
  <c r="AI83" i="1"/>
  <c r="AP61" i="1"/>
  <c r="AP285" i="1"/>
  <c r="AI231" i="1"/>
  <c r="AH231" i="1"/>
  <c r="AH241" i="1"/>
  <c r="AI241" i="1"/>
  <c r="AH312" i="1"/>
  <c r="AI312" i="1"/>
  <c r="AP323" i="1"/>
  <c r="AI378" i="1"/>
  <c r="AH378" i="1"/>
  <c r="AI398" i="1"/>
  <c r="AH398" i="1"/>
  <c r="AI242" i="1"/>
  <c r="AH242" i="1"/>
  <c r="AH177" i="1" l="1"/>
  <c r="AI177" i="1"/>
  <c r="AI370" i="1"/>
  <c r="AH370" i="1"/>
  <c r="AH381" i="1"/>
  <c r="AI381" i="1"/>
  <c r="AO381" i="1" s="1"/>
  <c r="AI273" i="1"/>
  <c r="AH273" i="1"/>
  <c r="AI9" i="1"/>
  <c r="AH9" i="1"/>
  <c r="AI79" i="1"/>
  <c r="AH79" i="1"/>
  <c r="AH303" i="1"/>
  <c r="AI303" i="1"/>
  <c r="AI107" i="1"/>
  <c r="AO107" i="1" s="1"/>
  <c r="AH107" i="1"/>
  <c r="AH283" i="1"/>
  <c r="AI283" i="1"/>
  <c r="AO283" i="1" s="1"/>
  <c r="AI356" i="1"/>
  <c r="AH356" i="1"/>
  <c r="AI229" i="1"/>
  <c r="AH191" i="1"/>
  <c r="AO191" i="1" s="1"/>
  <c r="AI12" i="1"/>
  <c r="AO12" i="1" s="1"/>
  <c r="AI201" i="1"/>
  <c r="AI361" i="1"/>
  <c r="AH251" i="1"/>
  <c r="AI276" i="1"/>
  <c r="AO276" i="1" s="1"/>
  <c r="AI226" i="1"/>
  <c r="AH393" i="1"/>
  <c r="AI365" i="1"/>
  <c r="AO365" i="1" s="1"/>
  <c r="AH324" i="1"/>
  <c r="AI389" i="1"/>
  <c r="AI293" i="1"/>
  <c r="AH331" i="1"/>
  <c r="AO331" i="1" s="1"/>
  <c r="AI262" i="1"/>
  <c r="AO262" i="1" s="1"/>
  <c r="AI61" i="1"/>
  <c r="AH74" i="1"/>
  <c r="AO74" i="1" s="1"/>
  <c r="AI192" i="1"/>
  <c r="AH222" i="1"/>
  <c r="AO222" i="1" s="1"/>
  <c r="AI184" i="1"/>
  <c r="AH65" i="1"/>
  <c r="AO65" i="1" s="1"/>
  <c r="AH179" i="1"/>
  <c r="AO179" i="1" s="1"/>
  <c r="AH37" i="1"/>
  <c r="AO37" i="1" s="1"/>
  <c r="AH362" i="1"/>
  <c r="AH329" i="1"/>
  <c r="AH394" i="1"/>
  <c r="AO394" i="1" s="1"/>
  <c r="AI314" i="1"/>
  <c r="AO314" i="1" s="1"/>
  <c r="AI42" i="1"/>
  <c r="AO42" i="1" s="1"/>
  <c r="AI308" i="1"/>
  <c r="AO308" i="1" s="1"/>
  <c r="AI292" i="1"/>
  <c r="AI15" i="1"/>
  <c r="AO15" i="1" s="1"/>
  <c r="AI366" i="1"/>
  <c r="AI344" i="1"/>
  <c r="AO344" i="1" s="1"/>
  <c r="AH77" i="1"/>
  <c r="AO77" i="1" s="1"/>
  <c r="AI115" i="1"/>
  <c r="AO115" i="1" s="1"/>
  <c r="AH213" i="1"/>
  <c r="AI341" i="1"/>
  <c r="AO341" i="1" s="1"/>
  <c r="AI38" i="1"/>
  <c r="AO38" i="1" s="1"/>
  <c r="AH338" i="1"/>
  <c r="AI405" i="1"/>
  <c r="AH75" i="1"/>
  <c r="AO75" i="1" s="1"/>
  <c r="AO252" i="1"/>
  <c r="AO243" i="1"/>
  <c r="AO351" i="1"/>
  <c r="AO352" i="1"/>
  <c r="AO205" i="1"/>
  <c r="AO30" i="1"/>
  <c r="AO114" i="1"/>
  <c r="AO6" i="1"/>
  <c r="AO66" i="1"/>
  <c r="AO246" i="1"/>
  <c r="AO88" i="1"/>
  <c r="AO71" i="1"/>
  <c r="AO250" i="1"/>
  <c r="AO390" i="1"/>
  <c r="AO362" i="1"/>
  <c r="AO204" i="1"/>
  <c r="AO388" i="1"/>
  <c r="AO214" i="1"/>
  <c r="AO227" i="1"/>
  <c r="AO345" i="1"/>
  <c r="AO14" i="1"/>
  <c r="AO236" i="1"/>
  <c r="AO264" i="1"/>
  <c r="AO57" i="1"/>
  <c r="AO403" i="1"/>
  <c r="AO310" i="1"/>
  <c r="AO210" i="1"/>
  <c r="AO208" i="1"/>
  <c r="AO28" i="1"/>
  <c r="AO355" i="1"/>
  <c r="AO256" i="1"/>
  <c r="AO119" i="1"/>
  <c r="AO342" i="1"/>
  <c r="AO216" i="1"/>
  <c r="AO358" i="1"/>
  <c r="AO108" i="1"/>
  <c r="AO364" i="1"/>
  <c r="AO50" i="1"/>
  <c r="AO318" i="1"/>
  <c r="AO197" i="1"/>
  <c r="AO11" i="1"/>
  <c r="AO400" i="1"/>
  <c r="AO397" i="1"/>
  <c r="AO329" i="1"/>
  <c r="AO320" i="1"/>
  <c r="AO348" i="1"/>
  <c r="AO386" i="1"/>
  <c r="AO369" i="1"/>
  <c r="AO343" i="1"/>
  <c r="AO87" i="1"/>
  <c r="AO380" i="1"/>
  <c r="AO359" i="1"/>
  <c r="AO312" i="1"/>
  <c r="AO101" i="1"/>
  <c r="AO16" i="1"/>
  <c r="AO277" i="1"/>
  <c r="AO259" i="1"/>
  <c r="AO279" i="1"/>
  <c r="AO97" i="1"/>
  <c r="AO340" i="1"/>
  <c r="AO370" i="1"/>
  <c r="AO393" i="1"/>
  <c r="AO199" i="1"/>
  <c r="AO233" i="1"/>
  <c r="AO225" i="1"/>
  <c r="AO240" i="1"/>
  <c r="AO354" i="1"/>
  <c r="AO21" i="1"/>
  <c r="AO194" i="1"/>
  <c r="AO187" i="1"/>
  <c r="AO116" i="1"/>
  <c r="AO273" i="1"/>
  <c r="AO288" i="1"/>
  <c r="AO31" i="1"/>
  <c r="AO245" i="1"/>
  <c r="AO192" i="1"/>
  <c r="AO392" i="1"/>
  <c r="AO184" i="1"/>
  <c r="AO24" i="1"/>
  <c r="AO73" i="1"/>
  <c r="AO60" i="1"/>
  <c r="AO305" i="1"/>
  <c r="AO234" i="1"/>
  <c r="AO373" i="1"/>
  <c r="AO220" i="1"/>
  <c r="AO63" i="1"/>
  <c r="AO19" i="1"/>
  <c r="AO17" i="1"/>
  <c r="AO323" i="1"/>
  <c r="AO349" i="1"/>
  <c r="AO315" i="1"/>
  <c r="AO284" i="1"/>
  <c r="AO377" i="1"/>
  <c r="AO29" i="1"/>
  <c r="AO330" i="1"/>
  <c r="AO117" i="1"/>
  <c r="AO261" i="1"/>
  <c r="AO173" i="1"/>
  <c r="AO374" i="1"/>
  <c r="AO336" i="1"/>
  <c r="AO224" i="1"/>
  <c r="AO263" i="1"/>
  <c r="AO18" i="1"/>
  <c r="AO389" i="1"/>
  <c r="AO249" i="1"/>
  <c r="AO271" i="1"/>
  <c r="AO95" i="1"/>
  <c r="AO217" i="1"/>
  <c r="AO285" i="1"/>
  <c r="AO231" i="1"/>
  <c r="AO62" i="1"/>
  <c r="AO378" i="1"/>
  <c r="AO237" i="1"/>
  <c r="AO35" i="1"/>
  <c r="AO353" i="1"/>
  <c r="AO40" i="1"/>
  <c r="AO171" i="1"/>
  <c r="AO177" i="1"/>
  <c r="AO387" i="1"/>
  <c r="AO8" i="1"/>
  <c r="AO405" i="1"/>
  <c r="AO299" i="1"/>
  <c r="AO274" i="1"/>
  <c r="AO180" i="1"/>
  <c r="AO202" i="1"/>
  <c r="AO402" i="1"/>
  <c r="AO278" i="1"/>
  <c r="AO68" i="1"/>
  <c r="AO398" i="1"/>
  <c r="AO178" i="1"/>
  <c r="AO347" i="1"/>
  <c r="AO267" i="1"/>
  <c r="AO266" i="1"/>
  <c r="AO379" i="1"/>
  <c r="AO219" i="1"/>
  <c r="AO235" i="1"/>
  <c r="AO334" i="1"/>
  <c r="AO105" i="1"/>
  <c r="AO72" i="1"/>
  <c r="AO291" i="1"/>
  <c r="AO301" i="1"/>
  <c r="AO20" i="1"/>
  <c r="AO296" i="1"/>
  <c r="AO228" i="1"/>
  <c r="AO69" i="1"/>
  <c r="AO33" i="1"/>
  <c r="AO230" i="1"/>
  <c r="AO361" i="1"/>
  <c r="AO335" i="1"/>
  <c r="AO401" i="1"/>
  <c r="AO206" i="1"/>
  <c r="AO248" i="1"/>
  <c r="AO59" i="1"/>
  <c r="AO90" i="1"/>
  <c r="AO45" i="1"/>
  <c r="AO244" i="1"/>
  <c r="AO382" i="1"/>
  <c r="AO215" i="1"/>
  <c r="AO44" i="1"/>
  <c r="AO399" i="1"/>
  <c r="AO128" i="1"/>
  <c r="AO201" i="1"/>
  <c r="AO255" i="1"/>
  <c r="AO293" i="1"/>
  <c r="AO333" i="1"/>
  <c r="AO48" i="1"/>
  <c r="AO241" i="1"/>
  <c r="AO22" i="1"/>
  <c r="AO327" i="1"/>
  <c r="AO239" i="1"/>
  <c r="AO47" i="1"/>
  <c r="AO302" i="1"/>
  <c r="AO103" i="1"/>
  <c r="AO43" i="1"/>
  <c r="AO91" i="1"/>
  <c r="AO290" i="1"/>
  <c r="AO7" i="1"/>
  <c r="AO253" i="1"/>
  <c r="AO27" i="1"/>
  <c r="AO257" i="1"/>
  <c r="AO200" i="1"/>
  <c r="AO104" i="1"/>
  <c r="AO198" i="1"/>
  <c r="AO51" i="1"/>
  <c r="AO89" i="1"/>
  <c r="AO110" i="1"/>
  <c r="AO61" i="1"/>
  <c r="AO383" i="1"/>
  <c r="AO213" i="1"/>
  <c r="AO26" i="1"/>
  <c r="AO366" i="1"/>
  <c r="AO84" i="1"/>
  <c r="AO375" i="1"/>
  <c r="AO209" i="1"/>
  <c r="AO338" i="1"/>
  <c r="AO78" i="1"/>
  <c r="AO25" i="1"/>
  <c r="AO207" i="1"/>
  <c r="AO226" i="1"/>
  <c r="AO23" i="1"/>
  <c r="AO319" i="1"/>
  <c r="AO189" i="1"/>
  <c r="AO286" i="1"/>
  <c r="AO368" i="1"/>
  <c r="AO221" i="1"/>
  <c r="AO83" i="1"/>
  <c r="AO297" i="1"/>
  <c r="AO196" i="1"/>
  <c r="AO287" i="1"/>
  <c r="AO203" i="1"/>
  <c r="AO395" i="1"/>
  <c r="AO322" i="1"/>
  <c r="AO34" i="1"/>
  <c r="AO307" i="1"/>
  <c r="AO292" i="1"/>
  <c r="AO53" i="1"/>
  <c r="AO254" i="1"/>
  <c r="AO406" i="1"/>
  <c r="AO303" i="1"/>
  <c r="AO32" i="1"/>
  <c r="AO363" i="1"/>
  <c r="AO360" i="1"/>
  <c r="AO309" i="1"/>
  <c r="AO300" i="1"/>
  <c r="AO251" i="1"/>
  <c r="AO306" i="1"/>
  <c r="AO99" i="1"/>
  <c r="AO350" i="1"/>
  <c r="AO229" i="1"/>
  <c r="AO371" i="1"/>
  <c r="AO316" i="1"/>
  <c r="AO106" i="1"/>
  <c r="AO82" i="1"/>
  <c r="AO317" i="1"/>
  <c r="AO13" i="1"/>
  <c r="AO39" i="1"/>
  <c r="AO311" i="1"/>
  <c r="AO85" i="1"/>
  <c r="AO265" i="1"/>
  <c r="AO195" i="1"/>
  <c r="AO70" i="1"/>
  <c r="AO92" i="1"/>
  <c r="AO404" i="1"/>
  <c r="AO242" i="1"/>
  <c r="AO272" i="1"/>
  <c r="AO96" i="1"/>
  <c r="AO356" i="1"/>
  <c r="AO94" i="1"/>
  <c r="AO80" i="1"/>
  <c r="AO346" i="1"/>
  <c r="AO321" i="1"/>
  <c r="AO294" i="1"/>
  <c r="AO100" i="1"/>
  <c r="AO182" i="1"/>
  <c r="AO260" i="1"/>
  <c r="AO281" i="1"/>
  <c r="AO328" i="1"/>
  <c r="AO193" i="1"/>
  <c r="AO298" i="1"/>
  <c r="AO391" i="1"/>
  <c r="AO218" i="1"/>
  <c r="AO372" i="1"/>
  <c r="AO275" i="1"/>
  <c r="AO79" i="1"/>
  <c r="AO112" i="1"/>
  <c r="AO118" i="1"/>
  <c r="AO357" i="1"/>
  <c r="AO81" i="1"/>
  <c r="AO313" i="1"/>
  <c r="AO183" i="1"/>
  <c r="AO332" i="1"/>
  <c r="AO58" i="1"/>
  <c r="AO9" i="1"/>
  <c r="AO324" i="1"/>
  <c r="AO289" i="1"/>
  <c r="AO270" i="1"/>
  <c r="AO258" i="1"/>
  <c r="AO40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Luiggi Collantes</author>
  </authors>
  <commentList>
    <comment ref="I37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Luiggi Collantes:</t>
        </r>
        <r>
          <rPr>
            <sz val="9"/>
            <color indexed="81"/>
            <rFont val="Tahoma"/>
            <family val="2"/>
          </rPr>
          <t xml:space="preserve">
no descontar permiso de lenin // con luois vasquez
</t>
        </r>
      </text>
    </comment>
    <comment ref="I40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Luiggi Collantes:</t>
        </r>
        <r>
          <rPr>
            <sz val="9"/>
            <color indexed="81"/>
            <rFont val="Tahoma"/>
            <family val="2"/>
          </rPr>
          <t xml:space="preserve">
LIC PATER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Fiorela Morales Varillas</author>
  </authors>
  <commentList>
    <comment ref="O1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Fiorela Morales Varillas:</t>
        </r>
        <r>
          <rPr>
            <sz val="9"/>
            <color indexed="81"/>
            <rFont val="Tahoma"/>
            <family val="2"/>
          </rPr>
          <t xml:space="preserve">
cuya caycho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Fiorela Morales Varillas</author>
  </authors>
  <commentList>
    <comment ref="O12" authorId="0" shapeId="0" xr:uid="{73692A94-709B-405B-9329-0647F4EDC924}">
      <text>
        <r>
          <rPr>
            <b/>
            <sz val="9"/>
            <color indexed="81"/>
            <rFont val="Tahoma"/>
            <family val="2"/>
          </rPr>
          <t>Fiorela Morales Varillas:</t>
        </r>
        <r>
          <rPr>
            <sz val="9"/>
            <color indexed="81"/>
            <rFont val="Tahoma"/>
            <family val="2"/>
          </rPr>
          <t xml:space="preserve">
cuya caycho</t>
        </r>
      </text>
    </comment>
  </commentList>
</comments>
</file>

<file path=xl/sharedStrings.xml><?xml version="1.0" encoding="utf-8"?>
<sst xmlns="http://schemas.openxmlformats.org/spreadsheetml/2006/main" count="1353" uniqueCount="413">
  <si>
    <t xml:space="preserve">FECHA </t>
  </si>
  <si>
    <t>TRABAJADOR</t>
  </si>
  <si>
    <t>PLANTA</t>
  </si>
  <si>
    <t>OBRA</t>
  </si>
  <si>
    <t>H.EXTRAS</t>
  </si>
  <si>
    <t>DESTINO</t>
  </si>
  <si>
    <t>DIARIO</t>
  </si>
  <si>
    <t>N° SEMANA</t>
  </si>
  <si>
    <t>N° MES</t>
  </si>
  <si>
    <t>AMAYA CAPUÑAY JOSE ENRIQUE</t>
  </si>
  <si>
    <t>CHAVESTA LLUEN WALTER OMAR</t>
  </si>
  <si>
    <t>ESPINOZA CHANAME DIEGO ARMANDO</t>
  </si>
  <si>
    <t>GRAUS JUAREZ MIGUEL RICARDO</t>
  </si>
  <si>
    <t>LABAN SEVERINO EDWIN DENIS</t>
  </si>
  <si>
    <t>PURIZACA CHUÑE JHON ANDERSON</t>
  </si>
  <si>
    <t>SILVA ADANAQUE RONAL ARMANDO</t>
  </si>
  <si>
    <t xml:space="preserve">VELASQUEZ LIZA JOSE ROGELIO </t>
  </si>
  <si>
    <t>ALVAREZ ALVINES JUAN MANUEL</t>
  </si>
  <si>
    <t>BENDEZU PISCO JORGE GUILLERMO</t>
  </si>
  <si>
    <t>CAMIZAN CUNIAS LENDER NEYDEN</t>
  </si>
  <si>
    <t>CAVERO ANCAJIMA JHONATAN</t>
  </si>
  <si>
    <t>CHERO AYALA JOSE ISMAEL</t>
  </si>
  <si>
    <t>CORREA TORRES NOYLER</t>
  </si>
  <si>
    <t>GUEVARA PACHERREZ ERICK DANIEL</t>
  </si>
  <si>
    <t>HUAMAN CAMPOS BRIAN ROY</t>
  </si>
  <si>
    <t>MEDINA GUEVARA TIRSO</t>
  </si>
  <si>
    <t>MEJIA AYALA LUIS MANUEL</t>
  </si>
  <si>
    <t>MIO SOLUCO CESAR AUGUSTO</t>
  </si>
  <si>
    <t>OJANAMA UTIA MARTIN SOLANO</t>
  </si>
  <si>
    <t>ORTIZ PANTALEON POLH MANIX</t>
  </si>
  <si>
    <t>PANDO SALAZAR LUIS BRYAN</t>
  </si>
  <si>
    <t>RIVERA LEONARDO EVER JOSE</t>
  </si>
  <si>
    <t>ROMERO MARIN JAIRO JOEL</t>
  </si>
  <si>
    <t>SANCHEZ ZEÑA LUIS ALFREDO</t>
  </si>
  <si>
    <t>TINOCO SANTISTEBAN JIMMY JOEL</t>
  </si>
  <si>
    <t>VASQUEZ GAMBOA JUAN JOSE</t>
  </si>
  <si>
    <t>VASQUEZ TARRILLO LUIS</t>
  </si>
  <si>
    <t>VASQUEZ TARRILLO EVER</t>
  </si>
  <si>
    <t>VILCHEZ VILLEGAS MANUEL ULISES</t>
  </si>
  <si>
    <t>SOTO VILLALOBOS DAVID</t>
  </si>
  <si>
    <t>CONDICION</t>
  </si>
  <si>
    <t>DIA</t>
  </si>
  <si>
    <t>CODIGO</t>
  </si>
  <si>
    <t>LUGAR</t>
  </si>
  <si>
    <t>MIO QUIÑONES ALEXIS</t>
  </si>
  <si>
    <t>OJANAMA UTIA TEOFILO ALVINO</t>
  </si>
  <si>
    <t>QUIROZ CORTEJANA DANTE GABRIEL</t>
  </si>
  <si>
    <t>CORDOVA OJEDA JHON GIAMPIERRE</t>
  </si>
  <si>
    <t>TAFUR ALVA TONY</t>
  </si>
  <si>
    <t>PEREZ VASQUEZ RONAL</t>
  </si>
  <si>
    <t>SIESQUEN BANCES ALEX HUMBERTO</t>
  </si>
  <si>
    <t>AYALA RAMIREZ RUBEN ISAI</t>
  </si>
  <si>
    <t>SANCHEZ SALAS ISAAC</t>
  </si>
  <si>
    <t>CÓDIGO</t>
  </si>
  <si>
    <t>N°</t>
  </si>
  <si>
    <t>COD.</t>
  </si>
  <si>
    <t>MAESTRO MECANICO MONTAJISTA DE MAQUINARIA EXTRANJERA</t>
  </si>
  <si>
    <t>MAESTRO MECANICO MONTAJISTA DE MAQUINARIA</t>
  </si>
  <si>
    <t>MAESTRO MECANICO MONTAJISTA DE NAVE INDUSTRIAL</t>
  </si>
  <si>
    <t>MAESTRO SOLDADOR 3G</t>
  </si>
  <si>
    <t>MECANICO MONTAJISTA DE MAQUINARIA EXTRANJERA</t>
  </si>
  <si>
    <t>TECNICO MECANICO MONTAJISTA DE MAQUINARIA</t>
  </si>
  <si>
    <t>TECNICO MECANICO MONTAJISTA DE NAVE INDUSTRIAL</t>
  </si>
  <si>
    <t>OPERARIO ELECTRICO</t>
  </si>
  <si>
    <t>OPERARIO SOLDADOR</t>
  </si>
  <si>
    <t>AYUDANTE DE PRODUCCION</t>
  </si>
  <si>
    <t>AYUDANTE MONTAJISTA DE NAVE INDUSTRIAL</t>
  </si>
  <si>
    <t>PERFIL</t>
  </si>
  <si>
    <t>DETALLE PERFIL</t>
  </si>
  <si>
    <t>AQUINO SILVA DANTE JESUS ALEXIS</t>
  </si>
  <si>
    <t>AQUINO TEJEDA JUAN JOSE</t>
  </si>
  <si>
    <t>BALLENA ADANAQUE MIGUEL ANGEL</t>
  </si>
  <si>
    <t>BUSTAMANTE GONZALES CARLOS</t>
  </si>
  <si>
    <t>CHANGANAQUE CHERO VICENTE</t>
  </si>
  <si>
    <t>CHAQUILA JIMENEZ VICTOR JHEYNER</t>
  </si>
  <si>
    <t>OPE-01</t>
  </si>
  <si>
    <t>CORONADO MONJE JEAN CARLOS</t>
  </si>
  <si>
    <t>CUYA CAYCHO DANIEL LORENZO</t>
  </si>
  <si>
    <t>DELGADO SECLEN ALVARO ELISEO</t>
  </si>
  <si>
    <t>ENRIQUEZ GONZALES MIGUEL ANGEL</t>
  </si>
  <si>
    <t xml:space="preserve">FLOREZ TINEO JOSE ANGEL </t>
  </si>
  <si>
    <t>GARCIA PAREDES JESUS ALBERTO</t>
  </si>
  <si>
    <t>MAESTRO DE CORTE Y PLEGADO</t>
  </si>
  <si>
    <t>GASTELO MONTEZA JERSON JHAIR</t>
  </si>
  <si>
    <t>MAESTRO MECANICO DE FACTORIA</t>
  </si>
  <si>
    <t>TEC-01</t>
  </si>
  <si>
    <t>TECNICO SOLDADOR</t>
  </si>
  <si>
    <t>IDROGO CHAVEZ EMANUEL</t>
  </si>
  <si>
    <t>JULCA VALLEJOS ADAN</t>
  </si>
  <si>
    <t>LARIOS LLEMPEN JUNIOR DAVID</t>
  </si>
  <si>
    <t>TECNICO MECANICO DE FACTORIA</t>
  </si>
  <si>
    <t>LIZA PISFIL NEYSSER</t>
  </si>
  <si>
    <t xml:space="preserve">LOPEZ TANTARICO ELY </t>
  </si>
  <si>
    <t>MATA SEOANE ROMAN</t>
  </si>
  <si>
    <t>OPERARIO DE CORTE Y PLEGADO</t>
  </si>
  <si>
    <t>MEREGILDO CABRERA RICARDO JOEL</t>
  </si>
  <si>
    <t>OJANAMA UTIA ENERLI HORACIO</t>
  </si>
  <si>
    <t>AYU-VA</t>
  </si>
  <si>
    <t>MEC-02</t>
  </si>
  <si>
    <t>MECANICO MONTAJISTA DE MAQUINARIA</t>
  </si>
  <si>
    <t>PURIZACA SEVERINO DANIEL FERNANDO</t>
  </si>
  <si>
    <t>REYES RAMOS JUAN LUIS</t>
  </si>
  <si>
    <t>RIOJA RODRIGUEZ MARCO JEAIR</t>
  </si>
  <si>
    <t>SANDOVAL CHAPOÑAN ELVIS EDUARDO</t>
  </si>
  <si>
    <t>TORRES RAMOS ANGY ANDREINA</t>
  </si>
  <si>
    <t>VARGAS TARRILLO GLOBER</t>
  </si>
  <si>
    <t>VARGAS TARRILLO OMAR ALEXANDER</t>
  </si>
  <si>
    <t>VELIZ TEJADA EDWIN</t>
  </si>
  <si>
    <t>VENTURA CUBAS ALEXANDER JOHAN</t>
  </si>
  <si>
    <t>ZETA DELGADO DERWIS YENNER</t>
  </si>
  <si>
    <t>MAESTRO PINTOR</t>
  </si>
  <si>
    <t>BONILLA CHAVEZ LUIS DANIEL</t>
  </si>
  <si>
    <t>BONILLA RADAELLI CARLOS EDUARDO</t>
  </si>
  <si>
    <t>RAMIREZ PELAEZ ELIAS</t>
  </si>
  <si>
    <t>ESTACION DE TRABAJO</t>
  </si>
  <si>
    <t>PUESTO DE TRABAJO: PRODUCCION</t>
  </si>
  <si>
    <t>MAE-06</t>
  </si>
  <si>
    <t>CORTE Y PLEGADO</t>
  </si>
  <si>
    <t>OPE-06</t>
  </si>
  <si>
    <t>MAEME-03</t>
  </si>
  <si>
    <t>ELECTRICIDAD</t>
  </si>
  <si>
    <t>MAESTRO ELECTRICO MONTAJISTA DE MAQUINARIA EXTRANJERA</t>
  </si>
  <si>
    <t>OPE-03</t>
  </si>
  <si>
    <t>TECME-03</t>
  </si>
  <si>
    <t>TECNICO ELECTRICO MONTAJISTA DE MAQUINARIA EXTRANJERA</t>
  </si>
  <si>
    <t>TECMN-03</t>
  </si>
  <si>
    <t>TECNICO ELECTRICO MONTAJISTA DE MAQUINARIA</t>
  </si>
  <si>
    <t>MAE-07</t>
  </si>
  <si>
    <t>FACTORIA</t>
  </si>
  <si>
    <t>TEC-07</t>
  </si>
  <si>
    <t>MAE-04</t>
  </si>
  <si>
    <t>MONTAJE ME</t>
  </si>
  <si>
    <t>MEC-04</t>
  </si>
  <si>
    <t>TEC-04</t>
  </si>
  <si>
    <t>TECNICO MECANICO MONTAJISTA DE MAQUINARIA EXTRANJERA</t>
  </si>
  <si>
    <t>MAE-02</t>
  </si>
  <si>
    <t>MONTAJE MN</t>
  </si>
  <si>
    <t>TEC-02</t>
  </si>
  <si>
    <t>AYU-05</t>
  </si>
  <si>
    <t>MONTAJE NAVE</t>
  </si>
  <si>
    <t>MAE-05</t>
  </si>
  <si>
    <t>TEC-05</t>
  </si>
  <si>
    <t>MAE-08</t>
  </si>
  <si>
    <t>PINTURA</t>
  </si>
  <si>
    <t>MAE3G-01</t>
  </si>
  <si>
    <t>SOLDADURA</t>
  </si>
  <si>
    <t>MAE6G-01</t>
  </si>
  <si>
    <t>MAESTRO SOLDADOR 6G MONTAJISTA DE MAQUINARIA</t>
  </si>
  <si>
    <t>VARIAS</t>
  </si>
  <si>
    <t>ITEM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</si>
  <si>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</si>
  <si>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</si>
  <si>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</si>
  <si>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</si>
  <si>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</si>
  <si>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</si>
  <si>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</si>
  <si>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</si>
  <si>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</si>
  <si>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</si>
  <si>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</si>
  <si>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</si>
  <si>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</si>
  <si>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</si>
  <si>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</si>
  <si>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</si>
  <si>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</si>
  <si>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</si>
  <si>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</si>
  <si>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</si>
  <si>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</si>
  <si>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</si>
  <si>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</si>
  <si>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</si>
  <si>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</si>
  <si>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</si>
  <si>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</si>
  <si>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</si>
  <si>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</si>
  <si>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</si>
  <si>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</si>
  <si>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</si>
  <si>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</si>
  <si>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</si>
  <si>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</si>
  <si>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</si>
  <si>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</si>
  <si>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</si>
  <si>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</si>
  <si>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</si>
  <si>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</si>
  <si>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</si>
  <si>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</si>
  <si>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</si>
  <si>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</si>
  <si>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</si>
  <si>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</si>
  <si>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</si>
  <si>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</si>
  <si>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</si>
  <si>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</si>
  <si>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</si>
  <si>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</si>
  <si>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</si>
  <si>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</si>
  <si>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</si>
  <si>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</si>
  <si>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</si>
  <si>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</si>
  <si>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</si>
  <si>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</si>
  <si>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</si>
  <si>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</si>
  <si>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</si>
  <si>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</si>
  <si>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</si>
  <si>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</si>
  <si>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</si>
  <si>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</si>
  <si>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</si>
  <si>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</si>
  <si>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</si>
  <si>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</si>
  <si>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</si>
  <si>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DETALLE DE PERFIL</t>
  </si>
  <si>
    <t>OPERARIO</t>
  </si>
  <si>
    <t>EMPRESA</t>
  </si>
  <si>
    <t>DELCOR</t>
  </si>
  <si>
    <t>MECANOS</t>
  </si>
  <si>
    <t>TALLERES</t>
  </si>
  <si>
    <t>RENTA</t>
  </si>
  <si>
    <t>5ta</t>
  </si>
  <si>
    <t>4ta</t>
  </si>
  <si>
    <t>PUNTO</t>
  </si>
  <si>
    <t xml:space="preserve">N° </t>
  </si>
  <si>
    <t>INICIO</t>
  </si>
  <si>
    <t xml:space="preserve">FIN </t>
  </si>
  <si>
    <t>HORARIO</t>
  </si>
  <si>
    <t>H.NORMALES</t>
  </si>
  <si>
    <t xml:space="preserve">DIARIO </t>
  </si>
  <si>
    <t>HORAS</t>
  </si>
  <si>
    <t>L-V</t>
  </si>
  <si>
    <t>S</t>
  </si>
  <si>
    <t>L-S</t>
  </si>
  <si>
    <t>T.HORAS</t>
  </si>
  <si>
    <t>INGRESO</t>
  </si>
  <si>
    <t>SALIDA</t>
  </si>
  <si>
    <t>ALMUERZO</t>
  </si>
  <si>
    <t>Total general</t>
  </si>
  <si>
    <t>T.H</t>
  </si>
  <si>
    <t>H.N</t>
  </si>
  <si>
    <t>H.E</t>
  </si>
  <si>
    <t>H.NORMAL</t>
  </si>
  <si>
    <t>H.EXTRA</t>
  </si>
  <si>
    <t>H.TOTAL</t>
  </si>
  <si>
    <t>año nuevo</t>
  </si>
  <si>
    <t>jueves santo</t>
  </si>
  <si>
    <t>viernes santo</t>
  </si>
  <si>
    <t>dia del trabajo</t>
  </si>
  <si>
    <t>EXTRA</t>
  </si>
  <si>
    <t>F</t>
  </si>
  <si>
    <t>D</t>
  </si>
  <si>
    <t>COSTO TOTAL</t>
  </si>
  <si>
    <t>COSTOS</t>
  </si>
  <si>
    <t>075</t>
  </si>
  <si>
    <t>076</t>
  </si>
  <si>
    <t>077</t>
  </si>
  <si>
    <t>078</t>
  </si>
  <si>
    <t>079</t>
  </si>
  <si>
    <t xml:space="preserve">CORDOVA CORDOVA ADAN </t>
  </si>
  <si>
    <t xml:space="preserve">PAZ RAMOS ALFREDO ANIBAL </t>
  </si>
  <si>
    <t xml:space="preserve">ZAPATA IDROGO LEONARDO ENRIQUE </t>
  </si>
  <si>
    <t>LOPEZ DELGADO PEDRO PABLO</t>
  </si>
  <si>
    <t xml:space="preserve">SARMIENTO MONJA JORGE </t>
  </si>
  <si>
    <t xml:space="preserve">ASISTENTE DE MANTENIEMIENTO </t>
  </si>
  <si>
    <t>SERVICIOS GENERALES</t>
  </si>
  <si>
    <t>PRODUCCION</t>
  </si>
  <si>
    <t>AUXILIAR DE ALMACEN</t>
  </si>
  <si>
    <t>ALMACEN</t>
  </si>
  <si>
    <t>SUPERVISOR DE CONTROL DE CALIDAD</t>
  </si>
  <si>
    <t xml:space="preserve">SUPERVISOR DE PRODUCCION </t>
  </si>
  <si>
    <t xml:space="preserve">DNI </t>
  </si>
  <si>
    <t>X1</t>
  </si>
  <si>
    <t>X2</t>
  </si>
  <si>
    <t>X3</t>
  </si>
  <si>
    <t>X4</t>
  </si>
  <si>
    <t>X5</t>
  </si>
  <si>
    <t>DESCANSO</t>
  </si>
  <si>
    <t>FALTA</t>
  </si>
  <si>
    <t>HERRERA NAVARRO OSMER</t>
  </si>
  <si>
    <t>SUPERVISOR DE MONTAJE Y DESMONTAJE</t>
  </si>
  <si>
    <t>X6</t>
  </si>
  <si>
    <t>080</t>
  </si>
  <si>
    <t>ENRIQUEZ GONZALES WILLIAM RICARDO</t>
  </si>
  <si>
    <t>081</t>
  </si>
  <si>
    <t>082</t>
  </si>
  <si>
    <t>083</t>
  </si>
  <si>
    <t>084</t>
  </si>
  <si>
    <t>RIVERA YANGUA VICTOR MIGUEL</t>
  </si>
  <si>
    <t>MUÑOZ EXEBIO IRWIS MANUEL</t>
  </si>
  <si>
    <t>FERIADO</t>
  </si>
  <si>
    <t>PURIZACA SEVERINO JUAN CARLOS</t>
  </si>
  <si>
    <t>ALIMENTACION</t>
  </si>
  <si>
    <t>PRESTAMO</t>
  </si>
  <si>
    <t>PASAJES</t>
  </si>
  <si>
    <t>ALIMENT</t>
  </si>
  <si>
    <t>PRESTAMOS</t>
  </si>
  <si>
    <t>PASAJE</t>
  </si>
  <si>
    <t>LICENCIA SIN GOCE</t>
  </si>
  <si>
    <t>DESCANSO MEDICO</t>
  </si>
  <si>
    <t>H.EXTRAS 5TA</t>
  </si>
  <si>
    <t>PLANILLA SEMANA N°01-2020</t>
  </si>
  <si>
    <t>(Todas)</t>
  </si>
  <si>
    <t>COS.B+E</t>
  </si>
  <si>
    <t>H-EXTRA</t>
  </si>
  <si>
    <t>BASE</t>
  </si>
  <si>
    <t>ALIMENTACIÓN</t>
  </si>
  <si>
    <t>NORMAL</t>
  </si>
  <si>
    <t>TOTAL</t>
  </si>
  <si>
    <t>DOMINICAL</t>
  </si>
  <si>
    <t>FECHA</t>
  </si>
  <si>
    <t>DETALLE</t>
  </si>
  <si>
    <t>COS.BASE 2</t>
  </si>
  <si>
    <t>MONTO 4 TA</t>
  </si>
  <si>
    <t>MONTO 5TA</t>
  </si>
  <si>
    <t>Suma de MONTO 4 TA</t>
  </si>
  <si>
    <t>Suma de COS.BASE 2</t>
  </si>
  <si>
    <t>Suma de MONTO 5TA</t>
  </si>
  <si>
    <t>dia no laborable</t>
  </si>
  <si>
    <t>dia de la independencia</t>
  </si>
  <si>
    <t>fiesta del dia de la independencia</t>
  </si>
  <si>
    <t>santa rosa de lima</t>
  </si>
  <si>
    <t>combate de angamos</t>
  </si>
  <si>
    <t>todos los santos</t>
  </si>
  <si>
    <t>dia de la inmaculada concepción</t>
  </si>
  <si>
    <t>navidad</t>
  </si>
  <si>
    <t>4TA</t>
  </si>
  <si>
    <t xml:space="preserve">5TA </t>
  </si>
  <si>
    <t>COS.F1</t>
  </si>
  <si>
    <t>COS.D1</t>
  </si>
  <si>
    <t>COS F2</t>
  </si>
  <si>
    <t>COS D2</t>
  </si>
  <si>
    <t>Suma de COS.F1</t>
  </si>
  <si>
    <t>Suma de COS.D1</t>
  </si>
  <si>
    <t>Suma de COS F2</t>
  </si>
  <si>
    <t>Suma de COS D2</t>
  </si>
  <si>
    <t>CUEVA CUZQUEN MARLON ALEJANDRO</t>
  </si>
  <si>
    <t>085</t>
  </si>
  <si>
    <t>AGAPITO AYASTA ANDERSON ANTHONY</t>
  </si>
  <si>
    <t>BARRAGAN SALAZAR JHONATAN PEDRO</t>
  </si>
  <si>
    <t>086</t>
  </si>
  <si>
    <t>087</t>
  </si>
  <si>
    <t>PLANILLA SEMANA N°02-2020</t>
  </si>
  <si>
    <t>DESCONTAR 100  ADELANTO</t>
  </si>
  <si>
    <t>CONDUCTOR</t>
  </si>
  <si>
    <t>TEJADA SUYON JHON JAMES</t>
  </si>
  <si>
    <t>Cuenta de H.EXTRAS</t>
  </si>
  <si>
    <t>PERSONAL TECNICO</t>
  </si>
  <si>
    <t>CACHAY ACOSTA CARLOS ALEXANDER</t>
  </si>
  <si>
    <t>MIO LLOCYA JOSE ALEXANDER</t>
  </si>
  <si>
    <t>TUÑOQUE SANTISTEBAN CRISTOBAL</t>
  </si>
  <si>
    <t>TUÑOQUE ZEÑA JOSE ARMANDO</t>
  </si>
  <si>
    <t>DAMIAN DAMIAN MIGUEL ANGEL</t>
  </si>
  <si>
    <t xml:space="preserve">ROBERTO DELGADO CORONADO </t>
  </si>
  <si>
    <t>GUILLE DEZA BRYAN</t>
  </si>
  <si>
    <t>SANCHEZ LLAMO D'ESTEFANO</t>
  </si>
  <si>
    <t>SIRLOPU ALVARADO EMERSON</t>
  </si>
  <si>
    <t>TORRES ZEVALLOS JUAN FRANCISCO</t>
  </si>
  <si>
    <t>JUSTO FLORES ESPINOZA</t>
  </si>
  <si>
    <t>DULCEY BERNAL JERVYN ANDERSON</t>
  </si>
  <si>
    <t>HERRERA NAVARRO MICKY ALEXANDER</t>
  </si>
  <si>
    <t>CASTILLO LOYOLA ANTONIO</t>
  </si>
  <si>
    <t>SALAZAR AQUINO IRVIN</t>
  </si>
  <si>
    <t>PLATA ESCALANTE SERGIO</t>
  </si>
  <si>
    <t>SANCHEZ MEOÑO FRANK</t>
  </si>
  <si>
    <t>SOLANO SUELDO CARLOS</t>
  </si>
  <si>
    <t>VIDAURRE YOVERA JOSE</t>
  </si>
  <si>
    <t>(Varios elementos)</t>
  </si>
  <si>
    <t>VASQUEZ CHUPILLON KEVIN</t>
  </si>
  <si>
    <t xml:space="preserve">PRACTICANTE </t>
  </si>
  <si>
    <t xml:space="preserve">BOCANEGRA TRELLES MANUEL </t>
  </si>
  <si>
    <t xml:space="preserve">FLORES TINEO JOSE ANGEL </t>
  </si>
  <si>
    <t xml:space="preserve">5ta </t>
  </si>
  <si>
    <t xml:space="preserve">DELGADO CORONADO ROBERTO </t>
  </si>
  <si>
    <t>GUERRERO CORDOVA ISMAEL</t>
  </si>
  <si>
    <t>JUNCO ORDOÑEZ SAMUEL</t>
  </si>
  <si>
    <t>DIAZ CABREJOS KELVIN</t>
  </si>
  <si>
    <t>ODAR TORRES CARLOS ALBERTO</t>
  </si>
  <si>
    <t xml:space="preserve">SALAZAR FERNANDEZ WALTER </t>
  </si>
  <si>
    <t>NIQUEN CHAFLOQUE LUIS</t>
  </si>
  <si>
    <t>COPIA BALDERA NILSON</t>
  </si>
  <si>
    <t xml:space="preserve">PECHE CHAPOÑAN ALBERTO </t>
  </si>
  <si>
    <t>SANCHEZ MEDINA MIGUEL</t>
  </si>
  <si>
    <t>MONJA ACOSTA RONALD</t>
  </si>
  <si>
    <t>ZAPATA AVILA JOSE ANTONIO</t>
  </si>
  <si>
    <t>MONTENEGRO DAVILA EVER</t>
  </si>
  <si>
    <t>CIEZA BARRERA LUIS ALBERTO</t>
  </si>
  <si>
    <t xml:space="preserve">JIMENEZ SALDIARRAGA CARLOS </t>
  </si>
  <si>
    <t>|</t>
  </si>
  <si>
    <t>SOTO NIETO ALEXANDRO FABIO</t>
  </si>
  <si>
    <t>OLANO GARCIA</t>
  </si>
  <si>
    <t>CHERO ROJAS ARMANDO</t>
  </si>
  <si>
    <t xml:space="preserve">HORAS 25 % </t>
  </si>
  <si>
    <t xml:space="preserve">HORAS 35% </t>
  </si>
  <si>
    <t>COS.BASE 3</t>
  </si>
  <si>
    <t>C.H</t>
  </si>
  <si>
    <t>MAGIA FIORELA</t>
  </si>
  <si>
    <t>C.HORA.25</t>
  </si>
  <si>
    <t>C.HORA.35</t>
  </si>
  <si>
    <t>#N/D</t>
  </si>
  <si>
    <t>CST_H_E</t>
  </si>
  <si>
    <t>Suma de CST_H_E</t>
  </si>
  <si>
    <t>Suma de COS.B+E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</si>
</sst>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S/&quot;* #,##0.00_-;\-&quot;S/&quot;* #,##0.00_-;_-&quot;S/&quot;* &quot;-&quot;??_-;_-@_-"/>
    <numFmt numFmtId="165" formatCode="h:mm;@"/>
    <numFmt numFmtId="166" formatCode="[$-409]h:mm\ AM/P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CDE7C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92D050"/>
      </top>
      <bottom/>
      <diagonal/>
    </border>
    <border>
      <left style="thick">
        <color rgb="FF92D050"/>
      </left>
      <right style="thick">
        <color rgb="FF92D050"/>
      </right>
      <top style="thick">
        <color rgb="FF92D050"/>
      </top>
      <bottom style="thick">
        <color rgb="FF92D050"/>
      </bottom>
      <diagonal/>
    </border>
    <border>
      <left style="thick">
        <color rgb="FF92D050"/>
      </left>
      <right/>
      <top style="thick">
        <color rgb="FF92D050"/>
      </top>
      <bottom style="thick">
        <color rgb="FF92D05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9" tint="0.79998168889431442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6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2" fontId="2" fillId="5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46" fontId="0" fillId="0" borderId="0" xfId="0" applyNumberFormat="1" applyAlignment="1">
      <alignment horizontal="center"/>
    </xf>
    <xf numFmtId="165" fontId="6" fillId="0" borderId="2" xfId="0" applyNumberFormat="1" applyFont="1" applyFill="1" applyBorder="1" applyAlignment="1">
      <alignment horizontal="center" vertical="center"/>
    </xf>
    <xf numFmtId="165" fontId="6" fillId="0" borderId="3" xfId="0" applyNumberFormat="1" applyFont="1" applyFill="1" applyBorder="1" applyAlignment="1">
      <alignment horizontal="center" vertical="center"/>
    </xf>
    <xf numFmtId="0" fontId="0" fillId="0" borderId="1" xfId="0" applyBorder="1"/>
    <xf numFmtId="165" fontId="6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46" fontId="5" fillId="6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Border="1" applyAlignment="1">
      <alignment horizontal="center"/>
    </xf>
    <xf numFmtId="166" fontId="4" fillId="0" borderId="0" xfId="0" applyNumberFormat="1" applyFont="1" applyFill="1" applyAlignment="1">
      <alignment horizontal="center"/>
    </xf>
    <xf numFmtId="166" fontId="2" fillId="5" borderId="0" xfId="0" applyNumberFormat="1" applyFont="1" applyFill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165" fontId="0" fillId="0" borderId="0" xfId="0" applyNumberFormat="1" applyFill="1" applyAlignment="1">
      <alignment horizontal="center"/>
    </xf>
    <xf numFmtId="165" fontId="5" fillId="6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2" fillId="5" borderId="0" xfId="0" applyNumberFormat="1" applyFont="1" applyFill="1" applyAlignment="1">
      <alignment horizontal="center"/>
    </xf>
    <xf numFmtId="165" fontId="0" fillId="0" borderId="0" xfId="0" applyNumberFormat="1"/>
    <xf numFmtId="0" fontId="2" fillId="0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pivotButton="1"/>
    <xf numFmtId="2" fontId="0" fillId="0" borderId="0" xfId="0" applyNumberFormat="1" applyFill="1" applyAlignment="1">
      <alignment horizontal="center"/>
    </xf>
    <xf numFmtId="2" fontId="5" fillId="6" borderId="0" xfId="0" applyNumberFormat="1" applyFont="1" applyFill="1" applyAlignment="1">
      <alignment horizontal="center"/>
    </xf>
    <xf numFmtId="2" fontId="0" fillId="0" borderId="0" xfId="0" applyNumberFormat="1"/>
    <xf numFmtId="1" fontId="0" fillId="0" borderId="0" xfId="0" applyNumberFormat="1" applyFill="1" applyAlignment="1">
      <alignment horizontal="center"/>
    </xf>
    <xf numFmtId="1" fontId="5" fillId="6" borderId="0" xfId="0" applyNumberFormat="1" applyFont="1" applyFill="1" applyAlignment="1">
      <alignment horizontal="center"/>
    </xf>
    <xf numFmtId="1" fontId="0" fillId="0" borderId="0" xfId="0" applyNumberFormat="1"/>
    <xf numFmtId="0" fontId="8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2" fillId="2" borderId="0" xfId="0" applyFont="1" applyFill="1" applyBorder="1" applyAlignment="1"/>
    <xf numFmtId="0" fontId="0" fillId="0" borderId="0" xfId="0" applyAlignment="1"/>
    <xf numFmtId="2" fontId="2" fillId="2" borderId="0" xfId="0" applyNumberFormat="1" applyFont="1" applyFill="1" applyAlignment="1">
      <alignment horizontal="center"/>
    </xf>
    <xf numFmtId="1" fontId="8" fillId="2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Fill="1"/>
    <xf numFmtId="4" fontId="2" fillId="0" borderId="0" xfId="0" applyNumberFormat="1" applyFont="1" applyFill="1" applyBorder="1" applyAlignment="1">
      <alignment horizontal="center"/>
    </xf>
    <xf numFmtId="0" fontId="2" fillId="2" borderId="0" xfId="0" applyFont="1" applyFill="1"/>
    <xf numFmtId="0" fontId="8" fillId="0" borderId="0" xfId="0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10" borderId="0" xfId="0" applyFont="1" applyFill="1" applyAlignment="1"/>
    <xf numFmtId="0" fontId="0" fillId="9" borderId="1" xfId="0" applyFill="1" applyBorder="1"/>
    <xf numFmtId="0" fontId="0" fillId="0" borderId="1" xfId="0" applyFill="1" applyBorder="1"/>
    <xf numFmtId="0" fontId="3" fillId="0" borderId="0" xfId="0" applyFont="1" applyFill="1" applyAlignment="1"/>
    <xf numFmtId="0" fontId="10" fillId="2" borderId="0" xfId="0" applyFont="1" applyFill="1" applyAlignment="1">
      <alignment horizontal="center"/>
    </xf>
    <xf numFmtId="0" fontId="0" fillId="0" borderId="0" xfId="0" applyNumberFormat="1" applyFill="1"/>
    <xf numFmtId="0" fontId="0" fillId="0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165" fontId="6" fillId="0" borderId="5" xfId="0" applyNumberFormat="1" applyFont="1" applyFill="1" applyBorder="1" applyAlignment="1">
      <alignment horizontal="center" vertical="center"/>
    </xf>
    <xf numFmtId="20" fontId="0" fillId="0" borderId="5" xfId="0" applyNumberFormat="1" applyBorder="1"/>
    <xf numFmtId="20" fontId="0" fillId="0" borderId="1" xfId="0" applyNumberFormat="1" applyBorder="1"/>
    <xf numFmtId="0" fontId="0" fillId="0" borderId="0" xfId="0" applyNumberFormat="1" applyFill="1" applyAlignment="1">
      <alignment horizontal="center"/>
    </xf>
    <xf numFmtId="4" fontId="0" fillId="0" borderId="0" xfId="0" applyNumberFormat="1" applyFill="1" applyAlignment="1">
      <alignment horizontal="center"/>
    </xf>
    <xf numFmtId="4" fontId="0" fillId="0" borderId="0" xfId="0" applyNumberFormat="1" applyFill="1"/>
    <xf numFmtId="4" fontId="3" fillId="0" borderId="0" xfId="0" applyNumberFormat="1" applyFont="1" applyFill="1"/>
    <xf numFmtId="4" fontId="2" fillId="8" borderId="1" xfId="0" applyNumberFormat="1" applyFont="1" applyFill="1" applyBorder="1" applyAlignment="1">
      <alignment horizontal="center"/>
    </xf>
    <xf numFmtId="0" fontId="2" fillId="12" borderId="6" xfId="0" applyFont="1" applyFill="1" applyBorder="1"/>
    <xf numFmtId="3" fontId="0" fillId="0" borderId="0" xfId="0" applyNumberForma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2" fillId="2" borderId="0" xfId="0" applyNumberFormat="1" applyFont="1" applyFill="1" applyAlignment="1">
      <alignment horizontal="center"/>
    </xf>
    <xf numFmtId="166" fontId="0" fillId="0" borderId="0" xfId="0" applyNumberFormat="1"/>
    <xf numFmtId="0" fontId="0" fillId="13" borderId="0" xfId="0" applyFill="1"/>
    <xf numFmtId="0" fontId="0" fillId="13" borderId="0" xfId="0" applyFill="1" applyAlignment="1">
      <alignment horizontal="center"/>
    </xf>
    <xf numFmtId="2" fontId="0" fillId="13" borderId="0" xfId="0" applyNumberFormat="1" applyFill="1" applyAlignment="1">
      <alignment horizontal="center"/>
    </xf>
    <xf numFmtId="0" fontId="0" fillId="7" borderId="0" xfId="0" applyFill="1"/>
    <xf numFmtId="14" fontId="0" fillId="0" borderId="0" xfId="0" applyNumberFormat="1"/>
    <xf numFmtId="14" fontId="0" fillId="0" borderId="0" xfId="0" applyNumberFormat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49" fontId="0" fillId="7" borderId="0" xfId="0" applyNumberFormat="1" applyFill="1" applyAlignment="1">
      <alignment horizontal="center"/>
    </xf>
    <xf numFmtId="2" fontId="9" fillId="7" borderId="0" xfId="0" applyNumberFormat="1" applyFont="1" applyFill="1" applyAlignment="1">
      <alignment horizontal="center"/>
    </xf>
    <xf numFmtId="2" fontId="0" fillId="7" borderId="0" xfId="0" applyNumberFormat="1" applyFont="1" applyFill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0" fillId="0" borderId="0" xfId="0" applyFill="1" applyAlignment="1">
      <alignment horizontal="center"/>
    </xf>
    <xf numFmtId="1" fontId="14" fillId="0" borderId="0" xfId="0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" fontId="15" fillId="0" borderId="0" xfId="1" applyNumberFormat="1" applyFont="1" applyAlignment="1">
      <alignment horizontal="center"/>
    </xf>
    <xf numFmtId="0" fontId="0" fillId="0" borderId="0" xfId="0" applyFill="1" applyAlignment="1">
      <alignment horizontal="center"/>
    </xf>
    <xf numFmtId="1" fontId="0" fillId="6" borderId="0" xfId="0" applyNumberFormat="1" applyFill="1" applyAlignment="1">
      <alignment horizontal="center"/>
    </xf>
    <xf numFmtId="14" fontId="0" fillId="6" borderId="0" xfId="0" applyNumberFormat="1" applyFill="1" applyAlignment="1">
      <alignment horizontal="center"/>
    </xf>
    <xf numFmtId="0" fontId="0" fillId="6" borderId="0" xfId="0" applyNumberFormat="1" applyFill="1" applyAlignment="1">
      <alignment horizontal="center"/>
    </xf>
    <xf numFmtId="14" fontId="0" fillId="6" borderId="0" xfId="0" applyNumberFormat="1" applyFont="1" applyFill="1" applyAlignment="1">
      <alignment horizontal="center"/>
    </xf>
    <xf numFmtId="1" fontId="0" fillId="6" borderId="0" xfId="0" applyNumberFormat="1" applyFont="1" applyFill="1" applyAlignment="1">
      <alignment horizontal="center"/>
    </xf>
    <xf numFmtId="0" fontId="0" fillId="6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165" fontId="0" fillId="14" borderId="0" xfId="0" applyNumberFormat="1" applyFill="1"/>
    <xf numFmtId="0" fontId="0" fillId="14" borderId="0" xfId="0" applyFill="1" applyAlignment="1">
      <alignment horizontal="center"/>
    </xf>
    <xf numFmtId="0" fontId="0" fillId="14" borderId="0" xfId="0" applyNumberFormat="1" applyFill="1" applyAlignment="1">
      <alignment horizontal="center"/>
    </xf>
    <xf numFmtId="2" fontId="0" fillId="14" borderId="0" xfId="0" applyNumberFormat="1" applyFill="1" applyAlignment="1">
      <alignment horizontal="center"/>
    </xf>
    <xf numFmtId="2" fontId="2" fillId="14" borderId="0" xfId="0" applyNumberFormat="1" applyFont="1" applyFill="1" applyAlignment="1">
      <alignment horizontal="center"/>
    </xf>
    <xf numFmtId="2" fontId="15" fillId="14" borderId="0" xfId="1" applyNumberFormat="1" applyFont="1" applyFill="1" applyAlignment="1">
      <alignment horizontal="center"/>
    </xf>
    <xf numFmtId="0" fontId="0" fillId="14" borderId="0" xfId="0" applyNumberFormat="1" applyFill="1"/>
    <xf numFmtId="1" fontId="14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2" fontId="0" fillId="14" borderId="0" xfId="0" applyNumberFormat="1" applyFill="1"/>
    <xf numFmtId="0" fontId="0" fillId="13" borderId="0" xfId="0" applyNumberFormat="1" applyFill="1"/>
    <xf numFmtId="14" fontId="0" fillId="13" borderId="0" xfId="0" applyNumberFormat="1" applyFill="1" applyAlignment="1">
      <alignment horizontal="center"/>
    </xf>
    <xf numFmtId="1" fontId="0" fillId="13" borderId="0" xfId="0" applyNumberFormat="1" applyFill="1" applyAlignment="1">
      <alignment horizontal="center"/>
    </xf>
    <xf numFmtId="0" fontId="0" fillId="13" borderId="0" xfId="0" applyNumberFormat="1" applyFill="1" applyAlignment="1">
      <alignment horizontal="center"/>
    </xf>
    <xf numFmtId="166" fontId="0" fillId="13" borderId="0" xfId="0" applyNumberFormat="1" applyFill="1"/>
    <xf numFmtId="166" fontId="0" fillId="13" borderId="0" xfId="0" applyNumberFormat="1" applyFill="1" applyAlignment="1">
      <alignment horizontal="center"/>
    </xf>
    <xf numFmtId="165" fontId="0" fillId="13" borderId="0" xfId="0" applyNumberFormat="1" applyFill="1" applyAlignment="1">
      <alignment horizontal="center"/>
    </xf>
    <xf numFmtId="46" fontId="0" fillId="13" borderId="0" xfId="0" applyNumberFormat="1" applyFill="1" applyAlignment="1">
      <alignment horizontal="center"/>
    </xf>
    <xf numFmtId="2" fontId="0" fillId="13" borderId="0" xfId="0" applyNumberFormat="1" applyFill="1"/>
    <xf numFmtId="2" fontId="15" fillId="13" borderId="0" xfId="1" applyNumberFormat="1" applyFont="1" applyFill="1" applyAlignment="1">
      <alignment horizontal="center"/>
    </xf>
    <xf numFmtId="1" fontId="15" fillId="13" borderId="0" xfId="1" applyNumberFormat="1" applyFont="1" applyFill="1" applyAlignment="1">
      <alignment horizontal="center"/>
    </xf>
    <xf numFmtId="0" fontId="0" fillId="14" borderId="1" xfId="0" applyNumberFormat="1" applyFill="1" applyBorder="1" applyAlignment="1">
      <alignment horizontal="center"/>
    </xf>
    <xf numFmtId="2" fontId="0" fillId="13" borderId="1" xfId="0" applyNumberForma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/>
    </xf>
    <xf numFmtId="1" fontId="0" fillId="13" borderId="1" xfId="0" applyNumberFormat="1" applyFill="1" applyBorder="1" applyAlignment="1">
      <alignment horizontal="center"/>
    </xf>
    <xf numFmtId="165" fontId="17" fillId="14" borderId="0" xfId="0" applyNumberFormat="1" applyFont="1" applyFill="1" applyAlignment="1">
      <alignment horizontal="center"/>
    </xf>
    <xf numFmtId="0" fontId="17" fillId="14" borderId="0" xfId="0" applyNumberFormat="1" applyFont="1" applyFill="1" applyAlignment="1">
      <alignment horizontal="center"/>
    </xf>
    <xf numFmtId="2" fontId="17" fillId="14" borderId="0" xfId="0" applyNumberFormat="1" applyFont="1" applyFill="1" applyAlignment="1">
      <alignment horizontal="center"/>
    </xf>
    <xf numFmtId="3" fontId="0" fillId="7" borderId="0" xfId="0" applyNumberFormat="1" applyFill="1" applyAlignment="1">
      <alignment horizontal="center"/>
    </xf>
    <xf numFmtId="0" fontId="0" fillId="7" borderId="0" xfId="0" applyNumberForma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166" fontId="4" fillId="7" borderId="1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65" fontId="16" fillId="2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11" borderId="1" xfId="0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0" fontId="0" fillId="14" borderId="0" xfId="0" applyFill="1"/>
    <xf numFmtId="3" fontId="0" fillId="14" borderId="0" xfId="0" applyNumberFormat="1" applyFill="1" applyAlignment="1">
      <alignment horizontal="center"/>
    </xf>
  </cellXfs>
  <cellStyles count="2">
    <cellStyle name="Moneda" xfId="1" builtinId="4"/>
    <cellStyle name="Normal" xfId="0" builtinId="0"/>
  </cellStyles>
  <dxfs count="2203">
    <dxf>
      <alignment horizontal="center" readingOrder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4" formatCode="#,##0.00"/>
    </dxf>
    <dxf>
      <numFmt numFmtId="172" formatCode="#,##0.0"/>
    </dxf>
    <dxf>
      <numFmt numFmtId="3" formatCode="#,##0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numFmt numFmtId="170" formatCode="0.00000"/>
    </dxf>
    <dxf>
      <numFmt numFmtId="169" formatCode="0.0000"/>
    </dxf>
    <dxf>
      <numFmt numFmtId="170" formatCode="0.0000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fill>
        <patternFill patternType="solid">
          <bgColor theme="7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167" formatCode="0.0"/>
    </dxf>
    <dxf>
      <numFmt numFmtId="2" formatCode="0.00"/>
    </dxf>
    <dxf>
      <numFmt numFmtId="1" formatCode="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alignment horizontal="center" readingOrder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4" formatCode="#,##0.00"/>
    </dxf>
    <dxf>
      <numFmt numFmtId="172" formatCode="#,##0.0"/>
    </dxf>
    <dxf>
      <numFmt numFmtId="3" formatCode="#,##0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numFmt numFmtId="170" formatCode="0.00000"/>
    </dxf>
    <dxf>
      <numFmt numFmtId="169" formatCode="0.0000"/>
    </dxf>
    <dxf>
      <numFmt numFmtId="170" formatCode="0.0000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fill>
        <patternFill patternType="solid">
          <bgColor theme="7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2" formatCode="0.00"/>
    </dxf>
    <dxf>
      <numFmt numFmtId="168" formatCode="0.000"/>
    </dxf>
    <dxf>
      <numFmt numFmtId="2" formatCode="0.00"/>
    </dxf>
    <dxf>
      <numFmt numFmtId="169" formatCode="0.0000"/>
    </dxf>
    <dxf>
      <numFmt numFmtId="170" formatCode="0.00000"/>
    </dxf>
    <dxf>
      <numFmt numFmtId="171" formatCode="0.000000"/>
    </dxf>
    <dxf>
      <numFmt numFmtId="174" formatCode="0.0000000"/>
    </dxf>
    <dxf>
      <alignment horizontal="center" readingOrder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4" formatCode="#,##0.00"/>
    </dxf>
    <dxf>
      <numFmt numFmtId="172" formatCode="#,##0.0"/>
    </dxf>
    <dxf>
      <numFmt numFmtId="3" formatCode="#,##0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numFmt numFmtId="170" formatCode="0.00000"/>
    </dxf>
    <dxf>
      <numFmt numFmtId="169" formatCode="0.0000"/>
    </dxf>
    <dxf>
      <numFmt numFmtId="170" formatCode="0.0000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fill>
        <patternFill patternType="solid">
          <bgColor theme="7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4" formatCode="#,##0.00"/>
    </dxf>
    <dxf>
      <numFmt numFmtId="172" formatCode="#,##0.0"/>
    </dxf>
    <dxf>
      <numFmt numFmtId="4" formatCode="#,##0.00"/>
    </dxf>
    <dxf>
      <alignment horizontal="center" readingOrder="0"/>
    </dxf>
    <dxf>
      <numFmt numFmtId="172" formatCode="#,##0.0"/>
    </dxf>
    <dxf>
      <numFmt numFmtId="3" formatCode="#,##0"/>
    </dxf>
    <dxf>
      <alignment horizontal="center" readingOrder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4" formatCode="#,##0.00"/>
    </dxf>
    <dxf>
      <numFmt numFmtId="172" formatCode="#,##0.0"/>
    </dxf>
    <dxf>
      <numFmt numFmtId="3" formatCode="#,##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numFmt numFmtId="167" formatCode="0.0"/>
    </dxf>
    <dxf>
      <numFmt numFmtId="2" formatCode="0.00"/>
    </dxf>
    <dxf>
      <numFmt numFmtId="167" formatCode="0.0"/>
    </dxf>
    <dxf>
      <numFmt numFmtId="1" formatCode="0"/>
    </dxf>
    <dxf>
      <numFmt numFmtId="170" formatCode="0.00000"/>
    </dxf>
    <dxf>
      <numFmt numFmtId="169" formatCode="0.0000"/>
    </dxf>
    <dxf>
      <numFmt numFmtId="170" formatCode="0.0000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fill>
        <patternFill patternType="solid">
          <bgColor rgb="FF92D050"/>
        </patternFill>
      </fill>
    </dxf>
    <dxf>
      <numFmt numFmtId="167" formatCode="0.0"/>
    </dxf>
    <dxf>
      <numFmt numFmtId="2" formatCode="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4" formatCode="#,##0.00"/>
    </dxf>
    <dxf>
      <numFmt numFmtId="172" formatCode="#,##0.0"/>
    </dxf>
    <dxf>
      <numFmt numFmtId="3" formatCode="#,##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numFmt numFmtId="170" formatCode="0.00000"/>
    </dxf>
    <dxf>
      <numFmt numFmtId="169" formatCode="0.0000"/>
    </dxf>
    <dxf>
      <numFmt numFmtId="170" formatCode="0.0000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fill>
        <patternFill patternType="solid">
          <bgColor theme="7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alignment horizontal="center" readingOrder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4" formatCode="#,##0.00"/>
    </dxf>
    <dxf>
      <numFmt numFmtId="172" formatCode="#,##0.0"/>
    </dxf>
    <dxf>
      <numFmt numFmtId="3" formatCode="#,##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numFmt numFmtId="170" formatCode="0.00000"/>
    </dxf>
    <dxf>
      <numFmt numFmtId="169" formatCode="0.0000"/>
    </dxf>
    <dxf>
      <numFmt numFmtId="170" formatCode="0.0000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fill>
        <patternFill patternType="solid">
          <bgColor theme="7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4" formatCode="#,##0.00"/>
    </dxf>
    <dxf>
      <numFmt numFmtId="172" formatCode="#,##0.0"/>
    </dxf>
    <dxf>
      <numFmt numFmtId="3" formatCode="#,##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numFmt numFmtId="170" formatCode="0.00000"/>
    </dxf>
    <dxf>
      <numFmt numFmtId="169" formatCode="0.0000"/>
    </dxf>
    <dxf>
      <numFmt numFmtId="170" formatCode="0.0000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fill>
        <patternFill patternType="solid">
          <bgColor theme="7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alignment horizontal="center" readingOrder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4" formatCode="#,##0.00"/>
    </dxf>
    <dxf>
      <numFmt numFmtId="172" formatCode="#,##0.0"/>
    </dxf>
    <dxf>
      <numFmt numFmtId="3" formatCode="#,##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numFmt numFmtId="170" formatCode="0.00000"/>
    </dxf>
    <dxf>
      <numFmt numFmtId="169" formatCode="0.0000"/>
    </dxf>
    <dxf>
      <numFmt numFmtId="170" formatCode="0.0000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fill>
        <patternFill patternType="solid">
          <bgColor theme="7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alignment horizontal="center" readingOrder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4" formatCode="#,##0.00"/>
    </dxf>
    <dxf>
      <numFmt numFmtId="172" formatCode="#,##0.0"/>
    </dxf>
    <dxf>
      <numFmt numFmtId="3" formatCode="#,##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numFmt numFmtId="170" formatCode="0.00000"/>
    </dxf>
    <dxf>
      <numFmt numFmtId="169" formatCode="0.0000"/>
    </dxf>
    <dxf>
      <numFmt numFmtId="170" formatCode="0.0000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fill>
        <patternFill patternType="solid">
          <bgColor theme="7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alignment horizontal="center" readingOrder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4" formatCode="#,##0.00"/>
    </dxf>
    <dxf>
      <numFmt numFmtId="172" formatCode="#,##0.0"/>
    </dxf>
    <dxf>
      <numFmt numFmtId="3" formatCode="#,##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numFmt numFmtId="170" formatCode="0.00000"/>
    </dxf>
    <dxf>
      <numFmt numFmtId="169" formatCode="0.0000"/>
    </dxf>
    <dxf>
      <numFmt numFmtId="170" formatCode="0.0000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fill>
        <patternFill patternType="solid">
          <bgColor theme="7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alignment horizontal="center" readingOrder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4" formatCode="#,##0.00"/>
    </dxf>
    <dxf>
      <numFmt numFmtId="172" formatCode="#,##0.0"/>
    </dxf>
    <dxf>
      <numFmt numFmtId="3" formatCode="#,##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numFmt numFmtId="170" formatCode="0.00000"/>
    </dxf>
    <dxf>
      <numFmt numFmtId="169" formatCode="0.0000"/>
    </dxf>
    <dxf>
      <numFmt numFmtId="170" formatCode="0.0000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fill>
        <patternFill patternType="solid">
          <bgColor theme="7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4" formatCode="#,##0.00"/>
    </dxf>
    <dxf>
      <numFmt numFmtId="172" formatCode="#,##0.0"/>
    </dxf>
    <dxf>
      <numFmt numFmtId="3" formatCode="#,##0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numFmt numFmtId="170" formatCode="0.00000"/>
    </dxf>
    <dxf>
      <numFmt numFmtId="169" formatCode="0.0000"/>
    </dxf>
    <dxf>
      <numFmt numFmtId="170" formatCode="0.00000"/>
    </dxf>
    <dxf>
      <numFmt numFmtId="171" formatCode="0.00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fill>
        <patternFill patternType="solid">
          <bgColor theme="7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numFmt numFmtId="172" formatCode="#,##0.0"/>
    </dxf>
    <dxf>
      <alignment horizontal="center" readingOrder="0"/>
    </dxf>
    <dxf>
      <numFmt numFmtId="4" formatCode="#,##0.00"/>
    </dxf>
    <dxf>
      <numFmt numFmtId="172" formatCode="#,##0.0"/>
    </dxf>
    <dxf>
      <numFmt numFmtId="4" formatCode="#,##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</dxf>
    <dxf>
      <numFmt numFmtId="167" formatCode="0.0"/>
    </dxf>
    <dxf>
      <fill>
        <patternFill patternType="solid">
          <bgColor rgb="FF92D050"/>
        </patternFill>
      </fill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71" formatCode="0.000000"/>
    </dxf>
    <dxf>
      <numFmt numFmtId="170" formatCode="0.00000"/>
    </dxf>
    <dxf>
      <numFmt numFmtId="169" formatCode="0.0000"/>
    </dxf>
    <dxf>
      <numFmt numFmtId="170" formatCode="0.00000"/>
    </dxf>
    <dxf>
      <numFmt numFmtId="1" formatCode="0"/>
    </dxf>
    <dxf>
      <numFmt numFmtId="167" formatCode="0.0"/>
    </dxf>
    <dxf>
      <numFmt numFmtId="2" formatCode="0.00"/>
    </dxf>
    <dxf>
      <numFmt numFmtId="167" formatCode="0.0"/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3" formatCode="#,##0"/>
    </dxf>
    <dxf>
      <numFmt numFmtId="172" formatCode="#,##0.0"/>
    </dxf>
    <dxf>
      <numFmt numFmtId="4" formatCode="#,##0.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71" formatCode="0.00000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horizontal="center" readingOrder="0"/>
    </dxf>
    <dxf>
      <alignment horizontal="center" readingOrder="0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39997558519241921"/>
        </patternFill>
      </fill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71" formatCode="0.000000"/>
    </dxf>
    <dxf>
      <numFmt numFmtId="170" formatCode="0.00000"/>
    </dxf>
    <dxf>
      <numFmt numFmtId="169" formatCode="0.0000"/>
    </dxf>
    <dxf>
      <numFmt numFmtId="170" formatCode="0.00000"/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3" formatCode="#,##0"/>
    </dxf>
    <dxf>
      <numFmt numFmtId="172" formatCode="#,##0.0"/>
    </dxf>
    <dxf>
      <numFmt numFmtId="4" formatCode="#,##0.00"/>
    </dxf>
    <dxf>
      <numFmt numFmtId="2" formatCode="0.0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71" formatCode="0.000000"/>
    </dxf>
    <dxf>
      <numFmt numFmtId="1" formatCode="0"/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69" formatCode="0.0000"/>
    </dxf>
    <dxf>
      <numFmt numFmtId="168" formatCode="0.000"/>
    </dxf>
    <dxf>
      <numFmt numFmtId="2" formatCode="0.00"/>
    </dxf>
    <dxf>
      <numFmt numFmtId="167" formatCode="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horizontal="center" readingOrder="0"/>
    </dxf>
    <dxf>
      <alignment horizontal="center" readingOrder="0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alignment horizontal="center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h:mm;@"/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h:mm;@"/>
      <alignment horizontal="center" vertical="bottom" textRotation="0" wrapText="0" indent="0" justifyLastLine="0" shrinkToFit="0" readingOrder="0"/>
    </dxf>
    <dxf>
      <numFmt numFmtId="31" formatCode="[h]:mm:ss"/>
      <alignment horizontal="center" vertical="bottom" textRotation="0" wrapText="0" indent="0" justifyLastLine="0" shrinkToFit="0" readingOrder="0"/>
    </dxf>
    <dxf>
      <numFmt numFmtId="165" formatCode="h:mm;@"/>
      <alignment horizontal="center" vertical="bottom" textRotation="0" wrapText="0" indent="0" justifyLastLine="0" shrinkToFit="0" readingOrder="0"/>
    </dxf>
    <dxf>
      <numFmt numFmtId="166" formatCode="[$-409]h:mm\ AM/PM;@"/>
      <alignment horizontal="center" vertical="bottom" textRotation="0" wrapText="0" indent="0" justifyLastLine="0" shrinkToFit="0" readingOrder="0"/>
    </dxf>
    <dxf>
      <numFmt numFmtId="166" formatCode="[$-409]h:mm\ AM/PM;@"/>
      <alignment horizontal="center" vertical="bottom" textRotation="0" wrapText="0" indent="0" justifyLastLine="0" shrinkToFit="0" readingOrder="0"/>
    </dxf>
    <dxf>
      <numFmt numFmtId="166" formatCode="[$-409]h:mm\ AM/PM;@"/>
      <alignment horizontal="center" vertical="bottom" textRotation="0" wrapText="0" indent="0" justifyLastLine="0" shrinkToFit="0" readingOrder="0"/>
    </dxf>
    <dxf>
      <numFmt numFmtId="166" formatCode="[$-409]h:mm\ AM/PM;@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73" formatCode="d/mm/yyyy"/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colors>
    <mruColors>
      <color rgb="FF7CDE7C"/>
      <color rgb="FF00FF00"/>
      <color rgb="FFCCCCFF"/>
      <color rgb="FF3399FF"/>
      <color rgb="FFFF9999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0</xdr:row>
      <xdr:rowOff>78443</xdr:rowOff>
    </xdr:from>
    <xdr:to>
      <xdr:col>1</xdr:col>
      <xdr:colOff>1931335</xdr:colOff>
      <xdr:row>2</xdr:row>
      <xdr:rowOff>11207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3" y="78443"/>
          <a:ext cx="3049682" cy="3137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0</xdr:row>
      <xdr:rowOff>78443</xdr:rowOff>
    </xdr:from>
    <xdr:to>
      <xdr:col>1</xdr:col>
      <xdr:colOff>1931335</xdr:colOff>
      <xdr:row>2</xdr:row>
      <xdr:rowOff>11207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2AA4FC-6562-4B7F-A781-916E43E2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3" y="78443"/>
          <a:ext cx="3049682" cy="3137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0</xdr:row>
      <xdr:rowOff>78443</xdr:rowOff>
    </xdr:from>
    <xdr:to>
      <xdr:col>1</xdr:col>
      <xdr:colOff>1931335</xdr:colOff>
      <xdr:row>2</xdr:row>
      <xdr:rowOff>11207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3" y="78443"/>
          <a:ext cx="3051923" cy="3137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4362.553104050923" createdVersion="6" refreshedVersion="7" minRefreshableVersion="3" recordCount="402" xr:uid="{00000000-000A-0000-FFFF-FFFF07000000}">
  <cacheSource type="worksheet">
    <worksheetSource name="Tabla1"/>
  </cacheSource>
  <cacheFields count="42">
    <cacheField name="DIA" numFmtId="0">
      <sharedItems/>
    </cacheField>
    <cacheField name="PUNTO" numFmtId="0">
      <sharedItems/>
    </cacheField>
    <cacheField name="N° SEMANA" numFmtId="1">
      <sharedItems containsSemiMixedTypes="0" containsString="0" containsNumber="1" containsInteger="1" minValue="1" maxValue="53" count="50">
        <n v="19"/>
        <n v="20"/>
        <n v="34" u="1"/>
        <n v="13" u="1"/>
        <n v="38" u="1"/>
        <n v="5" u="1"/>
        <n v="14" u="1"/>
        <n v="40" u="1"/>
        <n v="42" u="1"/>
        <n v="15" u="1"/>
        <n v="44" u="1"/>
        <n v="2" u="1"/>
        <n v="46" u="1"/>
        <n v="6" u="1"/>
        <n v="16" u="1"/>
        <n v="48" u="1"/>
        <n v="17" u="1"/>
        <n v="50" u="1"/>
        <n v="18" u="1"/>
        <n v="52" u="1"/>
        <n v="7" u="1"/>
        <n v="33" u="1"/>
        <n v="21" u="1"/>
        <n v="35" u="1"/>
        <n v="22" u="1"/>
        <n v="1" u="1"/>
        <n v="23" u="1"/>
        <n v="3" u="1"/>
        <n v="8" u="1"/>
        <n v="39" u="1"/>
        <n v="24" u="1"/>
        <n v="41" u="1"/>
        <n v="25" u="1"/>
        <n v="9" u="1"/>
        <n v="43" u="1"/>
        <n v="26" u="1"/>
        <n v="45" u="1"/>
        <n v="27" u="1"/>
        <n v="10" u="1"/>
        <n v="47" u="1"/>
        <n v="28" u="1"/>
        <n v="49" u="1"/>
        <n v="29" u="1"/>
        <n v="11" u="1"/>
        <n v="51" u="1"/>
        <n v="30" u="1"/>
        <n v="53" u="1"/>
        <n v="31" u="1"/>
        <n v="4" u="1"/>
        <n v="32" u="1"/>
      </sharedItems>
    </cacheField>
    <cacheField name="N° MES" numFmtId="1">
      <sharedItems/>
    </cacheField>
    <cacheField name="CONDICION" numFmtId="1">
      <sharedItems containsMixedTypes="1" containsNumber="1" containsInteger="1" minValue="0" maxValue="0" count="4">
        <s v="5ta"/>
        <s v="4ta"/>
        <s v="5ta "/>
        <n v="0"/>
      </sharedItems>
    </cacheField>
    <cacheField name="PERFIL" numFmtId="1">
      <sharedItems count="25">
        <s v="TEC-02"/>
        <s v="OPE-03"/>
        <s v="OPE-01"/>
        <s v="MEC-04"/>
        <s v="TECMN-03"/>
        <s v="TEC-05"/>
        <s v="TECME-03"/>
        <e v="#N/A"/>
        <s v="TEC-04"/>
        <s v="MAE-02"/>
        <s v="TEC-01"/>
        <s v="X6"/>
        <s v="MAE3G-01"/>
        <s v="AYU-VA"/>
        <s v="MEC-02"/>
        <s v="MAEME-03"/>
        <s v="MAE6G-01"/>
        <s v="MAE-04"/>
        <s v="MAE-08"/>
        <s v="X2" u="1"/>
        <s v="X4" u="1"/>
        <s v="X1" u="1"/>
        <s v="X3" u="1"/>
        <s v="MAE-05" u="1"/>
        <s v="X5" u="1"/>
      </sharedItems>
    </cacheField>
    <cacheField name="DETALLE PERFIL" numFmtId="1">
      <sharedItems containsMixedTypes="1" containsNumber="1" containsInteger="1" minValue="0" maxValue="0"/>
    </cacheField>
    <cacheField name="TRABAJADOR" numFmtId="0">
      <sharedItems count="110">
        <s v="ALVAREZ ALVINES JUAN MANUEL"/>
        <s v="AYALA RAMIREZ RUBEN ISAI"/>
        <s v="BARRAGAN SALAZAR JHONATAN PEDRO"/>
        <s v="BENDEZU PISCO JORGE GUILLERMO"/>
        <s v="BONILLA CHAVEZ LUIS DANIEL"/>
        <s v="BUSTAMANTE GONZALES CARLOS"/>
        <s v="CAMIZAN CUNIAS LENDER NEYDEN"/>
        <s v="CAVERO ANCAJIMA JHONATAN"/>
        <s v="CHAQUILA JIMENEZ VICTOR JHEYNER"/>
        <s v="COPIA BALDERA NILSON"/>
        <s v="CORDOVA OJEDA JHON GIAMPIERRE"/>
        <s v="CORREA TORRES NOYLER"/>
        <s v="CUYA CAYCHO DANIEL LORENZO"/>
        <s v="DAMIAN DAMIAN MIGUEL ANGEL"/>
        <s v="DELGADO CORONADO ROBERTO "/>
        <s v="DIAZ CABREJOS KELVIN"/>
        <s v="ENRIQUEZ GONZALES MIGUEL ANGEL"/>
        <s v="GRAUS JUAREZ MIGUEL RICARDO"/>
        <s v="GUERRERO CORDOVA ISMAEL"/>
        <s v="GUEVARA PACHERREZ ERICK DANIEL"/>
        <s v="HERRERA NAVARRO OSMER"/>
        <s v="IDROGO CHAVEZ EMANUEL"/>
        <s v="JUNCO ORDOÑEZ SAMUEL"/>
        <s v="LABAN SEVERINO EDWIN DENIS"/>
        <s v="LOPEZ TANTARICO ELY "/>
        <s v="MEJIA AYALA LUIS MANUEL"/>
        <s v="MEREGILDO CABRERA RICARDO JOEL"/>
        <s v="MIO QUIÑONES ALEXIS"/>
        <s v="MONJA ACOSTA RONALD"/>
        <s v="MONTENEGRO DAVILA EVER"/>
        <s v="MUÑOZ EXEBIO IRWIS MANUEL"/>
        <s v="OLANO GARCIA"/>
        <s v="ORTIZ PANTALEON POLH MANIX"/>
        <s v="PANDO SALAZAR LUIS BRYAN"/>
        <s v="PECHE CHAPOÑAN ALBERTO "/>
        <s v="PEREZ VASQUEZ RONAL"/>
        <s v="PURIZACA CHUÑE JHON ANDERSON"/>
        <s v="PURIZACA SEVERINO DANIEL FERNANDO"/>
        <s v="QUIROZ CORTEJANA DANTE GABRIEL"/>
        <s v="RAMIREZ PELAEZ ELIAS"/>
        <s v="RIOJA RODRIGUEZ MARCO JEAIR"/>
        <s v="RIVERA LEONARDO EVER JOSE"/>
        <s v="ROMERO MARIN JAIRO JOEL"/>
        <s v="SALAZAR FERNANDEZ WALTER "/>
        <s v="SANDOVAL CHAPOÑAN ELVIS EDUARDO"/>
        <s v="SOLANO SUELDO CARLOS"/>
        <s v="SOTO NIETO ALEXANDRO FABIO"/>
        <s v="TINOCO SANTISTEBAN JIMMY JOEL"/>
        <s v="TORRES RAMOS ANGY ANDREINA"/>
        <s v="VARGAS TARRILLO GLOBER"/>
        <s v="VARGAS TARRILLO OMAR ALEXANDER"/>
        <s v="VASQUEZ CHUPILLON KEVIN"/>
        <s v="VASQUEZ GAMBOA JUAN JOSE"/>
        <s v="VASQUEZ TARRILLO LUIS"/>
        <s v="VELASQUEZ LIZA JOSE ROGELIO "/>
        <s v="VENTURA CUBAS ALEXANDER JOHAN"/>
        <s v="ZETA DELGADO DERWIS YENNER"/>
        <s v="CHERO ROJAS ARMANDO"/>
        <s v="NIQUEN CHAFLOQUE LUIS"/>
        <s v="OJANAMA UTIA ENERLI HORACIO" u="1"/>
        <s v="CUEVA CUZQUEN MARLON ALEJANDRO" u="1"/>
        <s v="PURIZACA SEVERINO JUAN CARLOS" u="1"/>
        <s v="BALLENA ADANAQUE MIGUEL ANGEL" u="1"/>
        <s v="SARMIENTO MONJA JORGE " u="1"/>
        <s v="ROBERTO DELGADO CORONADO " u="1"/>
        <s v="BOCANEGRA TRELLES MANUEL " u="1"/>
        <s v="LOPEZ DELGADO PEDRO PABLO" u="1"/>
        <s v="TAFUR ALVA TONY" u="1"/>
        <e v="#N/A" u="1"/>
        <s v="SANCHEZ MEOÑO FRANK" u="1"/>
        <s v="AGAPITO AYASTA ANDERSON ANTHONY" u="1"/>
        <s v="AMAYA CAPUÑAY JOSE ENRIQUE" u="1"/>
        <s v="AQUINO SILVA DANTE JESUS ALEXIS" u="1"/>
        <s v="CACHAY ACOSTA CARLOS ALEXANDER" u="1"/>
        <s v="FLORES TINEO JOSE ANGEL " u="1"/>
        <s v="FLOREZ TINEO JOSE ANGEL " u="1"/>
        <s v="HERRERA NAVARRO MICKY ALEXANDER" u="1"/>
        <s v="SILVA ADANAQUE RONAL ARMANDO" u="1"/>
        <s v="VILCHEZ VILLEGAS MANUEL ULISES" u="1"/>
        <s v="JUSTO FLORES ESPINOZA" u="1"/>
        <s v="CASTILLO LOYOLA ANTONIO" u="1"/>
        <s v="TEJADA SUYON JHON JAMES" u="1"/>
        <s v="DULCEY BERNAL JERVYN ANDERSON" u="1"/>
        <s v="HUAMAN CAMPOS BRIAN ROY" u="1"/>
        <s v="SANCHEZ ZEÑA LUIS ALFREDO" u="1"/>
        <s v="VIDAURRE YOVERA JOSE" u="1"/>
        <s v="OJANAMA UTIA MARTIN SOLANO" u="1"/>
        <s v="TUÑOQUE SANTISTEBAN CRISTOBAL" u="1"/>
        <s v="CORONADO MONJE JEAN CARLOS" u="1"/>
        <s v="RIVERA YANGUA VICTOR MIGUEL" u="1"/>
        <s v="VASQUEZ TARRILLO EVER" u="1"/>
        <s v="CHAVESTA LLUEN WALTER OMAR" u="1"/>
        <s v="BONILLA RADAELLI CARLOS EDUARDO" u="1"/>
        <s v="DELGADO SECLEN ALVARO ELISEO" u="1"/>
        <s v="ESPINOZA CHANAME DIEGO ARMANDO" u="1"/>
        <s v="ZAPATA IDROGO LEONARDO ENRIQUE " u="1"/>
        <s v="ENRIQUEZ GONZALES WILLIAM RICARDO" u="1"/>
        <s v="OJANAMA UTIA TEOFILO ALVINO" u="1"/>
        <s v="MIO LLOCYA JOSE ALEXANDER" u="1"/>
        <s v="MIO SOLUCO CESAR AUGUSTO" u="1"/>
        <s v="AQUINO TEJEDA JUAN JOSE" u="1"/>
        <s v="SOTO VILLALOBOS DAVID" u="1"/>
        <s v="MEDINA GUEVARA TIRSO" u="1"/>
        <s v="CHERO AYALA JOSE ISMAEL" u="1"/>
        <s v="SANCHEZ SALAS ISAAC" u="1"/>
        <s v="CORDOVA CORDOVA ADAN " u="1"/>
        <s v="TORRES ZEVALLOS JUAN FRANCISCO" u="1"/>
        <s v="CORREA TORRES NOILER" u="1"/>
        <s v="PAZ RAMOS ALFREDO ANIBAL " u="1"/>
        <s v="TUÑOQUE ZEÑA JOSE ARMANDO" u="1"/>
      </sharedItems>
    </cacheField>
    <cacheField name="FECHA " numFmtId="14">
      <sharedItems containsSemiMixedTypes="0" containsNonDate="0" containsDate="1" containsString="0" minDate="2020-01-15T00:00:00" maxDate="2021-05-14T00:00:00" count="239">
        <d v="2021-05-07T00:00:00"/>
        <d v="2021-05-08T00:00:00"/>
        <d v="2021-05-09T00:00:00"/>
        <d v="2021-05-10T00:00:00"/>
        <d v="2021-05-11T00:00:00"/>
        <d v="2021-05-12T00:00:00"/>
        <d v="2021-05-13T00:00:00"/>
        <d v="2020-05-05T00:00:00" u="1"/>
        <d v="2020-01-18T00:00:00" u="1"/>
        <d v="2020-08-07T00:00:00" u="1"/>
        <d v="2020-04-20T00:00:00" u="1"/>
        <d v="2020-07-22T00:00:00" u="1"/>
        <d v="2020-05-01T00:00:00" u="1"/>
        <d v="2020-08-03T00:00:00" u="1"/>
        <d v="2020-04-16T00:00:00" u="1"/>
        <d v="2020-07-18T00:00:00" u="1"/>
        <d v="2020-03-31T00:00:00" u="1"/>
        <d v="2020-04-12T00:00:00" u="1"/>
        <d v="2020-07-14T00:00:00" u="1"/>
        <d v="2020-03-27T00:00:00" u="1"/>
        <d v="2020-06-29T00:00:00" u="1"/>
        <d v="2020-04-08T00:00:00" u="1"/>
        <d v="2020-07-10T00:00:00" u="1"/>
        <d v="2020-03-23T00:00:00" u="1"/>
        <d v="2020-06-25T00:00:00" u="1"/>
        <d v="2020-04-04T00:00:00" u="1"/>
        <d v="2020-09-27T00:00:00" u="1"/>
        <d v="2020-07-06T00:00:00" u="1"/>
        <d v="2020-06-21T00:00:00" u="1"/>
        <d v="2020-09-23T00:00:00" u="1"/>
        <d v="2020-07-02T00:00:00" u="1"/>
        <d v="2020-03-15T00:00:00" u="1"/>
        <d v="2020-06-17T00:00:00" u="1"/>
        <d v="2020-09-19T00:00:00" u="1"/>
        <d v="2020-03-11T00:00:00" u="1"/>
        <d v="2020-06-13T00:00:00" u="1"/>
        <d v="2020-02-26T00:00:00" u="1"/>
        <d v="2020-05-28T00:00:00" u="1"/>
        <d v="2020-03-07T00:00:00" u="1"/>
        <d v="2020-06-09T00:00:00" u="1"/>
        <d v="2020-02-22T00:00:00" u="1"/>
        <d v="2020-05-24T00:00:00" u="1"/>
        <d v="2020-03-03T00:00:00" u="1"/>
        <d v="2020-08-26T00:00:00" u="1"/>
        <d v="2020-06-05T00:00:00" u="1"/>
        <d v="2020-02-18T00:00:00" u="1"/>
        <d v="2020-05-20T00:00:00" u="1"/>
        <d v="2020-08-22T00:00:00" u="1"/>
        <d v="2020-06-01T00:00:00" u="1"/>
        <d v="2020-02-14T00:00:00" u="1"/>
        <d v="2020-05-16T00:00:00" u="1"/>
        <d v="2020-01-29T00:00:00" u="1"/>
        <d v="2020-08-18T00:00:00" u="1"/>
        <d v="2020-02-10T00:00:00" u="1"/>
        <d v="2020-05-12T00:00:00" u="1"/>
        <d v="2020-01-25T00:00:00" u="1"/>
        <d v="2020-08-14T00:00:00" u="1"/>
        <d v="2020-04-27T00:00:00" u="1"/>
        <d v="2020-02-06T00:00:00" u="1"/>
        <d v="2020-07-29T00:00:00" u="1"/>
        <d v="2020-05-08T00:00:00" u="1"/>
        <d v="2020-01-21T00:00:00" u="1"/>
        <d v="2020-08-10T00:00:00" u="1"/>
        <d v="2020-04-23T00:00:00" u="1"/>
        <d v="2020-02-02T00:00:00" u="1"/>
        <d v="2020-07-25T00:00:00" u="1"/>
        <d v="2020-05-04T00:00:00" u="1"/>
        <d v="2020-08-06T00:00:00" u="1"/>
        <d v="2020-04-19T00:00:00" u="1"/>
        <d v="2020-07-21T00:00:00" u="1"/>
        <d v="2020-08-02T00:00:00" u="1"/>
        <d v="2020-04-15T00:00:00" u="1"/>
        <d v="2020-07-17T00:00:00" u="1"/>
        <d v="2020-03-30T00:00:00" u="1"/>
        <d v="2020-04-11T00:00:00" u="1"/>
        <d v="2020-07-13T00:00:00" u="1"/>
        <d v="2020-03-26T00:00:00" u="1"/>
        <d v="2020-06-28T00:00:00" u="1"/>
        <d v="2020-04-07T00:00:00" u="1"/>
        <d v="2020-09-30T00:00:00" u="1"/>
        <d v="2020-07-09T00:00:00" u="1"/>
        <d v="2020-06-24T00:00:00" u="1"/>
        <d v="2020-04-03T00:00:00" u="1"/>
        <d v="2020-09-26T00:00:00" u="1"/>
        <d v="2020-07-05T00:00:00" u="1"/>
        <d v="2020-06-20T00:00:00" u="1"/>
        <d v="2020-09-22T00:00:00" u="1"/>
        <d v="2020-07-01T00:00:00" u="1"/>
        <d v="2020-03-14T00:00:00" u="1"/>
        <d v="2020-06-16T00:00:00" u="1"/>
        <d v="2020-02-29T00:00:00" u="1"/>
        <d v="2020-09-18T00:00:00" u="1"/>
        <d v="2020-05-31T00:00:00" u="1"/>
        <d v="2020-03-10T00:00:00" u="1"/>
        <d v="2020-06-12T00:00:00" u="1"/>
        <d v="2020-02-25T00:00:00" u="1"/>
        <d v="2020-05-27T00:00:00" u="1"/>
        <d v="2020-03-06T00:00:00" u="1"/>
        <d v="2020-06-08T00:00:00" u="1"/>
        <d v="2020-02-21T00:00:00" u="1"/>
        <d v="2020-05-23T00:00:00" u="1"/>
        <d v="2020-03-02T00:00:00" u="1"/>
        <d v="2020-08-25T00:00:00" u="1"/>
        <d v="2020-06-04T00:00:00" u="1"/>
        <d v="2020-02-17T00:00:00" u="1"/>
        <d v="2020-05-19T00:00:00" u="1"/>
        <d v="2020-08-21T00:00:00" u="1"/>
        <d v="2020-02-13T00:00:00" u="1"/>
        <d v="2020-05-15T00:00:00" u="1"/>
        <d v="2020-01-28T00:00:00" u="1"/>
        <d v="2020-08-17T00:00:00" u="1"/>
        <d v="2020-04-30T00:00:00" u="1"/>
        <d v="2020-02-09T00:00:00" u="1"/>
        <d v="2020-05-11T00:00:00" u="1"/>
        <d v="2020-01-24T00:00:00" u="1"/>
        <d v="2020-08-13T00:00:00" u="1"/>
        <d v="2020-04-26T00:00:00" u="1"/>
        <d v="2020-02-05T00:00:00" u="1"/>
        <d v="2020-07-28T00:00:00" u="1"/>
        <d v="2020-05-07T00:00:00" u="1"/>
        <d v="2020-01-20T00:00:00" u="1"/>
        <d v="2020-08-09T00:00:00" u="1"/>
        <d v="2020-04-22T00:00:00" u="1"/>
        <d v="2020-02-01T00:00:00" u="1"/>
        <d v="2020-07-24T00:00:00" u="1"/>
        <d v="2020-05-03T00:00:00" u="1"/>
        <d v="2020-01-16T00:00:00" u="1"/>
        <d v="2020-08-05T00:00:00" u="1"/>
        <d v="2020-04-18T00:00:00" u="1"/>
        <d v="2020-07-20T00:00:00" u="1"/>
        <d v="2020-08-01T00:00:00" u="1"/>
        <d v="2020-04-14T00:00:00" u="1"/>
        <d v="2020-07-16T00:00:00" u="1"/>
        <d v="2020-03-29T00:00:00" u="1"/>
        <d v="2020-04-10T00:00:00" u="1"/>
        <d v="2020-07-12T00:00:00" u="1"/>
        <d v="2020-03-25T00:00:00" u="1"/>
        <d v="2020-06-27T00:00:00" u="1"/>
        <d v="2020-04-06T00:00:00" u="1"/>
        <d v="2020-09-29T00:00:00" u="1"/>
        <d v="2020-07-08T00:00:00" u="1"/>
        <d v="2020-06-23T00:00:00" u="1"/>
        <d v="2020-04-02T00:00:00" u="1"/>
        <d v="2020-09-25T00:00:00" u="1"/>
        <d v="2020-07-04T00:00:00" u="1"/>
        <d v="2020-06-19T00:00:00" u="1"/>
        <d v="2020-09-21T00:00:00" u="1"/>
        <d v="2020-03-13T00:00:00" u="1"/>
        <d v="2020-06-15T00:00:00" u="1"/>
        <d v="2020-02-28T00:00:00" u="1"/>
        <d v="2020-05-30T00:00:00" u="1"/>
        <d v="2020-03-09T00:00:00" u="1"/>
        <d v="2020-06-11T00:00:00" u="1"/>
        <d v="2020-02-24T00:00:00" u="1"/>
        <d v="2020-05-26T00:00:00" u="1"/>
        <d v="2020-03-05T00:00:00" u="1"/>
        <d v="2020-06-07T00:00:00" u="1"/>
        <d v="2020-02-20T00:00:00" u="1"/>
        <d v="2020-05-22T00:00:00" u="1"/>
        <d v="2020-03-01T00:00:00" u="1"/>
        <d v="2020-08-24T00:00:00" u="1"/>
        <d v="2020-06-03T00:00:00" u="1"/>
        <d v="2020-02-16T00:00:00" u="1"/>
        <d v="2020-05-18T00:00:00" u="1"/>
        <d v="2020-01-31T00:00:00" u="1"/>
        <d v="2020-08-20T00:00:00" u="1"/>
        <d v="2020-02-12T00:00:00" u="1"/>
        <d v="2020-05-14T00:00:00" u="1"/>
        <d v="2020-01-27T00:00:00" u="1"/>
        <d v="2020-08-16T00:00:00" u="1"/>
        <d v="2020-04-29T00:00:00" u="1"/>
        <d v="2020-02-08T00:00:00" u="1"/>
        <d v="2020-07-31T00:00:00" u="1"/>
        <d v="2020-05-10T00:00:00" u="1"/>
        <d v="2020-01-23T00:00:00" u="1"/>
        <d v="2020-08-12T00:00:00" u="1"/>
        <d v="2020-04-25T00:00:00" u="1"/>
        <d v="2020-02-04T00:00:00" u="1"/>
        <d v="2020-07-27T00:00:00" u="1"/>
        <d v="2020-05-06T00:00:00" u="1"/>
        <d v="2020-01-19T00:00:00" u="1"/>
        <d v="2020-08-08T00:00:00" u="1"/>
        <d v="2020-04-21T00:00:00" u="1"/>
        <d v="2020-07-23T00:00:00" u="1"/>
        <d v="2020-05-02T00:00:00" u="1"/>
        <d v="2020-01-15T00:00:00" u="1"/>
        <d v="2020-08-04T00:00:00" u="1"/>
        <d v="2020-04-17T00:00:00" u="1"/>
        <d v="2020-07-19T00:00:00" u="1"/>
        <d v="2020-04-13T00:00:00" u="1"/>
        <d v="2020-07-15T00:00:00" u="1"/>
        <d v="2020-03-28T00:00:00" u="1"/>
        <d v="2020-06-30T00:00:00" u="1"/>
        <d v="2020-04-09T00:00:00" u="1"/>
        <d v="2020-07-11T00:00:00" u="1"/>
        <d v="2020-03-24T00:00:00" u="1"/>
        <d v="2020-06-26T00:00:00" u="1"/>
        <d v="2020-04-05T00:00:00" u="1"/>
        <d v="2020-09-28T00:00:00" u="1"/>
        <d v="2020-07-07T00:00:00" u="1"/>
        <d v="2020-06-22T00:00:00" u="1"/>
        <d v="2020-04-01T00:00:00" u="1"/>
        <d v="2020-09-24T00:00:00" u="1"/>
        <d v="2020-07-03T00:00:00" u="1"/>
        <d v="2020-06-18T00:00:00" u="1"/>
        <d v="2020-09-20T00:00:00" u="1"/>
        <d v="2020-03-12T00:00:00" u="1"/>
        <d v="2020-10-01T00:00:00" u="1"/>
        <d v="2020-06-14T00:00:00" u="1"/>
        <d v="2020-02-27T00:00:00" u="1"/>
        <d v="2020-05-29T00:00:00" u="1"/>
        <d v="2020-03-08T00:00:00" u="1"/>
        <d v="2020-06-10T00:00:00" u="1"/>
        <d v="2020-02-23T00:00:00" u="1"/>
        <d v="2020-05-25T00:00:00" u="1"/>
        <d v="2020-03-04T00:00:00" u="1"/>
        <d v="2020-08-27T00:00:00" u="1"/>
        <d v="2020-06-06T00:00:00" u="1"/>
        <d v="2020-02-19T00:00:00" u="1"/>
        <d v="2020-05-21T00:00:00" u="1"/>
        <d v="2020-08-23T00:00:00" u="1"/>
        <d v="2020-06-02T00:00:00" u="1"/>
        <d v="2020-02-15T00:00:00" u="1"/>
        <d v="2020-05-17T00:00:00" u="1"/>
        <d v="2020-01-30T00:00:00" u="1"/>
        <d v="2020-08-19T00:00:00" u="1"/>
        <d v="2020-02-11T00:00:00" u="1"/>
        <d v="2020-05-13T00:00:00" u="1"/>
        <d v="2020-01-26T00:00:00" u="1"/>
        <d v="2020-08-15T00:00:00" u="1"/>
        <d v="2020-04-28T00:00:00" u="1"/>
        <d v="2020-02-07T00:00:00" u="1"/>
        <d v="2020-07-30T00:00:00" u="1"/>
        <d v="2020-05-09T00:00:00" u="1"/>
        <d v="2020-01-22T00:00:00" u="1"/>
        <d v="2020-08-11T00:00:00" u="1"/>
        <d v="2020-04-24T00:00:00" u="1"/>
        <d v="2020-02-03T00:00:00" u="1"/>
        <d v="2020-07-26T00:00:00" u="1"/>
      </sharedItems>
    </cacheField>
    <cacheField name="DESTINO" numFmtId="1">
      <sharedItems containsString="0" containsBlank="1" containsNumber="1" containsInteger="1" minValue="1" maxValue="4"/>
    </cacheField>
    <cacheField name="DNI " numFmtId="0">
      <sharedItems containsSemiMixedTypes="0" containsString="0" containsNumber="1" containsInteger="1" minValue="10664396" maxValue="77423720"/>
    </cacheField>
    <cacheField name="DIARIO" numFmtId="2">
      <sharedItems containsSemiMixedTypes="0" containsString="0" containsNumber="1" minValue="0" maxValue="116.06"/>
    </cacheField>
    <cacheField name="INGRESO" numFmtId="166">
      <sharedItems containsNonDate="0" containsDate="1" containsString="0" containsBlank="1" minDate="1899-12-30T00:00:00" maxDate="1899-12-30T21:00:00"/>
    </cacheField>
    <cacheField name="INICIO" numFmtId="166">
      <sharedItems containsNonDate="0" containsDate="1" containsString="0" containsBlank="1" minDate="1899-12-30T02:00:00" maxDate="1899-12-30T14:30:00"/>
    </cacheField>
    <cacheField name="FIN " numFmtId="166">
      <sharedItems containsNonDate="0" containsDate="1" containsString="0" containsBlank="1" minDate="1899-12-30T08:30:00" maxDate="1899-12-30T22:00:00"/>
    </cacheField>
    <cacheField name="SALIDA" numFmtId="166">
      <sharedItems containsNonDate="0" containsDate="1" containsString="0" containsBlank="1" minDate="1899-12-30T10:00:00" maxDate="1899-12-30T23:59:00"/>
    </cacheField>
    <cacheField name="T.HORAS" numFmtId="165">
      <sharedItems containsSemiMixedTypes="0" containsNonDate="0" containsDate="1" containsString="0" minDate="1899-12-30T00:00:00" maxDate="1899-12-30T20:30:00"/>
    </cacheField>
    <cacheField name="H.NORMALES" numFmtId="46">
      <sharedItems containsSemiMixedTypes="0" containsNonDate="0" containsDate="1" containsString="0" minDate="1899-12-30T00:00:00" maxDate="1899-12-30T09:00:00"/>
    </cacheField>
    <cacheField name="H.EXTRAS" numFmtId="165">
      <sharedItems containsSemiMixedTypes="0" containsNonDate="0" containsDate="1" containsString="0" minDate="1899-12-30T00:00:00" maxDate="1899-12-31T00:00:00"/>
    </cacheField>
    <cacheField name="HORAS 25 % " numFmtId="0">
      <sharedItems containsString="0" containsBlank="1" containsNumber="1" containsInteger="1" minValue="0" maxValue="2"/>
    </cacheField>
    <cacheField name="HORAS 35% " numFmtId="0">
      <sharedItems containsString="0" containsBlank="1" containsNumber="1" containsInteger="1" minValue="0" maxValue="2"/>
    </cacheField>
    <cacheField name="C.HORA.25" numFmtId="2">
      <sharedItems containsSemiMixedTypes="0" containsString="0" containsNumber="1" minValue="0" maxValue="24.931249999999999"/>
    </cacheField>
    <cacheField name="C.HORA.35" numFmtId="2">
      <sharedItems containsSemiMixedTypes="0" containsString="0" containsNumber="1" minValue="0" maxValue="12.411562499999999"/>
    </cacheField>
    <cacheField name="CST_H_E" numFmtId="2">
      <sharedItems containsSemiMixedTypes="0" containsString="0" containsNumber="1" minValue="0" maxValue="35.395937500000002"/>
    </cacheField>
    <cacheField name="C.H" numFmtId="0">
      <sharedItems containsNonDate="0" containsString="0" containsBlank="1"/>
    </cacheField>
    <cacheField name="T.H" numFmtId="1">
      <sharedItems containsSemiMixedTypes="0" containsString="0" containsNumber="1" minValue="0" maxValue="20.499999999999996"/>
    </cacheField>
    <cacheField name="H.N" numFmtId="2">
      <sharedItems containsSemiMixedTypes="0" containsString="0" containsNumber="1" minValue="0" maxValue="9"/>
    </cacheField>
    <cacheField name="H.E" numFmtId="1">
      <sharedItems containsSemiMixedTypes="0" containsString="0" containsNumber="1" minValue="0" maxValue="12.499999999999998"/>
    </cacheField>
    <cacheField name="COS.BASE 2" numFmtId="2">
      <sharedItems containsSemiMixedTypes="0" containsString="0" containsNumber="1" minValue="0" maxValue="116.06"/>
    </cacheField>
    <cacheField name="COS.BASE 3" numFmtId="2">
      <sharedItems containsSemiMixedTypes="0" containsString="0" containsNumber="1" minValue="0" maxValue="14.5075"/>
    </cacheField>
    <cacheField name="COS.B+E" numFmtId="2">
      <sharedItems containsSemiMixedTypes="0" containsString="0" containsNumber="1" minValue="0" maxValue="116.06"/>
    </cacheField>
    <cacheField name="F" numFmtId="1">
      <sharedItems containsSemiMixedTypes="0" containsString="0" containsNumber="1" containsInteger="1" minValue="0" maxValue="0"/>
    </cacheField>
    <cacheField name="D" numFmtId="1">
      <sharedItems containsSemiMixedTypes="0" containsString="0" containsNumber="1" containsInteger="1" minValue="0" maxValue="1"/>
    </cacheField>
    <cacheField name="COS.F1" numFmtId="2">
      <sharedItems containsSemiMixedTypes="0" containsString="0" containsNumber="1" containsInteger="1" minValue="0" maxValue="0"/>
    </cacheField>
    <cacheField name="COS.D1" numFmtId="2">
      <sharedItems containsSemiMixedTypes="0" containsString="0" containsNumber="1" minValue="0" maxValue="73.72"/>
    </cacheField>
    <cacheField name="COS F2" numFmtId="2">
      <sharedItems/>
    </cacheField>
    <cacheField name="COS D2" numFmtId="2">
      <sharedItems/>
    </cacheField>
    <cacheField name="ALIMENTACION" numFmtId="0">
      <sharedItems containsNonDate="0" containsString="0" containsBlank="1"/>
    </cacheField>
    <cacheField name="PRESTAMO" numFmtId="0">
      <sharedItems containsNonDate="0" containsString="0" containsBlank="1"/>
    </cacheField>
    <cacheField name="PASAJES" numFmtId="0">
      <sharedItems containsNonDate="0" containsString="0" containsBlank="1"/>
    </cacheField>
    <cacheField name="MONTO 4 TA" numFmtId="2">
      <sharedItems containsSemiMixedTypes="0" containsString="0" containsNumber="1" minValue="0" maxValue="147.44"/>
    </cacheField>
    <cacheField name="MONTO 5TA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2">
  <r>
    <s v="viernes"/>
    <s v="PLANTA"/>
    <x v="0"/>
    <s v="may-YY"/>
    <x v="0"/>
    <x v="0"/>
    <s v="TECNICO MECANICO MONTAJISTA DE MAQUINARIA"/>
    <x v="0"/>
    <x v="0"/>
    <n v="1"/>
    <n v="46108491"/>
    <n v="50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49.999999999999986"/>
    <n v="6.2499999999999982"/>
    <n v="49.999999999999986"/>
    <n v="0"/>
    <n v="0"/>
    <n v="0"/>
    <n v="0"/>
    <s v=" "/>
    <s v=" "/>
    <m/>
    <m/>
    <m/>
    <n v="49.999999999999986"/>
    <e v="#REF!"/>
  </r>
  <r>
    <s v="viernes"/>
    <s v="PLANTA"/>
    <x v="0"/>
    <s v="may-YY"/>
    <x v="1"/>
    <x v="1"/>
    <s v="OPERARIO ELECTRICO"/>
    <x v="1"/>
    <x v="0"/>
    <n v="1"/>
    <n v="75557820"/>
    <n v="50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49.999999999999986"/>
    <n v="6.2499999999999982"/>
    <n v="49.999999999999986"/>
    <n v="0"/>
    <n v="0"/>
    <n v="0"/>
    <n v="0"/>
    <s v=" "/>
    <s v=" "/>
    <m/>
    <m/>
    <m/>
    <n v="49.999999999999986"/>
    <e v="#REF!"/>
  </r>
  <r>
    <s v="viernes"/>
    <s v="OBRA"/>
    <x v="0"/>
    <s v="may-YY"/>
    <x v="0"/>
    <x v="1"/>
    <s v="OPERARIO ELECTRICO"/>
    <x v="2"/>
    <x v="0"/>
    <n v="2"/>
    <n v="46801821"/>
    <n v="43.5"/>
    <d v="1899-12-30T07:00:00"/>
    <d v="1899-12-30T13:00:00"/>
    <d v="1899-12-30T14:00:00"/>
    <d v="1899-12-30T18:00:00"/>
    <d v="1899-12-30T10:00:00"/>
    <d v="1899-12-30T08:00:00"/>
    <d v="1899-12-30T02:00:00"/>
    <n v="1"/>
    <n v="1"/>
    <n v="6.796875"/>
    <n v="7.3406250000000002"/>
    <n v="14.137499999999999"/>
    <m/>
    <n v="9.9999999999999982"/>
    <n v="8"/>
    <n v="1.9999999999999982"/>
    <n v="43.5"/>
    <n v="5.4375"/>
    <n v="57.637500000000003"/>
    <n v="0"/>
    <n v="0"/>
    <n v="0"/>
    <n v="0"/>
    <s v=" "/>
    <s v=" "/>
    <m/>
    <m/>
    <m/>
    <n v="57.637500000000003"/>
    <e v="#REF!"/>
  </r>
  <r>
    <s v="viernes"/>
    <s v="PLANTA"/>
    <x v="0"/>
    <s v="may-YY"/>
    <x v="0"/>
    <x v="2"/>
    <s v="OPERARIO SOLDADOR"/>
    <x v="3"/>
    <x v="0"/>
    <n v="1"/>
    <n v="10664396"/>
    <n v="60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59.999999999999993"/>
    <n v="7.4999999999999991"/>
    <n v="59.999999999999993"/>
    <n v="0"/>
    <n v="0"/>
    <n v="0"/>
    <n v="0"/>
    <s v=" "/>
    <s v=" "/>
    <m/>
    <m/>
    <m/>
    <n v="59.999999999999993"/>
    <e v="#REF!"/>
  </r>
  <r>
    <s v="viernes"/>
    <s v="FALTA"/>
    <x v="0"/>
    <s v="may-YY"/>
    <x v="1"/>
    <x v="2"/>
    <s v="OPERARIO SOLDADOR"/>
    <x v="4"/>
    <x v="0"/>
    <n v="4"/>
    <n v="71995358"/>
    <n v="4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viernes"/>
    <s v="OBRA"/>
    <x v="0"/>
    <s v="may-YY"/>
    <x v="0"/>
    <x v="3"/>
    <s v="MECANICO MONTAJISTA DE MAQUINARIA EXTRANJERA"/>
    <x v="5"/>
    <x v="0"/>
    <n v="2"/>
    <n v="27291529"/>
    <n v="72.540000000000006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72.540000000000006"/>
    <n v="9.0675000000000008"/>
    <n v="72.540000000000006"/>
    <n v="0"/>
    <n v="0"/>
    <n v="0"/>
    <n v="0"/>
    <s v=" "/>
    <s v=" "/>
    <m/>
    <m/>
    <m/>
    <n v="72.540000000000006"/>
    <e v="#REF!"/>
  </r>
  <r>
    <s v="viernes"/>
    <s v="PLANTA"/>
    <x v="0"/>
    <s v="may-YY"/>
    <x v="0"/>
    <x v="4"/>
    <s v="TECNICO ELECTRICO MONTAJISTA DE MAQUINARIA"/>
    <x v="6"/>
    <x v="0"/>
    <n v="1"/>
    <n v="47711616"/>
    <n v="47.73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47.729999999999983"/>
    <n v="5.9662499999999978"/>
    <n v="47.729999999999983"/>
    <n v="0"/>
    <n v="0"/>
    <n v="0"/>
    <n v="0"/>
    <s v=" "/>
    <s v=" "/>
    <m/>
    <m/>
    <m/>
    <n v="47.729999999999983"/>
    <e v="#REF!"/>
  </r>
  <r>
    <s v="viernes"/>
    <s v="OBRA"/>
    <x v="0"/>
    <s v="may-YY"/>
    <x v="0"/>
    <x v="5"/>
    <s v="TECNICO MECANICO MONTAJISTA DE NAVE INDUSTRIAL"/>
    <x v="7"/>
    <x v="0"/>
    <n v="2"/>
    <n v="48237026"/>
    <n v="52.2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52.2"/>
    <n v="6.5250000000000004"/>
    <n v="52.2"/>
    <n v="0"/>
    <n v="0"/>
    <n v="0"/>
    <n v="0"/>
    <s v=" "/>
    <s v=" "/>
    <m/>
    <m/>
    <m/>
    <n v="52.2"/>
    <e v="#REF!"/>
  </r>
  <r>
    <s v="viernes"/>
    <s v="OBRA"/>
    <x v="0"/>
    <s v="may-YY"/>
    <x v="0"/>
    <x v="6"/>
    <s v="TECNICO ELECTRICO MONTAJISTA DE MAQUINARIA EXTRANJERA"/>
    <x v="8"/>
    <x v="0"/>
    <n v="2"/>
    <n v="47055982"/>
    <n v="73.72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73.72"/>
    <n v="9.2149999999999999"/>
    <n v="73.72"/>
    <n v="0"/>
    <n v="0"/>
    <n v="0"/>
    <n v="0"/>
    <s v=" "/>
    <s v=" "/>
    <m/>
    <m/>
    <m/>
    <n v="73.72"/>
    <e v="#REF!"/>
  </r>
  <r>
    <s v="viernes"/>
    <s v="OBRA"/>
    <x v="0"/>
    <s v="may-YY"/>
    <x v="0"/>
    <x v="7"/>
    <s v="AYUDANTE DE PRODUCCION"/>
    <x v="9"/>
    <x v="0"/>
    <n v="2"/>
    <n v="48359730"/>
    <n v="5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55"/>
    <n v="6.875"/>
    <n v="55"/>
    <n v="0"/>
    <n v="0"/>
    <n v="0"/>
    <n v="0"/>
    <s v=" "/>
    <s v=" "/>
    <m/>
    <m/>
    <m/>
    <n v="55"/>
    <e v="#REF!"/>
  </r>
  <r>
    <s v="viernes"/>
    <s v="PLANTA"/>
    <x v="0"/>
    <s v="may-YY"/>
    <x v="0"/>
    <x v="2"/>
    <s v="OPERARIO SOLDADOR"/>
    <x v="10"/>
    <x v="0"/>
    <n v="1"/>
    <n v="74359947"/>
    <n v="57.62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57.62"/>
    <n v="7.2024999999999997"/>
    <n v="57.62"/>
    <n v="0"/>
    <n v="0"/>
    <n v="0"/>
    <n v="0"/>
    <s v=" "/>
    <s v=" "/>
    <m/>
    <m/>
    <m/>
    <n v="57.62"/>
    <e v="#REF!"/>
  </r>
  <r>
    <s v="viernes"/>
    <s v="PLANTA"/>
    <x v="0"/>
    <s v="may-YY"/>
    <x v="0"/>
    <x v="0"/>
    <s v="TECNICO MECANICO MONTAJISTA DE MAQUINARIA"/>
    <x v="11"/>
    <x v="0"/>
    <n v="1"/>
    <n v="47321409"/>
    <n v="65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64.999999999999986"/>
    <n v="8.1249999999999982"/>
    <n v="64.999999999999986"/>
    <n v="0"/>
    <n v="0"/>
    <n v="0"/>
    <n v="0"/>
    <s v=" "/>
    <s v=" "/>
    <m/>
    <m/>
    <m/>
    <n v="64.999999999999986"/>
    <e v="#REF!"/>
  </r>
  <r>
    <s v="viernes"/>
    <s v="OBRA"/>
    <x v="0"/>
    <s v="may-YY"/>
    <x v="0"/>
    <x v="8"/>
    <s v="TECNICO MECANICO MONTAJISTA DE MAQUINARIA EXTRANJERA"/>
    <x v="12"/>
    <x v="0"/>
    <n v="2"/>
    <n v="70133802"/>
    <n v="66.92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6.92"/>
    <n v="8.3650000000000002"/>
    <n v="66.92"/>
    <n v="0"/>
    <n v="0"/>
    <n v="0"/>
    <n v="0"/>
    <s v=" "/>
    <s v=" "/>
    <m/>
    <m/>
    <m/>
    <n v="66.92"/>
    <e v="#REF!"/>
  </r>
  <r>
    <s v="viernes"/>
    <s v="PLANTA"/>
    <x v="0"/>
    <s v="may-YY"/>
    <x v="1"/>
    <x v="7"/>
    <s v="TECNICO SOLDADOR"/>
    <x v="13"/>
    <x v="0"/>
    <n v="1"/>
    <n v="75494335"/>
    <n v="90"/>
    <d v="1899-12-30T07:00:00"/>
    <d v="1899-12-30T13:00:00"/>
    <d v="1899-12-30T13:15:00"/>
    <d v="1899-12-30T16:15:00"/>
    <d v="1899-12-30T09:00:00"/>
    <d v="1899-12-30T09:00:00"/>
    <d v="1899-12-30T00:00:00"/>
    <m/>
    <m/>
    <n v="0"/>
    <n v="0"/>
    <n v="0"/>
    <m/>
    <n v="8.9999999999999982"/>
    <n v="8.9999999999999982"/>
    <n v="0"/>
    <n v="89.999999999999986"/>
    <n v="11.249999999999998"/>
    <n v="89.999999999999986"/>
    <n v="0"/>
    <n v="0"/>
    <n v="0"/>
    <n v="0"/>
    <s v=" "/>
    <s v=" "/>
    <m/>
    <m/>
    <m/>
    <n v="89.999999999999986"/>
    <e v="#REF!"/>
  </r>
  <r>
    <s v="viernes"/>
    <s v="PLANTA"/>
    <x v="0"/>
    <s v="may-YY"/>
    <x v="0"/>
    <x v="7"/>
    <s v="AYUDANTE DE PRODUCCION"/>
    <x v="14"/>
    <x v="0"/>
    <n v="1"/>
    <n v="76288149"/>
    <n v="44.32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44.32"/>
    <n v="5.54"/>
    <n v="44.32"/>
    <n v="0"/>
    <n v="0"/>
    <n v="0"/>
    <n v="0"/>
    <s v=" "/>
    <s v=" "/>
    <m/>
    <m/>
    <m/>
    <n v="44.32"/>
    <e v="#REF!"/>
  </r>
  <r>
    <s v="viernes"/>
    <s v="OBRA"/>
    <x v="0"/>
    <s v="may-YY"/>
    <x v="0"/>
    <x v="7"/>
    <s v="AYUDANTE DE PRODUCCION"/>
    <x v="15"/>
    <x v="0"/>
    <n v="2"/>
    <n v="75809362"/>
    <n v="6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5"/>
    <n v="8.125"/>
    <n v="65"/>
    <n v="0"/>
    <n v="0"/>
    <n v="0"/>
    <n v="0"/>
    <s v=" "/>
    <s v=" "/>
    <m/>
    <m/>
    <m/>
    <n v="65"/>
    <e v="#REF!"/>
  </r>
  <r>
    <s v="viernes"/>
    <s v="PLANTA"/>
    <x v="0"/>
    <s v="may-YY"/>
    <x v="1"/>
    <x v="2"/>
    <s v="OPERARIO SOLDADOR"/>
    <x v="16"/>
    <x v="0"/>
    <n v="1"/>
    <n v="42558469"/>
    <n v="60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0"/>
    <n v="7.5"/>
    <n v="60"/>
    <n v="0"/>
    <n v="0"/>
    <n v="0"/>
    <n v="0"/>
    <s v=" "/>
    <s v=" "/>
    <m/>
    <m/>
    <m/>
    <n v="60"/>
    <e v="#REF!"/>
  </r>
  <r>
    <s v="viernes"/>
    <s v="PLANTA"/>
    <x v="0"/>
    <s v="may-YY"/>
    <x v="0"/>
    <x v="9"/>
    <s v="MAESTRO MECANICO MONTAJISTA DE MAQUINARIA"/>
    <x v="17"/>
    <x v="0"/>
    <n v="1"/>
    <n v="48046568"/>
    <n v="68.150000000000006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68.149999999999991"/>
    <n v="8.5187499999999989"/>
    <n v="68.149999999999991"/>
    <n v="0"/>
    <n v="0"/>
    <n v="0"/>
    <n v="0"/>
    <s v=" "/>
    <s v=" "/>
    <m/>
    <m/>
    <m/>
    <n v="68.149999999999991"/>
    <e v="#REF!"/>
  </r>
  <r>
    <s v="viernes"/>
    <s v="PLANTA"/>
    <x v="0"/>
    <s v="may-YY"/>
    <x v="0"/>
    <x v="7"/>
    <s v="AYUDANTE DE PRODUCCION"/>
    <x v="18"/>
    <x v="0"/>
    <n v="1"/>
    <n v="75790434"/>
    <n v="35.81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27.852222222222224"/>
    <n v="3.481527777777778"/>
    <n v="27.852222222222224"/>
    <n v="0"/>
    <n v="0"/>
    <n v="0"/>
    <n v="0"/>
    <s v=" "/>
    <s v=" "/>
    <m/>
    <m/>
    <m/>
    <n v="27.852222222222224"/>
    <e v="#REF!"/>
  </r>
  <r>
    <s v="viernes"/>
    <s v="OBRA"/>
    <x v="0"/>
    <s v="may-YY"/>
    <x v="1"/>
    <x v="10"/>
    <s v="TECNICO SOLDADOR"/>
    <x v="19"/>
    <x v="0"/>
    <n v="2"/>
    <n v="45545014"/>
    <n v="6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0"/>
    <n v="7.5"/>
    <n v="60"/>
    <n v="0"/>
    <n v="0"/>
    <n v="0"/>
    <n v="0"/>
    <s v=" "/>
    <s v=" "/>
    <m/>
    <m/>
    <m/>
    <n v="60"/>
    <e v="#REF!"/>
  </r>
  <r>
    <s v="viernes"/>
    <s v="OBRA"/>
    <x v="0"/>
    <s v="may-YY"/>
    <x v="0"/>
    <x v="11"/>
    <s v="SUPERVISOR DE MONTAJE Y DESMONTAJE"/>
    <x v="20"/>
    <x v="0"/>
    <n v="2"/>
    <n v="45327555"/>
    <n v="62.31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2.31"/>
    <n v="7.7887500000000003"/>
    <n v="62.31"/>
    <n v="0"/>
    <n v="0"/>
    <n v="0"/>
    <n v="0"/>
    <s v=" "/>
    <s v=" "/>
    <m/>
    <m/>
    <m/>
    <n v="62.31"/>
    <e v="#REF!"/>
  </r>
  <r>
    <s v="viernes"/>
    <s v="PLANTA"/>
    <x v="0"/>
    <s v="may-YY"/>
    <x v="0"/>
    <x v="8"/>
    <s v="TECNICO MECANICO MONTAJISTA DE MAQUINARIA EXTRANJERA"/>
    <x v="21"/>
    <x v="0"/>
    <n v="1"/>
    <n v="46228460"/>
    <n v="67.66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7.66"/>
    <n v="8.4574999999999996"/>
    <n v="67.66"/>
    <n v="0"/>
    <n v="0"/>
    <n v="0"/>
    <n v="0"/>
    <s v=" "/>
    <s v=" "/>
    <m/>
    <m/>
    <m/>
    <n v="67.66"/>
    <e v="#REF!"/>
  </r>
  <r>
    <s v="viernes"/>
    <s v="OBRA"/>
    <x v="0"/>
    <s v="may-YY"/>
    <x v="0"/>
    <x v="7"/>
    <s v="AYUDANTE DE PRODUCCION"/>
    <x v="22"/>
    <x v="0"/>
    <n v="2"/>
    <n v="75913657"/>
    <n v="6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0"/>
    <n v="7.5"/>
    <n v="60"/>
    <n v="0"/>
    <n v="0"/>
    <n v="0"/>
    <n v="0"/>
    <s v=" "/>
    <s v=" "/>
    <m/>
    <m/>
    <m/>
    <n v="60"/>
    <e v="#REF!"/>
  </r>
  <r>
    <s v="viernes"/>
    <s v="PLANTA"/>
    <x v="0"/>
    <s v="may-YY"/>
    <x v="0"/>
    <x v="12"/>
    <s v="MAESTRO SOLDADOR 3G"/>
    <x v="23"/>
    <x v="0"/>
    <n v="1"/>
    <n v="47466045"/>
    <n v="70.38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70.379999999999981"/>
    <n v="8.7974999999999977"/>
    <n v="70.379999999999981"/>
    <n v="0"/>
    <n v="0"/>
    <n v="0"/>
    <n v="0"/>
    <s v=" "/>
    <s v=" "/>
    <m/>
    <m/>
    <m/>
    <n v="70.379999999999981"/>
    <e v="#REF!"/>
  </r>
  <r>
    <s v="viernes"/>
    <s v="OBRA"/>
    <x v="0"/>
    <s v="may-YY"/>
    <x v="0"/>
    <x v="13"/>
    <s v="AYUDANTE DE PRODUCCION"/>
    <x v="24"/>
    <x v="0"/>
    <n v="2"/>
    <n v="62188868"/>
    <n v="39.1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39.15"/>
    <n v="4.8937499999999998"/>
    <n v="39.15"/>
    <n v="0"/>
    <n v="0"/>
    <n v="0"/>
    <n v="0"/>
    <s v=" "/>
    <s v=" "/>
    <m/>
    <m/>
    <m/>
    <n v="39.15"/>
    <e v="#REF!"/>
  </r>
  <r>
    <s v="viernes"/>
    <s v="OBRA"/>
    <x v="0"/>
    <s v="may-YY"/>
    <x v="0"/>
    <x v="0"/>
    <s v="TECNICO MECANICO MONTAJISTA DE MAQUINARIA"/>
    <x v="25"/>
    <x v="0"/>
    <n v="2"/>
    <n v="73541627"/>
    <n v="5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55"/>
    <n v="6.875"/>
    <n v="55"/>
    <n v="0"/>
    <n v="0"/>
    <n v="0"/>
    <n v="0"/>
    <s v=" "/>
    <s v=" "/>
    <m/>
    <m/>
    <m/>
    <n v="55"/>
    <e v="#REF!"/>
  </r>
  <r>
    <s v="viernes"/>
    <s v="OBRA"/>
    <x v="0"/>
    <s v="may-YY"/>
    <x v="0"/>
    <x v="8"/>
    <s v="TECNICO MECANICO MONTAJISTA DE MAQUINARIA EXTRANJERA"/>
    <x v="26"/>
    <x v="0"/>
    <n v="2"/>
    <n v="76811302"/>
    <n v="6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0"/>
    <n v="7.5"/>
    <n v="60"/>
    <n v="0"/>
    <n v="0"/>
    <n v="0"/>
    <n v="0"/>
    <s v=" "/>
    <s v=" "/>
    <m/>
    <m/>
    <m/>
    <n v="60"/>
    <e v="#REF!"/>
  </r>
  <r>
    <s v="viernes"/>
    <s v="OBRA"/>
    <x v="0"/>
    <s v="may-YY"/>
    <x v="2"/>
    <x v="13"/>
    <s v="AYUDANTE DE PRODUCCION"/>
    <x v="27"/>
    <x v="0"/>
    <n v="2"/>
    <n v="76457697"/>
    <n v="4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45"/>
    <n v="5.625"/>
    <n v="45"/>
    <n v="0"/>
    <n v="0"/>
    <n v="0"/>
    <n v="0"/>
    <s v=" "/>
    <s v=" "/>
    <m/>
    <m/>
    <m/>
    <n v="45"/>
    <e v="#REF!"/>
  </r>
  <r>
    <s v="viernes"/>
    <s v="OBRA"/>
    <x v="0"/>
    <s v="may-YY"/>
    <x v="3"/>
    <x v="7"/>
    <n v="0"/>
    <x v="28"/>
    <x v="0"/>
    <n v="2"/>
    <n v="75561146"/>
    <n v="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0"/>
    <n v="0"/>
    <n v="0"/>
    <n v="0"/>
    <n v="0"/>
    <n v="0"/>
    <n v="0"/>
    <s v=" "/>
    <s v=" "/>
    <m/>
    <m/>
    <m/>
    <n v="0"/>
    <e v="#REF!"/>
  </r>
  <r>
    <s v="viernes"/>
    <s v="PLANTA"/>
    <x v="0"/>
    <s v="may-YY"/>
    <x v="3"/>
    <x v="7"/>
    <n v="0"/>
    <x v="29"/>
    <x v="0"/>
    <n v="1"/>
    <n v="76847602"/>
    <n v="0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0"/>
    <n v="0"/>
    <n v="0"/>
    <n v="0"/>
    <n v="0"/>
    <n v="0"/>
    <n v="0"/>
    <s v=" "/>
    <s v=" "/>
    <m/>
    <m/>
    <m/>
    <n v="0"/>
    <e v="#REF!"/>
  </r>
  <r>
    <s v="viernes"/>
    <s v="FALTA"/>
    <x v="0"/>
    <s v="may-YY"/>
    <x v="0"/>
    <x v="10"/>
    <s v="TECNICO SOLDADOR"/>
    <x v="30"/>
    <x v="0"/>
    <n v="4"/>
    <n v="46933574"/>
    <n v="6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viernes"/>
    <s v="PLANTA"/>
    <x v="0"/>
    <s v="may-YY"/>
    <x v="0"/>
    <x v="7"/>
    <n v="0"/>
    <x v="31"/>
    <x v="0"/>
    <n v="1"/>
    <n v="41234982"/>
    <n v="0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0"/>
    <n v="0"/>
    <n v="0"/>
    <n v="0"/>
    <n v="0"/>
    <n v="0"/>
    <n v="0"/>
    <s v=" "/>
    <s v=" "/>
    <m/>
    <m/>
    <m/>
    <n v="0"/>
    <e v="#REF!"/>
  </r>
  <r>
    <s v="viernes"/>
    <s v="PLANTA"/>
    <x v="0"/>
    <s v="may-YY"/>
    <x v="0"/>
    <x v="5"/>
    <s v="TECNICO MECANICO MONTAJISTA DE NAVE INDUSTRIAL"/>
    <x v="32"/>
    <x v="0"/>
    <n v="1"/>
    <n v="45821420"/>
    <n v="56.55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56.54999999999999"/>
    <n v="7.0687499999999988"/>
    <n v="56.54999999999999"/>
    <n v="0"/>
    <n v="0"/>
    <n v="0"/>
    <n v="0"/>
    <s v=" "/>
    <s v=" "/>
    <m/>
    <m/>
    <m/>
    <n v="56.54999999999999"/>
    <e v="#REF!"/>
  </r>
  <r>
    <s v="viernes"/>
    <s v="PLANTA"/>
    <x v="0"/>
    <s v="may-YY"/>
    <x v="0"/>
    <x v="10"/>
    <s v="TECNICO SOLDADOR"/>
    <x v="33"/>
    <x v="0"/>
    <n v="1"/>
    <n v="47887505"/>
    <n v="66.48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66.48"/>
    <n v="8.31"/>
    <n v="66.48"/>
    <n v="0"/>
    <n v="0"/>
    <n v="0"/>
    <n v="0"/>
    <s v=" "/>
    <s v=" "/>
    <m/>
    <m/>
    <m/>
    <n v="66.48"/>
    <e v="#REF!"/>
  </r>
  <r>
    <s v="viernes"/>
    <s v="OBRA"/>
    <x v="0"/>
    <s v="may-YY"/>
    <x v="0"/>
    <x v="7"/>
    <n v="0"/>
    <x v="34"/>
    <x v="0"/>
    <n v="2"/>
    <n v="77226886"/>
    <n v="8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80"/>
    <n v="10"/>
    <n v="80"/>
    <n v="0"/>
    <n v="0"/>
    <n v="0"/>
    <n v="0"/>
    <s v=" "/>
    <s v=" "/>
    <m/>
    <m/>
    <m/>
    <n v="80"/>
    <e v="#REF!"/>
  </r>
  <r>
    <s v="viernes"/>
    <s v=" "/>
    <x v="0"/>
    <s v="may-YY"/>
    <x v="0"/>
    <x v="14"/>
    <s v="MECANICO MONTAJISTA DE MAQUINARIA"/>
    <x v="35"/>
    <x v="0"/>
    <m/>
    <n v="47942907"/>
    <n v="7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viernes"/>
    <s v="PLANTA"/>
    <x v="0"/>
    <s v="may-YY"/>
    <x v="0"/>
    <x v="0"/>
    <s v="TECNICO MECANICO MONTAJISTA DE MAQUINARIA"/>
    <x v="36"/>
    <x v="0"/>
    <n v="1"/>
    <n v="48372384"/>
    <n v="57.62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57.61999999999999"/>
    <n v="7.2024999999999988"/>
    <n v="57.61999999999999"/>
    <n v="0"/>
    <n v="0"/>
    <n v="0"/>
    <n v="0"/>
    <s v=" "/>
    <s v=" "/>
    <m/>
    <m/>
    <m/>
    <n v="57.61999999999999"/>
    <e v="#REF!"/>
  </r>
  <r>
    <s v="viernes"/>
    <s v="PLANTA"/>
    <x v="0"/>
    <s v="may-YY"/>
    <x v="0"/>
    <x v="9"/>
    <s v="MAESTRO MECANICO MONTAJISTA DE MAQUINARIA"/>
    <x v="37"/>
    <x v="0"/>
    <n v="1"/>
    <n v="42308744"/>
    <n v="87.1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87.09999999999998"/>
    <n v="10.887499999999998"/>
    <n v="87.09999999999998"/>
    <n v="0"/>
    <n v="0"/>
    <n v="0"/>
    <n v="0"/>
    <s v=" "/>
    <s v=" "/>
    <m/>
    <m/>
    <m/>
    <n v="87.09999999999998"/>
    <e v="#REF!"/>
  </r>
  <r>
    <s v="viernes"/>
    <s v="OBRA"/>
    <x v="0"/>
    <s v="may-YY"/>
    <x v="1"/>
    <x v="12"/>
    <s v="MAESTRO SOLDADOR 3G"/>
    <x v="38"/>
    <x v="0"/>
    <n v="2"/>
    <n v="45486657"/>
    <n v="9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90"/>
    <n v="11.25"/>
    <n v="90"/>
    <n v="0"/>
    <n v="0"/>
    <n v="0"/>
    <n v="0"/>
    <s v=" "/>
    <s v=" "/>
    <m/>
    <m/>
    <m/>
    <n v="90"/>
    <e v="#REF!"/>
  </r>
  <r>
    <s v="viernes"/>
    <s v="OBRA"/>
    <x v="0"/>
    <s v="may-YY"/>
    <x v="0"/>
    <x v="15"/>
    <s v="MAESTRO ELECTRICO MONTAJISTA DE MAQUINARIA EXTRANJERA"/>
    <x v="39"/>
    <x v="0"/>
    <n v="2"/>
    <n v="45779525"/>
    <n v="116.06"/>
    <d v="1899-12-30T06:30:00"/>
    <m/>
    <m/>
    <d v="1899-12-30T13:00:00"/>
    <d v="1899-12-30T06:30:00"/>
    <d v="1899-12-30T06:30:00"/>
    <d v="1899-12-30T00:00:00"/>
    <m/>
    <m/>
    <n v="0"/>
    <n v="0"/>
    <n v="0"/>
    <m/>
    <n v="6.5"/>
    <n v="6.5"/>
    <n v="0"/>
    <n v="94.298749999999998"/>
    <n v="11.78734375"/>
    <n v="94.298749999999998"/>
    <n v="0"/>
    <n v="0"/>
    <n v="0"/>
    <n v="0"/>
    <s v=" "/>
    <s v=" "/>
    <m/>
    <m/>
    <m/>
    <n v="94.298749999999998"/>
    <e v="#REF!"/>
  </r>
  <r>
    <s v="viernes"/>
    <s v="FALTA"/>
    <x v="0"/>
    <s v="may-YY"/>
    <x v="0"/>
    <x v="12"/>
    <s v="MAESTRO SOLDADOR 3G"/>
    <x v="40"/>
    <x v="0"/>
    <n v="4"/>
    <n v="77423720"/>
    <n v="69.44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viernes"/>
    <s v="PLANTA"/>
    <x v="0"/>
    <s v="may-YY"/>
    <x v="0"/>
    <x v="16"/>
    <s v="MAESTRO SOLDADOR 6G MONTAJISTA DE MAQUINARIA"/>
    <x v="41"/>
    <x v="0"/>
    <n v="1"/>
    <n v="45035778"/>
    <n v="92.8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92.799999999999983"/>
    <n v="11.599999999999998"/>
    <n v="92.799999999999983"/>
    <n v="0"/>
    <n v="0"/>
    <n v="0"/>
    <n v="0"/>
    <s v=" "/>
    <s v=" "/>
    <m/>
    <m/>
    <m/>
    <n v="92.799999999999983"/>
    <e v="#REF!"/>
  </r>
  <r>
    <s v="viernes"/>
    <s v="OBRA"/>
    <x v="0"/>
    <s v="may-YY"/>
    <x v="0"/>
    <x v="17"/>
    <s v="MAESTRO MECANICO MONTAJISTA DE MAQUINARIA EXTRANJERA"/>
    <x v="42"/>
    <x v="0"/>
    <n v="2"/>
    <n v="72926564"/>
    <n v="88.27"/>
    <d v="1899-12-30T00:00:00"/>
    <d v="1899-12-30T07:00:00"/>
    <d v="1899-12-30T22:00:00"/>
    <d v="1899-12-30T23:59:00"/>
    <d v="1899-12-30T08:59:00"/>
    <d v="1899-12-30T08:00:00"/>
    <d v="1899-12-30T00:59:00"/>
    <m/>
    <m/>
    <n v="0"/>
    <n v="0"/>
    <n v="0"/>
    <m/>
    <n v="8.9833333333333343"/>
    <n v="8"/>
    <n v="0.98333333333333517"/>
    <n v="88.27"/>
    <n v="11.03375"/>
    <n v="88.27"/>
    <n v="0"/>
    <n v="0"/>
    <n v="0"/>
    <n v="0"/>
    <s v=" "/>
    <s v=" "/>
    <m/>
    <m/>
    <m/>
    <n v="88.27"/>
    <e v="#REF!"/>
  </r>
  <r>
    <s v="viernes"/>
    <s v="FALTA"/>
    <x v="0"/>
    <s v="may-YY"/>
    <x v="0"/>
    <x v="7"/>
    <s v="TECNICO SOLDADOR"/>
    <x v="43"/>
    <x v="0"/>
    <n v="4"/>
    <n v="72927801"/>
    <n v="6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viernes"/>
    <s v="OBRA"/>
    <x v="0"/>
    <s v="may-YY"/>
    <x v="0"/>
    <x v="3"/>
    <s v="MECANICO MONTAJISTA DE MAQUINARIA EXTRANJERA"/>
    <x v="44"/>
    <x v="0"/>
    <n v="2"/>
    <n v="45360771"/>
    <n v="94.35"/>
    <d v="1899-12-30T00:00:00"/>
    <d v="1899-12-30T07:00:00"/>
    <d v="1899-12-30T21:00:00"/>
    <d v="1899-12-30T23:00:00"/>
    <d v="1899-12-30T09:00:00"/>
    <d v="1899-12-30T08:00:00"/>
    <d v="1899-12-30T01:00:00"/>
    <m/>
    <m/>
    <n v="0"/>
    <n v="0"/>
    <n v="0"/>
    <m/>
    <n v="9.0000000000000018"/>
    <n v="8"/>
    <n v="1.0000000000000018"/>
    <n v="94.35"/>
    <n v="11.793749999999999"/>
    <n v="94.35"/>
    <n v="0"/>
    <n v="0"/>
    <n v="0"/>
    <n v="0"/>
    <s v=" "/>
    <s v=" "/>
    <m/>
    <m/>
    <m/>
    <n v="94.35"/>
    <e v="#REF!"/>
  </r>
  <r>
    <s v="viernes"/>
    <s v="OBRA"/>
    <x v="0"/>
    <s v="may-YY"/>
    <x v="0"/>
    <x v="7"/>
    <s v="TECNICO MECANICO MONTAJISTA DE NAVE INDUSTRIAL"/>
    <x v="45"/>
    <x v="0"/>
    <n v="2"/>
    <n v="44676684"/>
    <n v="7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70"/>
    <n v="8.75"/>
    <n v="70"/>
    <n v="0"/>
    <n v="0"/>
    <n v="0"/>
    <n v="0"/>
    <s v=" "/>
    <s v=" "/>
    <m/>
    <m/>
    <m/>
    <n v="70"/>
    <e v="#REF!"/>
  </r>
  <r>
    <s v="viernes"/>
    <s v=" "/>
    <x v="0"/>
    <s v="may-YY"/>
    <x v="1"/>
    <x v="7"/>
    <n v="0"/>
    <x v="46"/>
    <x v="0"/>
    <m/>
    <n v="71214531"/>
    <n v="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viernes"/>
    <s v="PLANTA"/>
    <x v="0"/>
    <s v="may-YY"/>
    <x v="0"/>
    <x v="0"/>
    <s v="TECNICO MECANICO MONTAJISTA DE MAQUINARIA"/>
    <x v="47"/>
    <x v="0"/>
    <n v="1"/>
    <n v="47158079"/>
    <n v="56.55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56.54999999999999"/>
    <n v="7.0687499999999988"/>
    <n v="56.54999999999999"/>
    <n v="0"/>
    <n v="0"/>
    <n v="0"/>
    <n v="0"/>
    <s v=" "/>
    <s v=" "/>
    <m/>
    <m/>
    <m/>
    <n v="56.54999999999999"/>
    <e v="#REF!"/>
  </r>
  <r>
    <s v="viernes"/>
    <s v="FALTA"/>
    <x v="0"/>
    <s v="may-YY"/>
    <x v="0"/>
    <x v="6"/>
    <s v="TECNICO ELECTRICO MONTAJISTA DE MAQUINARIA EXTRANJERA"/>
    <x v="48"/>
    <x v="0"/>
    <n v="4"/>
    <n v="76449683"/>
    <n v="73.87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viernes"/>
    <s v="FALTA"/>
    <x v="0"/>
    <s v="may-YY"/>
    <x v="0"/>
    <x v="3"/>
    <s v="MECANICO MONTAJISTA DE MAQUINARIA EXTRANJERA"/>
    <x v="49"/>
    <x v="0"/>
    <n v="4"/>
    <n v="43878459"/>
    <n v="79.78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viernes"/>
    <s v="FALTA"/>
    <x v="0"/>
    <s v="may-YY"/>
    <x v="0"/>
    <x v="3"/>
    <s v="MECANICO MONTAJISTA DE MAQUINARIA EXTRANJERA"/>
    <x v="50"/>
    <x v="0"/>
    <n v="4"/>
    <n v="46578402"/>
    <n v="103.42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viernes"/>
    <s v="OBRA"/>
    <x v="0"/>
    <s v="may-YY"/>
    <x v="0"/>
    <x v="7"/>
    <s v="PRACTICANTE "/>
    <x v="51"/>
    <x v="0"/>
    <n v="2"/>
    <n v="72814417"/>
    <n v="35.76"/>
    <d v="1899-12-30T07:00:00"/>
    <d v="1899-12-30T13:00:00"/>
    <d v="1899-12-30T14:00:00"/>
    <d v="1899-12-30T20:00:00"/>
    <d v="1899-12-30T12:00:00"/>
    <d v="1899-12-30T08:00:00"/>
    <d v="1899-12-30T04:00:00"/>
    <m/>
    <m/>
    <n v="0"/>
    <n v="0"/>
    <n v="0"/>
    <m/>
    <n v="11.999999999999998"/>
    <n v="8"/>
    <n v="3.9999999999999991"/>
    <n v="35.76"/>
    <n v="4.47"/>
    <n v="35.76"/>
    <n v="0"/>
    <n v="0"/>
    <n v="0"/>
    <n v="0"/>
    <s v=" "/>
    <s v=" "/>
    <m/>
    <m/>
    <m/>
    <n v="35.76"/>
    <e v="#REF!"/>
  </r>
  <r>
    <s v="viernes"/>
    <s v="OBRA"/>
    <x v="0"/>
    <s v="may-YY"/>
    <x v="0"/>
    <x v="3"/>
    <s v="MECANICO MONTAJISTA DE MAQUINARIA EXTRANJERA"/>
    <x v="52"/>
    <x v="0"/>
    <n v="2"/>
    <n v="45416906"/>
    <n v="87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87"/>
    <n v="10.875"/>
    <n v="87"/>
    <n v="0"/>
    <n v="0"/>
    <n v="0"/>
    <n v="0"/>
    <s v=" "/>
    <s v=" "/>
    <m/>
    <m/>
    <m/>
    <n v="87"/>
    <e v="#REF!"/>
  </r>
  <r>
    <s v="viernes"/>
    <s v="OBRA"/>
    <x v="0"/>
    <s v="may-YY"/>
    <x v="0"/>
    <x v="8"/>
    <s v="TECNICO MECANICO MONTAJISTA DE MAQUINARIA EXTRANJERA"/>
    <x v="53"/>
    <x v="0"/>
    <n v="2"/>
    <n v="44044783"/>
    <n v="70.92"/>
    <d v="1899-12-30T07:00:00"/>
    <d v="1899-12-30T13:00:00"/>
    <d v="1899-12-30T14:00:00"/>
    <d v="1899-12-30T20:00:00"/>
    <d v="1899-12-30T12:00:00"/>
    <d v="1899-12-30T08:00:00"/>
    <d v="1899-12-30T04:00:00"/>
    <m/>
    <m/>
    <n v="0"/>
    <n v="0"/>
    <n v="0"/>
    <m/>
    <n v="11.999999999999998"/>
    <n v="8"/>
    <n v="3.9999999999999991"/>
    <n v="70.92"/>
    <n v="8.8650000000000002"/>
    <n v="70.92"/>
    <n v="0"/>
    <n v="0"/>
    <n v="0"/>
    <n v="0"/>
    <s v=" "/>
    <s v=" "/>
    <m/>
    <m/>
    <m/>
    <n v="70.92"/>
    <e v="#REF!"/>
  </r>
  <r>
    <s v="viernes"/>
    <s v="OBRA"/>
    <x v="0"/>
    <s v="may-YY"/>
    <x v="0"/>
    <x v="15"/>
    <s v="MAESTRO ELECTRICO MONTAJISTA DE MAQUINARIA EXTRANJERA"/>
    <x v="54"/>
    <x v="0"/>
    <n v="2"/>
    <n v="44685832"/>
    <n v="88.47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88.47"/>
    <n v="11.05875"/>
    <n v="88.47"/>
    <n v="0"/>
    <n v="0"/>
    <n v="0"/>
    <n v="0"/>
    <s v=" "/>
    <s v=" "/>
    <m/>
    <m/>
    <m/>
    <n v="88.47"/>
    <e v="#REF!"/>
  </r>
  <r>
    <s v="viernes"/>
    <s v="PLANTA"/>
    <x v="0"/>
    <s v="may-YY"/>
    <x v="0"/>
    <x v="5"/>
    <s v="TECNICO MECANICO MONTAJISTA DE NAVE INDUSTRIAL"/>
    <x v="55"/>
    <x v="0"/>
    <n v="1"/>
    <n v="47749907"/>
    <n v="80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80"/>
    <n v="10"/>
    <n v="80"/>
    <n v="0"/>
    <n v="0"/>
    <n v="0"/>
    <n v="0"/>
    <s v=" "/>
    <s v=" "/>
    <m/>
    <m/>
    <m/>
    <n v="80"/>
    <e v="#REF!"/>
  </r>
  <r>
    <s v="viernes"/>
    <s v="OBRA"/>
    <x v="0"/>
    <s v="may-YY"/>
    <x v="0"/>
    <x v="18"/>
    <s v="MAESTRO PINTOR"/>
    <x v="56"/>
    <x v="0"/>
    <n v="2"/>
    <n v="46859101"/>
    <n v="7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70"/>
    <n v="8.75"/>
    <n v="70"/>
    <n v="0"/>
    <n v="0"/>
    <n v="0"/>
    <n v="0"/>
    <s v=" "/>
    <s v=" "/>
    <m/>
    <m/>
    <m/>
    <n v="70"/>
    <e v="#REF!"/>
  </r>
  <r>
    <s v="sábado"/>
    <s v="PLANTA"/>
    <x v="0"/>
    <s v="may-YY"/>
    <x v="0"/>
    <x v="0"/>
    <s v="TECNICO MECANICO MONTAJISTA DE MAQUINARIA"/>
    <x v="0"/>
    <x v="1"/>
    <n v="1"/>
    <n v="46108491"/>
    <n v="50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38.888888888888886"/>
    <n v="4.8611111111111107"/>
    <n v="38.888888888888886"/>
    <n v="0"/>
    <n v="0"/>
    <n v="0"/>
    <n v="0"/>
    <s v=" "/>
    <s v=" "/>
    <m/>
    <m/>
    <m/>
    <n v="38.888888888888886"/>
    <e v="#REF!"/>
  </r>
  <r>
    <s v="sábado"/>
    <s v="FALTA"/>
    <x v="0"/>
    <s v="may-YY"/>
    <x v="1"/>
    <x v="1"/>
    <s v="OPERARIO ELECTRICO"/>
    <x v="1"/>
    <x v="1"/>
    <n v="4"/>
    <n v="75557820"/>
    <n v="5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sábado"/>
    <s v="OBRA"/>
    <x v="0"/>
    <s v="may-YY"/>
    <x v="0"/>
    <x v="1"/>
    <s v="OPERARIO ELECTRICO"/>
    <x v="2"/>
    <x v="1"/>
    <n v="2"/>
    <n v="46801821"/>
    <n v="43.5"/>
    <d v="1899-12-30T07:00:00"/>
    <m/>
    <m/>
    <d v="1899-12-30T15:00:00"/>
    <d v="1899-12-30T08:00:00"/>
    <d v="1899-12-30T08:00:00"/>
    <d v="1899-12-30T00:00:00"/>
    <m/>
    <m/>
    <n v="0"/>
    <n v="0"/>
    <n v="0"/>
    <m/>
    <n v="8"/>
    <n v="8"/>
    <n v="0"/>
    <n v="43.5"/>
    <n v="5.4375"/>
    <n v="43.5"/>
    <n v="0"/>
    <n v="0"/>
    <n v="0"/>
    <n v="0"/>
    <s v=" "/>
    <s v=" "/>
    <m/>
    <m/>
    <m/>
    <n v="43.5"/>
    <e v="#REF!"/>
  </r>
  <r>
    <s v="sábado"/>
    <s v="PLANTA"/>
    <x v="0"/>
    <s v="may-YY"/>
    <x v="0"/>
    <x v="2"/>
    <s v="OPERARIO SOLDADOR"/>
    <x v="3"/>
    <x v="1"/>
    <n v="1"/>
    <n v="10664396"/>
    <n v="60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46.666666666666671"/>
    <n v="5.8333333333333339"/>
    <n v="46.666666666666671"/>
    <n v="0"/>
    <n v="0"/>
    <n v="0"/>
    <n v="0"/>
    <s v=" "/>
    <s v=" "/>
    <m/>
    <m/>
    <m/>
    <n v="46.666666666666671"/>
    <e v="#REF!"/>
  </r>
  <r>
    <s v="sábado"/>
    <s v="FALTA"/>
    <x v="0"/>
    <s v="may-YY"/>
    <x v="1"/>
    <x v="2"/>
    <s v="OPERARIO SOLDADOR"/>
    <x v="4"/>
    <x v="1"/>
    <n v="4"/>
    <n v="71995358"/>
    <n v="4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sábado"/>
    <s v="OBRA"/>
    <x v="0"/>
    <s v="may-YY"/>
    <x v="0"/>
    <x v="3"/>
    <s v="MECANICO MONTAJISTA DE MAQUINARIA EXTRANJERA"/>
    <x v="5"/>
    <x v="1"/>
    <n v="2"/>
    <n v="27291529"/>
    <n v="72.540000000000006"/>
    <d v="1899-12-30T07:00:00"/>
    <m/>
    <m/>
    <d v="1899-12-30T15:00:00"/>
    <d v="1899-12-30T08:00:00"/>
    <d v="1899-12-30T08:00:00"/>
    <d v="1899-12-30T00:00:00"/>
    <m/>
    <m/>
    <n v="0"/>
    <n v="0"/>
    <n v="0"/>
    <m/>
    <n v="8"/>
    <n v="8"/>
    <n v="0"/>
    <n v="72.540000000000006"/>
    <n v="9.0675000000000008"/>
    <n v="72.540000000000006"/>
    <n v="0"/>
    <n v="0"/>
    <n v="0"/>
    <n v="0"/>
    <s v=" "/>
    <s v=" "/>
    <m/>
    <m/>
    <m/>
    <n v="72.540000000000006"/>
    <e v="#REF!"/>
  </r>
  <r>
    <s v="sábado"/>
    <s v="PLANTA"/>
    <x v="0"/>
    <s v="may-YY"/>
    <x v="0"/>
    <x v="4"/>
    <s v="TECNICO ELECTRICO MONTAJISTA DE MAQUINARIA"/>
    <x v="6"/>
    <x v="1"/>
    <n v="1"/>
    <n v="47711616"/>
    <n v="47.73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37.123333333333328"/>
    <n v="4.640416666666666"/>
    <n v="37.123333333333328"/>
    <n v="0"/>
    <n v="0"/>
    <n v="0"/>
    <n v="0"/>
    <s v=" "/>
    <s v=" "/>
    <m/>
    <m/>
    <m/>
    <n v="37.123333333333328"/>
    <e v="#REF!"/>
  </r>
  <r>
    <s v="sábado"/>
    <s v="OBRA"/>
    <x v="0"/>
    <s v="may-YY"/>
    <x v="0"/>
    <x v="5"/>
    <s v="TECNICO MECANICO MONTAJISTA DE NAVE INDUSTRIAL"/>
    <x v="7"/>
    <x v="1"/>
    <n v="2"/>
    <n v="48237026"/>
    <n v="52.2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45.675000000000004"/>
    <n v="5.7093750000000005"/>
    <n v="45.675000000000004"/>
    <n v="0"/>
    <n v="0"/>
    <n v="0"/>
    <n v="0"/>
    <s v=" "/>
    <s v=" "/>
    <m/>
    <m/>
    <m/>
    <n v="45.675000000000004"/>
    <e v="#REF!"/>
  </r>
  <r>
    <s v="sábado"/>
    <s v="OBRA"/>
    <x v="0"/>
    <s v="may-YY"/>
    <x v="0"/>
    <x v="6"/>
    <s v="TECNICO ELECTRICO MONTAJISTA DE MAQUINARIA EXTRANJERA"/>
    <x v="8"/>
    <x v="1"/>
    <n v="2"/>
    <n v="47055982"/>
    <n v="73.72"/>
    <d v="1899-12-30T07:00:00"/>
    <d v="1899-12-30T11:00:00"/>
    <d v="1899-12-30T11:00:00"/>
    <d v="1899-12-30T22:00:00"/>
    <d v="1899-12-30T15:00:00"/>
    <d v="1899-12-30T08:00:00"/>
    <d v="1899-12-30T07:00:00"/>
    <m/>
    <m/>
    <n v="0"/>
    <n v="0"/>
    <n v="0"/>
    <m/>
    <n v="15"/>
    <n v="8"/>
    <n v="7"/>
    <n v="73.72"/>
    <n v="9.2149999999999999"/>
    <n v="73.72"/>
    <n v="0"/>
    <n v="0"/>
    <n v="0"/>
    <n v="0"/>
    <s v=" "/>
    <s v=" "/>
    <m/>
    <m/>
    <m/>
    <n v="73.72"/>
    <e v="#REF!"/>
  </r>
  <r>
    <s v="sábado"/>
    <s v="OBRA"/>
    <x v="0"/>
    <s v="may-YY"/>
    <x v="0"/>
    <x v="7"/>
    <s v="AYUDANTE DE PRODUCCION"/>
    <x v="9"/>
    <x v="1"/>
    <n v="2"/>
    <n v="48359730"/>
    <n v="55"/>
    <d v="1899-12-30T07:00:00"/>
    <m/>
    <m/>
    <d v="1899-12-30T12:00:00"/>
    <d v="1899-12-30T05:00:00"/>
    <d v="1899-12-30T05:00:00"/>
    <d v="1899-12-30T00:00:00"/>
    <m/>
    <m/>
    <n v="0"/>
    <n v="0"/>
    <n v="0"/>
    <m/>
    <n v="5"/>
    <n v="5"/>
    <n v="0"/>
    <n v="34.375"/>
    <n v="4.296875"/>
    <n v="34.375"/>
    <n v="0"/>
    <n v="0"/>
    <n v="0"/>
    <n v="0"/>
    <s v=" "/>
    <s v=" "/>
    <m/>
    <m/>
    <m/>
    <n v="34.375"/>
    <e v="#REF!"/>
  </r>
  <r>
    <s v="sábado"/>
    <s v="PLANTA"/>
    <x v="0"/>
    <s v="may-YY"/>
    <x v="0"/>
    <x v="2"/>
    <s v="OPERARIO SOLDADOR"/>
    <x v="10"/>
    <x v="1"/>
    <n v="1"/>
    <n v="74359947"/>
    <n v="57.62"/>
    <d v="1899-12-30T07:00:00"/>
    <d v="1899-12-30T13:00:00"/>
    <d v="1899-12-30T13:15:00"/>
    <d v="1899-12-30T16:15:00"/>
    <d v="1899-12-30T09:00:00"/>
    <d v="1899-12-30T09:00:00"/>
    <d v="1899-12-30T00:00:00"/>
    <m/>
    <m/>
    <n v="0"/>
    <n v="0"/>
    <n v="0"/>
    <m/>
    <n v="8.9999999999999982"/>
    <n v="8.9999999999999982"/>
    <n v="0"/>
    <n v="57.61999999999999"/>
    <n v="7.2024999999999988"/>
    <n v="57.61999999999999"/>
    <n v="0"/>
    <n v="0"/>
    <n v="0"/>
    <n v="0"/>
    <s v=" "/>
    <s v=" "/>
    <m/>
    <m/>
    <m/>
    <n v="57.61999999999999"/>
    <e v="#REF!"/>
  </r>
  <r>
    <s v="sábado"/>
    <s v="PLANTA"/>
    <x v="0"/>
    <s v="may-YY"/>
    <x v="0"/>
    <x v="0"/>
    <s v="TECNICO MECANICO MONTAJISTA DE MAQUINARIA"/>
    <x v="11"/>
    <x v="1"/>
    <n v="1"/>
    <n v="47321409"/>
    <n v="65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50.555555555555557"/>
    <n v="6.3194444444444446"/>
    <n v="50.555555555555557"/>
    <n v="0"/>
    <n v="0"/>
    <n v="0"/>
    <n v="0"/>
    <s v=" "/>
    <s v=" "/>
    <m/>
    <m/>
    <m/>
    <n v="50.555555555555557"/>
    <e v="#REF!"/>
  </r>
  <r>
    <s v="sábado"/>
    <s v="OBRA"/>
    <x v="0"/>
    <s v="may-YY"/>
    <x v="0"/>
    <x v="8"/>
    <s v="TECNICO MECANICO MONTAJISTA DE MAQUINARIA EXTRANJERA"/>
    <x v="12"/>
    <x v="1"/>
    <n v="2"/>
    <n v="70133802"/>
    <n v="66.92"/>
    <d v="1899-12-30T07:00:00"/>
    <m/>
    <m/>
    <d v="1899-12-30T15:00:00"/>
    <d v="1899-12-30T08:00:00"/>
    <d v="1899-12-30T08:00:00"/>
    <d v="1899-12-30T00:00:00"/>
    <m/>
    <m/>
    <n v="0"/>
    <n v="0"/>
    <n v="0"/>
    <m/>
    <n v="8"/>
    <n v="8"/>
    <n v="0"/>
    <n v="66.92"/>
    <n v="8.3650000000000002"/>
    <n v="66.92"/>
    <n v="0"/>
    <n v="0"/>
    <n v="0"/>
    <n v="0"/>
    <s v=" "/>
    <s v=" "/>
    <m/>
    <m/>
    <m/>
    <n v="66.92"/>
    <e v="#REF!"/>
  </r>
  <r>
    <s v="sábado"/>
    <s v="FALTA"/>
    <x v="0"/>
    <s v="may-YY"/>
    <x v="1"/>
    <x v="7"/>
    <s v="TECNICO SOLDADOR"/>
    <x v="13"/>
    <x v="1"/>
    <n v="4"/>
    <n v="75494335"/>
    <n v="9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sábado"/>
    <s v="PLANTA"/>
    <x v="0"/>
    <s v="may-YY"/>
    <x v="0"/>
    <x v="7"/>
    <s v="AYUDANTE DE PRODUCCION"/>
    <x v="14"/>
    <x v="1"/>
    <n v="1"/>
    <n v="76288149"/>
    <n v="44.32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34.471111111111107"/>
    <n v="4.3088888888888883"/>
    <n v="34.471111111111107"/>
    <n v="0"/>
    <n v="0"/>
    <n v="0"/>
    <n v="0"/>
    <s v=" "/>
    <s v=" "/>
    <m/>
    <m/>
    <m/>
    <n v="34.471111111111107"/>
    <e v="#REF!"/>
  </r>
  <r>
    <s v="sábado"/>
    <s v="OBRA"/>
    <x v="0"/>
    <s v="may-YY"/>
    <x v="0"/>
    <x v="7"/>
    <s v="AYUDANTE DE PRODUCCION"/>
    <x v="15"/>
    <x v="1"/>
    <n v="2"/>
    <n v="75809362"/>
    <n v="65"/>
    <d v="1899-12-30T07:00:00"/>
    <m/>
    <m/>
    <d v="1899-12-30T15:00:00"/>
    <d v="1899-12-30T08:00:00"/>
    <d v="1899-12-30T08:00:00"/>
    <d v="1899-12-30T00:00:00"/>
    <m/>
    <m/>
    <n v="0"/>
    <n v="0"/>
    <n v="0"/>
    <m/>
    <n v="8"/>
    <n v="8"/>
    <n v="0"/>
    <n v="65"/>
    <n v="8.125"/>
    <n v="65"/>
    <n v="0"/>
    <n v="0"/>
    <n v="0"/>
    <n v="0"/>
    <s v=" "/>
    <s v=" "/>
    <m/>
    <m/>
    <m/>
    <n v="65"/>
    <e v="#REF!"/>
  </r>
  <r>
    <s v="sábado"/>
    <s v="PLANTA"/>
    <x v="0"/>
    <s v="may-YY"/>
    <x v="1"/>
    <x v="2"/>
    <s v="OPERARIO SOLDADOR"/>
    <x v="16"/>
    <x v="1"/>
    <n v="1"/>
    <n v="42558469"/>
    <n v="60"/>
    <d v="1899-12-30T07:00:00"/>
    <d v="1899-12-30T13:00:00"/>
    <d v="1899-12-30T13:15:00"/>
    <d v="1899-12-30T16:15:00"/>
    <d v="1899-12-30T09:00:00"/>
    <d v="1899-12-30T09:00:00"/>
    <d v="1899-12-30T00:00:00"/>
    <m/>
    <m/>
    <n v="0"/>
    <n v="0"/>
    <n v="0"/>
    <m/>
    <n v="8.9999999999999982"/>
    <n v="8.9999999999999982"/>
    <n v="0"/>
    <n v="59.999999999999993"/>
    <n v="7.4999999999999991"/>
    <n v="59.999999999999993"/>
    <n v="0"/>
    <n v="0"/>
    <n v="0"/>
    <n v="0"/>
    <s v=" "/>
    <s v=" "/>
    <m/>
    <m/>
    <m/>
    <n v="59.999999999999993"/>
    <e v="#REF!"/>
  </r>
  <r>
    <s v="sábado"/>
    <s v="PLANTA"/>
    <x v="0"/>
    <s v="may-YY"/>
    <x v="0"/>
    <x v="9"/>
    <s v="MAESTRO MECANICO MONTAJISTA DE MAQUINARIA"/>
    <x v="17"/>
    <x v="1"/>
    <n v="1"/>
    <n v="48046568"/>
    <n v="68.150000000000006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53.00555555555556"/>
    <n v="6.625694444444445"/>
    <n v="53.00555555555556"/>
    <n v="0"/>
    <n v="0"/>
    <n v="0"/>
    <n v="0"/>
    <s v=" "/>
    <s v=" "/>
    <m/>
    <m/>
    <m/>
    <n v="53.00555555555556"/>
    <e v="#REF!"/>
  </r>
  <r>
    <s v="sábado"/>
    <s v="PLANTA"/>
    <x v="0"/>
    <s v="may-YY"/>
    <x v="0"/>
    <x v="7"/>
    <s v="AYUDANTE DE PRODUCCION"/>
    <x v="18"/>
    <x v="1"/>
    <n v="1"/>
    <n v="75790434"/>
    <n v="35.81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27.852222222222224"/>
    <n v="3.481527777777778"/>
    <n v="27.852222222222224"/>
    <n v="0"/>
    <n v="0"/>
    <n v="0"/>
    <n v="0"/>
    <s v=" "/>
    <s v=" "/>
    <m/>
    <m/>
    <m/>
    <n v="27.852222222222224"/>
    <e v="#REF!"/>
  </r>
  <r>
    <s v="sábado"/>
    <s v="OBRA"/>
    <x v="0"/>
    <s v="may-YY"/>
    <x v="1"/>
    <x v="10"/>
    <s v="TECNICO SOLDADOR"/>
    <x v="19"/>
    <x v="1"/>
    <n v="2"/>
    <n v="45545014"/>
    <n v="60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52.5"/>
    <n v="6.5625"/>
    <n v="52.5"/>
    <n v="0"/>
    <n v="0"/>
    <n v="0"/>
    <n v="0"/>
    <s v=" "/>
    <s v=" "/>
    <m/>
    <m/>
    <m/>
    <n v="52.5"/>
    <e v="#REF!"/>
  </r>
  <r>
    <s v="sábado"/>
    <s v="OBRA"/>
    <x v="0"/>
    <s v="may-YY"/>
    <x v="0"/>
    <x v="11"/>
    <s v="SUPERVISOR DE MONTAJE Y DESMONTAJE"/>
    <x v="20"/>
    <x v="1"/>
    <n v="2"/>
    <n v="45327555"/>
    <n v="62.31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2.31"/>
    <n v="7.7887500000000003"/>
    <n v="62.31"/>
    <n v="0"/>
    <n v="0"/>
    <n v="0"/>
    <n v="0"/>
    <s v=" "/>
    <s v=" "/>
    <m/>
    <m/>
    <m/>
    <n v="62.31"/>
    <e v="#REF!"/>
  </r>
  <r>
    <s v="sábado"/>
    <s v="PLANTA"/>
    <x v="0"/>
    <s v="may-YY"/>
    <x v="0"/>
    <x v="8"/>
    <s v="TECNICO MECANICO MONTAJISTA DE MAQUINARIA EXTRANJERA"/>
    <x v="21"/>
    <x v="1"/>
    <n v="1"/>
    <n v="46228460"/>
    <n v="67.66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52.624444444444435"/>
    <n v="6.5780555555555544"/>
    <n v="52.624444444444435"/>
    <n v="0"/>
    <n v="0"/>
    <n v="0"/>
    <n v="0"/>
    <s v=" "/>
    <s v=" "/>
    <m/>
    <m/>
    <m/>
    <n v="52.624444444444435"/>
    <e v="#REF!"/>
  </r>
  <r>
    <s v="sábado"/>
    <s v="OBRA"/>
    <x v="0"/>
    <s v="may-YY"/>
    <x v="0"/>
    <x v="7"/>
    <s v="AYUDANTE DE PRODUCCION"/>
    <x v="22"/>
    <x v="1"/>
    <n v="2"/>
    <n v="75913657"/>
    <n v="60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52.5"/>
    <n v="6.5625"/>
    <n v="52.5"/>
    <n v="0"/>
    <n v="0"/>
    <n v="0"/>
    <n v="0"/>
    <s v=" "/>
    <s v=" "/>
    <m/>
    <m/>
    <m/>
    <n v="52.5"/>
    <e v="#REF!"/>
  </r>
  <r>
    <s v="sábado"/>
    <s v="FALTA"/>
    <x v="0"/>
    <s v="may-YY"/>
    <x v="0"/>
    <x v="12"/>
    <s v="MAESTRO SOLDADOR 3G"/>
    <x v="23"/>
    <x v="1"/>
    <n v="4"/>
    <n v="47466045"/>
    <n v="70.38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sábado"/>
    <s v="OBRA"/>
    <x v="0"/>
    <s v="may-YY"/>
    <x v="0"/>
    <x v="13"/>
    <s v="AYUDANTE DE PRODUCCION"/>
    <x v="24"/>
    <x v="1"/>
    <n v="2"/>
    <n v="62188868"/>
    <n v="39.15"/>
    <d v="1899-12-30T07:00:00"/>
    <m/>
    <m/>
    <d v="1899-12-30T15:00:00"/>
    <d v="1899-12-30T08:00:00"/>
    <d v="1899-12-30T08:00:00"/>
    <d v="1899-12-30T00:00:00"/>
    <m/>
    <m/>
    <n v="0"/>
    <n v="0"/>
    <n v="0"/>
    <m/>
    <n v="8"/>
    <n v="8"/>
    <n v="0"/>
    <n v="39.15"/>
    <n v="4.8937499999999998"/>
    <n v="39.15"/>
    <n v="0"/>
    <n v="0"/>
    <n v="0"/>
    <n v="0"/>
    <s v=" "/>
    <s v=" "/>
    <m/>
    <m/>
    <m/>
    <n v="39.15"/>
    <e v="#REF!"/>
  </r>
  <r>
    <s v="sábado"/>
    <s v="OBRA"/>
    <x v="0"/>
    <s v="may-YY"/>
    <x v="0"/>
    <x v="0"/>
    <s v="TECNICO MECANICO MONTAJISTA DE MAQUINARIA"/>
    <x v="25"/>
    <x v="1"/>
    <n v="2"/>
    <n v="73541627"/>
    <n v="55"/>
    <d v="1899-12-30T07:00:00"/>
    <m/>
    <m/>
    <d v="1899-12-30T15:00:00"/>
    <d v="1899-12-30T08:00:00"/>
    <d v="1899-12-30T08:00:00"/>
    <d v="1899-12-30T00:00:00"/>
    <m/>
    <m/>
    <n v="0"/>
    <n v="0"/>
    <n v="0"/>
    <m/>
    <n v="8"/>
    <n v="8"/>
    <n v="0"/>
    <n v="55"/>
    <n v="6.875"/>
    <n v="55"/>
    <n v="0"/>
    <n v="0"/>
    <n v="0"/>
    <n v="0"/>
    <s v=" "/>
    <s v=" "/>
    <m/>
    <m/>
    <m/>
    <n v="55"/>
    <e v="#REF!"/>
  </r>
  <r>
    <s v="sábado"/>
    <s v="OBRA"/>
    <x v="0"/>
    <s v="may-YY"/>
    <x v="0"/>
    <x v="8"/>
    <s v="TECNICO MECANICO MONTAJISTA DE MAQUINARIA EXTRANJERA"/>
    <x v="26"/>
    <x v="1"/>
    <n v="2"/>
    <n v="76811302"/>
    <n v="6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0"/>
    <n v="7.5"/>
    <n v="60"/>
    <n v="0"/>
    <n v="0"/>
    <n v="0"/>
    <n v="0"/>
    <s v=" "/>
    <s v=" "/>
    <m/>
    <m/>
    <m/>
    <n v="60"/>
    <e v="#REF!"/>
  </r>
  <r>
    <s v="sábado"/>
    <s v="OBRA"/>
    <x v="0"/>
    <s v="may-YY"/>
    <x v="2"/>
    <x v="13"/>
    <s v="AYUDANTE DE PRODUCCION"/>
    <x v="27"/>
    <x v="1"/>
    <n v="2"/>
    <n v="76457697"/>
    <n v="45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39.375"/>
    <n v="4.921875"/>
    <n v="39.375"/>
    <n v="0"/>
    <n v="0"/>
    <n v="0"/>
    <n v="0"/>
    <s v=" "/>
    <s v=" "/>
    <m/>
    <m/>
    <m/>
    <n v="39.375"/>
    <e v="#REF!"/>
  </r>
  <r>
    <s v="sábado"/>
    <s v="OBRA"/>
    <x v="0"/>
    <s v="may-YY"/>
    <x v="3"/>
    <x v="7"/>
    <n v="0"/>
    <x v="28"/>
    <x v="1"/>
    <n v="2"/>
    <n v="75561146"/>
    <n v="0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0"/>
    <n v="0"/>
    <n v="0"/>
    <n v="0"/>
    <n v="0"/>
    <n v="0"/>
    <n v="0"/>
    <s v=" "/>
    <s v=" "/>
    <m/>
    <m/>
    <m/>
    <n v="0"/>
    <e v="#REF!"/>
  </r>
  <r>
    <s v="sábado"/>
    <s v="PLANTA"/>
    <x v="0"/>
    <s v="may-YY"/>
    <x v="3"/>
    <x v="7"/>
    <n v="0"/>
    <x v="29"/>
    <x v="1"/>
    <n v="1"/>
    <n v="76847602"/>
    <n v="0"/>
    <d v="1899-12-30T07:00:00"/>
    <d v="1899-12-30T13:00:00"/>
    <d v="1899-12-30T13:15:00"/>
    <d v="1899-12-30T16:15:00"/>
    <d v="1899-12-30T09:00:00"/>
    <d v="1899-12-30T09:00:00"/>
    <d v="1899-12-30T00:00:00"/>
    <m/>
    <m/>
    <n v="0"/>
    <n v="0"/>
    <n v="0"/>
    <m/>
    <n v="8.9999999999999982"/>
    <n v="8.9999999999999982"/>
    <n v="0"/>
    <n v="0"/>
    <n v="0"/>
    <n v="0"/>
    <n v="0"/>
    <n v="0"/>
    <n v="0"/>
    <n v="0"/>
    <s v=" "/>
    <s v=" "/>
    <m/>
    <m/>
    <m/>
    <n v="0"/>
    <e v="#REF!"/>
  </r>
  <r>
    <s v="sábado"/>
    <s v="FALTA"/>
    <x v="0"/>
    <s v="may-YY"/>
    <x v="0"/>
    <x v="10"/>
    <s v="TECNICO SOLDADOR"/>
    <x v="30"/>
    <x v="1"/>
    <n v="4"/>
    <n v="46933574"/>
    <n v="6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sábado"/>
    <s v="PLANTA"/>
    <x v="0"/>
    <s v="may-YY"/>
    <x v="0"/>
    <x v="7"/>
    <n v="0"/>
    <x v="31"/>
    <x v="1"/>
    <n v="1"/>
    <n v="41234982"/>
    <n v="0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0"/>
    <n v="0"/>
    <n v="0"/>
    <n v="0"/>
    <n v="0"/>
    <n v="0"/>
    <n v="0"/>
    <s v=" "/>
    <s v=" "/>
    <m/>
    <m/>
    <m/>
    <n v="0"/>
    <e v="#REF!"/>
  </r>
  <r>
    <s v="sábado"/>
    <s v="PLANTA"/>
    <x v="0"/>
    <s v="may-YY"/>
    <x v="0"/>
    <x v="5"/>
    <s v="TECNICO MECANICO MONTAJISTA DE NAVE INDUSTRIAL"/>
    <x v="32"/>
    <x v="1"/>
    <n v="1"/>
    <n v="45821420"/>
    <n v="56.55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43.983333333333334"/>
    <n v="5.4979166666666668"/>
    <n v="43.983333333333334"/>
    <n v="0"/>
    <n v="0"/>
    <n v="0"/>
    <n v="0"/>
    <s v=" "/>
    <s v=" "/>
    <m/>
    <m/>
    <m/>
    <n v="43.983333333333334"/>
    <e v="#REF!"/>
  </r>
  <r>
    <s v="sábado"/>
    <s v="PLANTA"/>
    <x v="0"/>
    <s v="may-YY"/>
    <x v="0"/>
    <x v="10"/>
    <s v="TECNICO SOLDADOR"/>
    <x v="33"/>
    <x v="1"/>
    <n v="1"/>
    <n v="47887505"/>
    <n v="66.48"/>
    <d v="1899-12-30T07:00:00"/>
    <m/>
    <m/>
    <d v="1899-12-30T13:00:00"/>
    <d v="1899-12-30T06:00:00"/>
    <d v="1899-12-30T06:00:00"/>
    <d v="1899-12-30T00:00:00"/>
    <m/>
    <m/>
    <n v="0"/>
    <n v="0"/>
    <n v="0"/>
    <m/>
    <n v="5.9999999999999982"/>
    <n v="5.9999999999999982"/>
    <n v="0"/>
    <n v="44.319999999999986"/>
    <n v="5.5399999999999983"/>
    <n v="44.319999999999986"/>
    <n v="0"/>
    <n v="0"/>
    <n v="0"/>
    <n v="0"/>
    <s v=" "/>
    <s v=" "/>
    <m/>
    <m/>
    <m/>
    <n v="44.319999999999986"/>
    <e v="#REF!"/>
  </r>
  <r>
    <s v="sábado"/>
    <s v="OBRA"/>
    <x v="0"/>
    <s v="may-YY"/>
    <x v="0"/>
    <x v="7"/>
    <n v="0"/>
    <x v="34"/>
    <x v="1"/>
    <n v="2"/>
    <n v="77226886"/>
    <n v="80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70"/>
    <n v="8.75"/>
    <n v="70"/>
    <n v="0"/>
    <n v="0"/>
    <n v="0"/>
    <n v="0"/>
    <s v=" "/>
    <s v=" "/>
    <m/>
    <m/>
    <m/>
    <n v="70"/>
    <e v="#REF!"/>
  </r>
  <r>
    <s v="sábado"/>
    <s v=" "/>
    <x v="0"/>
    <s v="may-YY"/>
    <x v="0"/>
    <x v="14"/>
    <s v="MECANICO MONTAJISTA DE MAQUINARIA"/>
    <x v="35"/>
    <x v="1"/>
    <m/>
    <n v="47942907"/>
    <n v="7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sábado"/>
    <s v="PLANTA"/>
    <x v="0"/>
    <s v="may-YY"/>
    <x v="0"/>
    <x v="0"/>
    <s v="TECNICO MECANICO MONTAJISTA DE MAQUINARIA"/>
    <x v="36"/>
    <x v="1"/>
    <n v="1"/>
    <n v="48372384"/>
    <n v="57.62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44.815555555555555"/>
    <n v="5.6019444444444444"/>
    <n v="44.815555555555555"/>
    <n v="0"/>
    <n v="0"/>
    <n v="0"/>
    <n v="0"/>
    <s v=" "/>
    <s v=" "/>
    <m/>
    <m/>
    <m/>
    <n v="44.815555555555555"/>
    <e v="#REF!"/>
  </r>
  <r>
    <s v="sábado"/>
    <s v="PLANTA"/>
    <x v="0"/>
    <s v="may-YY"/>
    <x v="0"/>
    <x v="9"/>
    <s v="MAESTRO MECANICO MONTAJISTA DE MAQUINARIA"/>
    <x v="37"/>
    <x v="1"/>
    <n v="1"/>
    <n v="42308744"/>
    <n v="87.1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67.74444444444444"/>
    <n v="8.468055555555555"/>
    <n v="67.74444444444444"/>
    <n v="0"/>
    <n v="0"/>
    <n v="0"/>
    <n v="0"/>
    <s v=" "/>
    <s v=" "/>
    <m/>
    <m/>
    <m/>
    <n v="67.74444444444444"/>
    <e v="#REF!"/>
  </r>
  <r>
    <s v="sábado"/>
    <s v="OBRA"/>
    <x v="0"/>
    <s v="may-YY"/>
    <x v="1"/>
    <x v="12"/>
    <s v="MAESTRO SOLDADOR 3G"/>
    <x v="38"/>
    <x v="1"/>
    <n v="2"/>
    <n v="45486657"/>
    <n v="9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90"/>
    <n v="11.25"/>
    <n v="90"/>
    <n v="0"/>
    <n v="0"/>
    <n v="0"/>
    <n v="0"/>
    <s v=" "/>
    <s v=" "/>
    <m/>
    <m/>
    <m/>
    <n v="90"/>
    <e v="#REF!"/>
  </r>
  <r>
    <s v="sábado"/>
    <s v="FALTA"/>
    <x v="0"/>
    <s v="may-YY"/>
    <x v="0"/>
    <x v="15"/>
    <s v="MAESTRO ELECTRICO MONTAJISTA DE MAQUINARIA EXTRANJERA"/>
    <x v="39"/>
    <x v="1"/>
    <n v="4"/>
    <n v="45779525"/>
    <n v="116.06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sábado"/>
    <s v="PLANTA"/>
    <x v="0"/>
    <s v="may-YY"/>
    <x v="0"/>
    <x v="12"/>
    <s v="MAESTRO SOLDADOR 3G"/>
    <x v="40"/>
    <x v="1"/>
    <n v="1"/>
    <n v="77423720"/>
    <n v="69.44"/>
    <d v="1899-12-30T07:00:00"/>
    <m/>
    <m/>
    <d v="1899-12-30T13:00:00"/>
    <d v="1899-12-30T06:00:00"/>
    <d v="1899-12-30T06:00:00"/>
    <d v="1899-12-30T00:00:00"/>
    <m/>
    <m/>
    <n v="0"/>
    <n v="0"/>
    <n v="0"/>
    <m/>
    <n v="5.9999999999999982"/>
    <n v="5.9999999999999982"/>
    <n v="0"/>
    <n v="46.293333333333322"/>
    <n v="5.7866666666666653"/>
    <n v="46.293333333333322"/>
    <n v="0"/>
    <n v="0"/>
    <n v="0"/>
    <n v="0"/>
    <s v=" "/>
    <s v=" "/>
    <m/>
    <m/>
    <m/>
    <n v="46.293333333333322"/>
    <e v="#REF!"/>
  </r>
  <r>
    <s v="sábado"/>
    <s v="PLANTA"/>
    <x v="0"/>
    <s v="may-YY"/>
    <x v="0"/>
    <x v="16"/>
    <s v="MAESTRO SOLDADOR 6G MONTAJISTA DE MAQUINARIA"/>
    <x v="41"/>
    <x v="1"/>
    <n v="1"/>
    <n v="45035778"/>
    <n v="92.8"/>
    <d v="1899-12-30T07:00:00"/>
    <d v="1899-12-30T13:00:00"/>
    <d v="1899-12-30T13:15:00"/>
    <d v="1899-12-30T16:15:00"/>
    <d v="1899-12-30T09:00:00"/>
    <d v="1899-12-30T09:00:00"/>
    <d v="1899-12-30T00:00:00"/>
    <m/>
    <m/>
    <n v="0"/>
    <n v="0"/>
    <n v="0"/>
    <m/>
    <n v="8.9999999999999982"/>
    <n v="8.9999999999999982"/>
    <n v="0"/>
    <n v="92.799999999999969"/>
    <n v="11.599999999999996"/>
    <n v="92.799999999999969"/>
    <n v="0"/>
    <n v="0"/>
    <n v="0"/>
    <n v="0"/>
    <s v=" "/>
    <s v=" "/>
    <m/>
    <m/>
    <m/>
    <n v="92.799999999999969"/>
    <e v="#REF!"/>
  </r>
  <r>
    <s v="sábado"/>
    <s v="OBRA"/>
    <x v="0"/>
    <s v="may-YY"/>
    <x v="0"/>
    <x v="17"/>
    <s v="MAESTRO MECANICO MONTAJISTA DE MAQUINARIA EXTRANJERA"/>
    <x v="42"/>
    <x v="1"/>
    <n v="2"/>
    <n v="72926564"/>
    <n v="88.27"/>
    <d v="1899-12-30T00:00:00"/>
    <d v="1899-12-30T12:00:00"/>
    <d v="1899-12-30T13:00:00"/>
    <d v="1899-12-30T15:30:00"/>
    <d v="1899-12-30T14:30:00"/>
    <d v="1899-12-30T08:00:00"/>
    <d v="1899-12-30T06:30:00"/>
    <m/>
    <m/>
    <n v="0"/>
    <n v="0"/>
    <n v="0"/>
    <m/>
    <n v="14.500000000000002"/>
    <n v="8"/>
    <n v="6.5000000000000018"/>
    <n v="88.27"/>
    <n v="11.03375"/>
    <n v="88.27"/>
    <n v="0"/>
    <n v="0"/>
    <n v="0"/>
    <n v="0"/>
    <s v=" "/>
    <s v=" "/>
    <m/>
    <m/>
    <m/>
    <n v="88.27"/>
    <e v="#REF!"/>
  </r>
  <r>
    <s v="sábado"/>
    <s v="OBRA"/>
    <x v="0"/>
    <s v="may-YY"/>
    <x v="0"/>
    <x v="7"/>
    <s v="TECNICO SOLDADOR"/>
    <x v="43"/>
    <x v="1"/>
    <n v="2"/>
    <n v="72927801"/>
    <n v="60"/>
    <d v="1899-12-30T16:00:00"/>
    <m/>
    <m/>
    <d v="1899-12-30T23:59:00"/>
    <d v="1899-12-30T07:59:00"/>
    <d v="1899-12-30T07:59:00"/>
    <d v="1899-12-30T00:00:00"/>
    <m/>
    <m/>
    <n v="0"/>
    <n v="0"/>
    <n v="0"/>
    <m/>
    <n v="7.9833333333333343"/>
    <n v="7.9833333333333343"/>
    <n v="0"/>
    <n v="59.875000000000007"/>
    <n v="7.4843750000000009"/>
    <n v="59.875000000000007"/>
    <n v="0"/>
    <n v="0"/>
    <n v="0"/>
    <n v="0"/>
    <s v=" "/>
    <s v=" "/>
    <m/>
    <m/>
    <m/>
    <n v="59.875000000000007"/>
    <e v="#REF!"/>
  </r>
  <r>
    <s v="sábado"/>
    <s v="OBRA"/>
    <x v="0"/>
    <s v="may-YY"/>
    <x v="0"/>
    <x v="3"/>
    <s v="MECANICO MONTAJISTA DE MAQUINARIA EXTRANJERA"/>
    <x v="44"/>
    <x v="1"/>
    <n v="2"/>
    <n v="45360771"/>
    <n v="94.35"/>
    <d v="1899-12-30T00:00:00"/>
    <d v="1899-12-30T12:00:00"/>
    <d v="1899-12-30T13:00:00"/>
    <d v="1899-12-30T15:30:00"/>
    <d v="1899-12-30T14:30:00"/>
    <d v="1899-12-30T08:00:00"/>
    <d v="1899-12-30T06:30:00"/>
    <m/>
    <m/>
    <n v="0"/>
    <n v="0"/>
    <n v="0"/>
    <m/>
    <n v="14.500000000000002"/>
    <n v="8"/>
    <n v="6.5000000000000018"/>
    <n v="94.35"/>
    <n v="11.793749999999999"/>
    <n v="94.35"/>
    <n v="0"/>
    <n v="0"/>
    <n v="0"/>
    <n v="0"/>
    <s v=" "/>
    <s v=" "/>
    <m/>
    <m/>
    <m/>
    <n v="94.35"/>
    <e v="#REF!"/>
  </r>
  <r>
    <s v="sábado"/>
    <s v="OBRA"/>
    <x v="0"/>
    <s v="may-YY"/>
    <x v="0"/>
    <x v="7"/>
    <s v="TECNICO MECANICO MONTAJISTA DE NAVE INDUSTRIAL"/>
    <x v="45"/>
    <x v="1"/>
    <n v="2"/>
    <n v="44676684"/>
    <n v="70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61.25"/>
    <n v="7.65625"/>
    <n v="61.25"/>
    <n v="0"/>
    <n v="0"/>
    <n v="0"/>
    <n v="0"/>
    <s v=" "/>
    <s v=" "/>
    <m/>
    <m/>
    <m/>
    <n v="61.25"/>
    <e v="#REF!"/>
  </r>
  <r>
    <s v="sábado"/>
    <s v=" "/>
    <x v="0"/>
    <s v="may-YY"/>
    <x v="1"/>
    <x v="7"/>
    <n v="0"/>
    <x v="46"/>
    <x v="1"/>
    <m/>
    <n v="71214531"/>
    <n v="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sábado"/>
    <s v="PLANTA"/>
    <x v="0"/>
    <s v="may-YY"/>
    <x v="0"/>
    <x v="0"/>
    <s v="TECNICO MECANICO MONTAJISTA DE MAQUINARIA"/>
    <x v="47"/>
    <x v="1"/>
    <n v="1"/>
    <n v="47158079"/>
    <n v="56.55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43.983333333333334"/>
    <n v="5.4979166666666668"/>
    <n v="43.983333333333334"/>
    <n v="0"/>
    <n v="0"/>
    <n v="0"/>
    <n v="0"/>
    <s v=" "/>
    <s v=" "/>
    <m/>
    <m/>
    <m/>
    <n v="43.983333333333334"/>
    <e v="#REF!"/>
  </r>
  <r>
    <s v="sábado"/>
    <s v="FALTA"/>
    <x v="0"/>
    <s v="may-YY"/>
    <x v="0"/>
    <x v="6"/>
    <s v="TECNICO ELECTRICO MONTAJISTA DE MAQUINARIA EXTRANJERA"/>
    <x v="48"/>
    <x v="1"/>
    <n v="4"/>
    <n v="76449683"/>
    <n v="73.87"/>
    <m/>
    <m/>
    <m/>
    <m/>
    <d v="1899-12-30T00:00:00"/>
    <d v="1899-12-30T00:00:00"/>
    <d v="1899-12-30T00:00:00"/>
    <n v="0"/>
    <n v="0"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sábado"/>
    <s v="OBRA"/>
    <x v="0"/>
    <s v="may-YY"/>
    <x v="0"/>
    <x v="3"/>
    <s v="MECANICO MONTAJISTA DE MAQUINARIA EXTRANJERA"/>
    <x v="49"/>
    <x v="1"/>
    <n v="2"/>
    <n v="43878459"/>
    <n v="79.78"/>
    <d v="1899-12-30T15:00:00"/>
    <m/>
    <m/>
    <d v="1899-12-30T23:00:00"/>
    <d v="1899-12-30T08:00:00"/>
    <d v="1899-12-30T08:00:00"/>
    <d v="1899-12-30T00:00:00"/>
    <m/>
    <m/>
    <n v="0"/>
    <n v="0"/>
    <n v="0"/>
    <m/>
    <n v="8"/>
    <n v="8"/>
    <n v="0"/>
    <n v="79.78"/>
    <n v="9.9725000000000001"/>
    <n v="79.78"/>
    <n v="0"/>
    <n v="0"/>
    <n v="0"/>
    <n v="0"/>
    <s v=" "/>
    <s v=" "/>
    <m/>
    <m/>
    <m/>
    <n v="79.78"/>
    <e v="#REF!"/>
  </r>
  <r>
    <s v="sábado"/>
    <s v="FALTA"/>
    <x v="0"/>
    <s v="may-YY"/>
    <x v="0"/>
    <x v="3"/>
    <s v="MECANICO MONTAJISTA DE MAQUINARIA EXTRANJERA"/>
    <x v="50"/>
    <x v="1"/>
    <n v="4"/>
    <n v="46578402"/>
    <n v="103.42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sábado"/>
    <s v="OBRA"/>
    <x v="0"/>
    <s v="may-YY"/>
    <x v="0"/>
    <x v="7"/>
    <s v="PRACTICANTE "/>
    <x v="51"/>
    <x v="1"/>
    <n v="2"/>
    <n v="72814417"/>
    <n v="35.76"/>
    <d v="1899-12-30T07:00:00"/>
    <d v="1899-12-30T13:00:00"/>
    <d v="1899-12-30T14:00:00"/>
    <d v="1899-12-30T17:00:00"/>
    <d v="1899-12-30T09:00:00"/>
    <d v="1899-12-30T08:00:00"/>
    <d v="1899-12-30T01:00:00"/>
    <m/>
    <m/>
    <n v="0"/>
    <n v="0"/>
    <n v="0"/>
    <m/>
    <n v="8.9999999999999982"/>
    <n v="8"/>
    <n v="0.99999999999999911"/>
    <n v="35.76"/>
    <n v="4.47"/>
    <n v="35.76"/>
    <n v="0"/>
    <n v="0"/>
    <n v="0"/>
    <n v="0"/>
    <s v=" "/>
    <s v=" "/>
    <m/>
    <m/>
    <m/>
    <n v="35.76"/>
    <e v="#REF!"/>
  </r>
  <r>
    <s v="sábado"/>
    <s v="OBRA"/>
    <x v="0"/>
    <s v="may-YY"/>
    <x v="0"/>
    <x v="3"/>
    <s v="MECANICO MONTAJISTA DE MAQUINARIA EXTRANJERA"/>
    <x v="52"/>
    <x v="1"/>
    <n v="2"/>
    <n v="45416906"/>
    <n v="87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87"/>
    <n v="10.875"/>
    <n v="87"/>
    <n v="0"/>
    <n v="0"/>
    <n v="0"/>
    <n v="0"/>
    <s v=" "/>
    <s v=" "/>
    <m/>
    <m/>
    <m/>
    <n v="87"/>
    <e v="#REF!"/>
  </r>
  <r>
    <s v="sábado"/>
    <s v="OBRA"/>
    <x v="0"/>
    <s v="may-YY"/>
    <x v="0"/>
    <x v="8"/>
    <s v="TECNICO MECANICO MONTAJISTA DE MAQUINARIA EXTRANJERA"/>
    <x v="53"/>
    <x v="1"/>
    <n v="2"/>
    <n v="44044783"/>
    <n v="70.92"/>
    <d v="1899-12-30T07:00:00"/>
    <d v="1899-12-30T13:00:00"/>
    <d v="1899-12-30T14:00:00"/>
    <d v="1899-12-30T17:00:00"/>
    <d v="1899-12-30T09:00:00"/>
    <d v="1899-12-30T08:00:00"/>
    <d v="1899-12-30T01:00:00"/>
    <m/>
    <m/>
    <n v="0"/>
    <n v="0"/>
    <n v="0"/>
    <m/>
    <n v="8.9999999999999982"/>
    <n v="8"/>
    <n v="0.99999999999999911"/>
    <n v="70.92"/>
    <n v="8.8650000000000002"/>
    <n v="70.92"/>
    <n v="0"/>
    <n v="0"/>
    <n v="0"/>
    <n v="0"/>
    <s v=" "/>
    <s v=" "/>
    <m/>
    <m/>
    <m/>
    <n v="70.92"/>
    <e v="#REF!"/>
  </r>
  <r>
    <s v="sábado"/>
    <s v="OBRA"/>
    <x v="0"/>
    <s v="may-YY"/>
    <x v="0"/>
    <x v="15"/>
    <s v="MAESTRO ELECTRICO MONTAJISTA DE MAQUINARIA EXTRANJERA"/>
    <x v="54"/>
    <x v="1"/>
    <n v="2"/>
    <n v="44685832"/>
    <n v="88.47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88.47"/>
    <n v="11.05875"/>
    <n v="88.47"/>
    <n v="0"/>
    <n v="0"/>
    <n v="0"/>
    <n v="0"/>
    <s v=" "/>
    <s v=" "/>
    <m/>
    <m/>
    <m/>
    <n v="88.47"/>
    <e v="#REF!"/>
  </r>
  <r>
    <s v="sábado"/>
    <s v="PLANTA"/>
    <x v="0"/>
    <s v="may-YY"/>
    <x v="0"/>
    <x v="5"/>
    <s v="TECNICO MECANICO MONTAJISTA DE NAVE INDUSTRIAL"/>
    <x v="55"/>
    <x v="1"/>
    <n v="1"/>
    <n v="47749907"/>
    <n v="80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62.222222222222229"/>
    <n v="7.7777777777777786"/>
    <n v="62.222222222222229"/>
    <n v="0"/>
    <n v="0"/>
    <n v="0"/>
    <n v="0"/>
    <s v=" "/>
    <s v=" "/>
    <m/>
    <m/>
    <m/>
    <n v="62.222222222222229"/>
    <e v="#REF!"/>
  </r>
  <r>
    <s v="sábado"/>
    <s v="OBRA"/>
    <x v="0"/>
    <s v="may-YY"/>
    <x v="0"/>
    <x v="18"/>
    <s v="MAESTRO PINTOR"/>
    <x v="56"/>
    <x v="1"/>
    <n v="2"/>
    <n v="46859101"/>
    <n v="70"/>
    <d v="1899-12-30T07:00:00"/>
    <m/>
    <m/>
    <d v="1899-12-30T12:00:00"/>
    <d v="1899-12-30T05:00:00"/>
    <d v="1899-12-30T05:00:00"/>
    <d v="1899-12-30T00:00:00"/>
    <m/>
    <m/>
    <n v="0"/>
    <n v="0"/>
    <n v="0"/>
    <m/>
    <n v="5"/>
    <n v="5"/>
    <n v="0"/>
    <n v="43.75"/>
    <n v="5.46875"/>
    <n v="43.75"/>
    <n v="0"/>
    <n v="0"/>
    <n v="0"/>
    <n v="0"/>
    <s v=" "/>
    <s v=" "/>
    <m/>
    <m/>
    <m/>
    <n v="43.75"/>
    <e v="#REF!"/>
  </r>
  <r>
    <s v="domingo"/>
    <s v="DESCANSO"/>
    <x v="0"/>
    <s v="may-YY"/>
    <x v="0"/>
    <x v="0"/>
    <s v="TECNICO MECANICO MONTAJISTA DE MAQUINARIA"/>
    <x v="0"/>
    <x v="2"/>
    <n v="3"/>
    <n v="46108491"/>
    <n v="5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1"/>
    <x v="1"/>
    <s v="OPERARIO ELECTRICO"/>
    <x v="1"/>
    <x v="2"/>
    <n v="3"/>
    <n v="75557820"/>
    <n v="5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1"/>
    <s v="OPERARIO ELECTRICO"/>
    <x v="2"/>
    <x v="2"/>
    <n v="3"/>
    <n v="46801821"/>
    <n v="43.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2"/>
    <s v="OPERARIO SOLDADOR"/>
    <x v="3"/>
    <x v="2"/>
    <n v="3"/>
    <n v="10664396"/>
    <n v="6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1"/>
    <x v="2"/>
    <s v="OPERARIO SOLDADOR"/>
    <x v="4"/>
    <x v="2"/>
    <n v="3"/>
    <n v="71995358"/>
    <n v="4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3"/>
    <s v="MECANICO MONTAJISTA DE MAQUINARIA EXTRANJERA"/>
    <x v="5"/>
    <x v="2"/>
    <n v="3"/>
    <n v="27291529"/>
    <n v="72.540000000000006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4"/>
    <s v="TECNICO ELECTRICO MONTAJISTA DE MAQUINARIA"/>
    <x v="6"/>
    <x v="2"/>
    <n v="3"/>
    <n v="47711616"/>
    <n v="47.73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5"/>
    <s v="TECNICO MECANICO MONTAJISTA DE NAVE INDUSTRIAL"/>
    <x v="7"/>
    <x v="2"/>
    <n v="3"/>
    <n v="48237026"/>
    <n v="52.2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OBRA"/>
    <x v="0"/>
    <s v="may-YY"/>
    <x v="0"/>
    <x v="6"/>
    <s v="TECNICO ELECTRICO MONTAJISTA DE MAQUINARIA EXTRANJERA"/>
    <x v="8"/>
    <x v="2"/>
    <n v="2"/>
    <n v="47055982"/>
    <n v="73.72"/>
    <d v="1899-12-30T00:00:00"/>
    <m/>
    <m/>
    <d v="1899-12-30T10:00:00"/>
    <d v="1899-12-30T10:00:00"/>
    <d v="1899-12-30T08:00:00"/>
    <d v="1899-12-30T02:00:00"/>
    <m/>
    <m/>
    <n v="0"/>
    <n v="0"/>
    <n v="0"/>
    <m/>
    <n v="10"/>
    <n v="8"/>
    <n v="2.0000000000000009"/>
    <n v="73.72"/>
    <n v="9.2149999999999999"/>
    <n v="73.72"/>
    <n v="0"/>
    <n v="1"/>
    <n v="0"/>
    <n v="73.72"/>
    <s v=" "/>
    <s v=" "/>
    <m/>
    <m/>
    <m/>
    <n v="147.44"/>
    <e v="#REF!"/>
  </r>
  <r>
    <s v="domingo"/>
    <s v="DESCANSO"/>
    <x v="0"/>
    <s v="may-YY"/>
    <x v="0"/>
    <x v="7"/>
    <s v="AYUDANTE DE PRODUCCION"/>
    <x v="9"/>
    <x v="2"/>
    <n v="3"/>
    <n v="48359730"/>
    <n v="5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2"/>
    <s v="OPERARIO SOLDADOR"/>
    <x v="10"/>
    <x v="2"/>
    <n v="3"/>
    <n v="74359947"/>
    <n v="57.62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0"/>
    <s v="TECNICO MECANICO MONTAJISTA DE MAQUINARIA"/>
    <x v="11"/>
    <x v="2"/>
    <n v="3"/>
    <n v="47321409"/>
    <n v="6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8"/>
    <s v="TECNICO MECANICO MONTAJISTA DE MAQUINARIA EXTRANJERA"/>
    <x v="12"/>
    <x v="2"/>
    <n v="3"/>
    <n v="70133802"/>
    <n v="66.92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1"/>
    <x v="7"/>
    <s v="TECNICO SOLDADOR"/>
    <x v="13"/>
    <x v="2"/>
    <n v="3"/>
    <n v="75494335"/>
    <n v="9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7"/>
    <s v="AYUDANTE DE PRODUCCION"/>
    <x v="14"/>
    <x v="2"/>
    <n v="3"/>
    <n v="76288149"/>
    <n v="44.32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7"/>
    <s v="AYUDANTE DE PRODUCCION"/>
    <x v="15"/>
    <x v="2"/>
    <n v="3"/>
    <n v="75809362"/>
    <n v="6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1"/>
    <x v="2"/>
    <s v="OPERARIO SOLDADOR"/>
    <x v="16"/>
    <x v="2"/>
    <n v="3"/>
    <n v="42558469"/>
    <n v="6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9"/>
    <s v="MAESTRO MECANICO MONTAJISTA DE MAQUINARIA"/>
    <x v="17"/>
    <x v="2"/>
    <n v="3"/>
    <n v="48046568"/>
    <n v="68.150000000000006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7"/>
    <s v="AYUDANTE DE PRODUCCION"/>
    <x v="18"/>
    <x v="2"/>
    <n v="3"/>
    <n v="75790434"/>
    <n v="35.81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1"/>
    <x v="10"/>
    <s v="TECNICO SOLDADOR"/>
    <x v="19"/>
    <x v="2"/>
    <n v="3"/>
    <n v="45545014"/>
    <n v="6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11"/>
    <s v="SUPERVISOR DE MONTAJE Y DESMONTAJE"/>
    <x v="20"/>
    <x v="2"/>
    <n v="3"/>
    <n v="45327555"/>
    <n v="62.31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8"/>
    <s v="TECNICO MECANICO MONTAJISTA DE MAQUINARIA EXTRANJERA"/>
    <x v="21"/>
    <x v="2"/>
    <n v="3"/>
    <n v="46228460"/>
    <n v="67.66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7"/>
    <s v="AYUDANTE DE PRODUCCION"/>
    <x v="22"/>
    <x v="2"/>
    <n v="3"/>
    <n v="75913657"/>
    <n v="6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12"/>
    <s v="MAESTRO SOLDADOR 3G"/>
    <x v="23"/>
    <x v="2"/>
    <n v="3"/>
    <n v="47466045"/>
    <n v="70.38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13"/>
    <s v="AYUDANTE DE PRODUCCION"/>
    <x v="24"/>
    <x v="2"/>
    <n v="3"/>
    <n v="62188868"/>
    <n v="39.1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0"/>
    <s v="TECNICO MECANICO MONTAJISTA DE MAQUINARIA"/>
    <x v="25"/>
    <x v="2"/>
    <n v="3"/>
    <n v="73541627"/>
    <n v="5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8"/>
    <s v="TECNICO MECANICO MONTAJISTA DE MAQUINARIA EXTRANJERA"/>
    <x v="26"/>
    <x v="2"/>
    <n v="3"/>
    <n v="76811302"/>
    <n v="6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2"/>
    <x v="13"/>
    <s v="AYUDANTE DE PRODUCCION"/>
    <x v="27"/>
    <x v="2"/>
    <n v="3"/>
    <n v="76457697"/>
    <n v="4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3"/>
    <x v="7"/>
    <n v="0"/>
    <x v="28"/>
    <x v="2"/>
    <n v="3"/>
    <n v="75561146"/>
    <n v="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3"/>
    <x v="7"/>
    <n v="0"/>
    <x v="29"/>
    <x v="2"/>
    <n v="3"/>
    <n v="76847602"/>
    <n v="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10"/>
    <s v="TECNICO SOLDADOR"/>
    <x v="30"/>
    <x v="2"/>
    <n v="3"/>
    <n v="46933574"/>
    <n v="6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7"/>
    <n v="0"/>
    <x v="31"/>
    <x v="2"/>
    <n v="3"/>
    <n v="41234982"/>
    <n v="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5"/>
    <s v="TECNICO MECANICO MONTAJISTA DE NAVE INDUSTRIAL"/>
    <x v="32"/>
    <x v="2"/>
    <n v="3"/>
    <n v="45821420"/>
    <n v="56.5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10"/>
    <s v="TECNICO SOLDADOR"/>
    <x v="33"/>
    <x v="2"/>
    <n v="3"/>
    <n v="47887505"/>
    <n v="66.48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7"/>
    <n v="0"/>
    <x v="34"/>
    <x v="2"/>
    <n v="3"/>
    <n v="77226886"/>
    <n v="8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 "/>
    <x v="0"/>
    <s v="may-YY"/>
    <x v="0"/>
    <x v="14"/>
    <s v="MECANICO MONTAJISTA DE MAQUINARIA"/>
    <x v="35"/>
    <x v="2"/>
    <m/>
    <n v="47942907"/>
    <n v="7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0"/>
    <s v="TECNICO MECANICO MONTAJISTA DE MAQUINARIA"/>
    <x v="36"/>
    <x v="2"/>
    <n v="3"/>
    <n v="48372384"/>
    <n v="57.62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9"/>
    <s v="MAESTRO MECANICO MONTAJISTA DE MAQUINARIA"/>
    <x v="37"/>
    <x v="2"/>
    <n v="3"/>
    <n v="42308744"/>
    <n v="87.1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1"/>
    <x v="12"/>
    <s v="MAESTRO SOLDADOR 3G"/>
    <x v="38"/>
    <x v="2"/>
    <n v="3"/>
    <n v="45486657"/>
    <n v="9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15"/>
    <s v="MAESTRO ELECTRICO MONTAJISTA DE MAQUINARIA EXTRANJERA"/>
    <x v="39"/>
    <x v="2"/>
    <n v="3"/>
    <n v="45779525"/>
    <n v="116.06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12"/>
    <s v="MAESTRO SOLDADOR 3G"/>
    <x v="40"/>
    <x v="2"/>
    <n v="3"/>
    <n v="77423720"/>
    <n v="69.44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16"/>
    <s v="MAESTRO SOLDADOR 6G MONTAJISTA DE MAQUINARIA"/>
    <x v="41"/>
    <x v="2"/>
    <n v="3"/>
    <n v="45035778"/>
    <n v="92.8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17"/>
    <s v="MAESTRO MECANICO MONTAJISTA DE MAQUINARIA EXTRANJERA"/>
    <x v="42"/>
    <x v="2"/>
    <n v="3"/>
    <n v="72926564"/>
    <n v="88.27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7"/>
    <s v="TECNICO SOLDADOR"/>
    <x v="43"/>
    <x v="2"/>
    <n v="3"/>
    <n v="72927801"/>
    <n v="6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3"/>
    <s v="MECANICO MONTAJISTA DE MAQUINARIA EXTRANJERA"/>
    <x v="44"/>
    <x v="2"/>
    <n v="3"/>
    <n v="45360771"/>
    <n v="94.3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7"/>
    <s v="TECNICO MECANICO MONTAJISTA DE NAVE INDUSTRIAL"/>
    <x v="45"/>
    <x v="2"/>
    <n v="3"/>
    <n v="44676684"/>
    <n v="7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 "/>
    <x v="0"/>
    <s v="may-YY"/>
    <x v="1"/>
    <x v="7"/>
    <n v="0"/>
    <x v="46"/>
    <x v="2"/>
    <m/>
    <n v="71214531"/>
    <n v="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0"/>
    <s v="TECNICO MECANICO MONTAJISTA DE MAQUINARIA"/>
    <x v="47"/>
    <x v="2"/>
    <n v="3"/>
    <n v="47158079"/>
    <n v="56.5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6"/>
    <s v="TECNICO ELECTRICO MONTAJISTA DE MAQUINARIA EXTRANJERA"/>
    <x v="48"/>
    <x v="2"/>
    <n v="3"/>
    <n v="76449683"/>
    <n v="73.87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3"/>
    <s v="MECANICO MONTAJISTA DE MAQUINARIA EXTRANJERA"/>
    <x v="49"/>
    <x v="2"/>
    <n v="3"/>
    <n v="43878459"/>
    <n v="79.78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3"/>
    <s v="MECANICO MONTAJISTA DE MAQUINARIA EXTRANJERA"/>
    <x v="50"/>
    <x v="2"/>
    <n v="3"/>
    <n v="46578402"/>
    <n v="103.42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OBRA"/>
    <x v="0"/>
    <s v="may-YY"/>
    <x v="0"/>
    <x v="7"/>
    <s v="PRACTICANTE "/>
    <x v="51"/>
    <x v="2"/>
    <n v="2"/>
    <n v="72814417"/>
    <n v="35.76"/>
    <d v="1899-12-30T07:00:00"/>
    <d v="1899-12-30T13:00:00"/>
    <d v="1899-12-30T14:00:00"/>
    <d v="1899-12-30T21:30:00"/>
    <d v="1899-12-30T13:30:00"/>
    <d v="1899-12-30T08:00:00"/>
    <d v="1899-12-30T05:30:00"/>
    <m/>
    <m/>
    <n v="0"/>
    <n v="0"/>
    <n v="0"/>
    <m/>
    <n v="13.5"/>
    <n v="8"/>
    <n v="5.5"/>
    <n v="35.76"/>
    <n v="4.47"/>
    <n v="35.76"/>
    <n v="0"/>
    <n v="1"/>
    <n v="0"/>
    <n v="35.76"/>
    <s v=" "/>
    <s v=" "/>
    <m/>
    <m/>
    <m/>
    <n v="71.52"/>
    <e v="#REF!"/>
  </r>
  <r>
    <s v="domingo"/>
    <s v="DESCANSO"/>
    <x v="0"/>
    <s v="may-YY"/>
    <x v="0"/>
    <x v="3"/>
    <s v="MECANICO MONTAJISTA DE MAQUINARIA EXTRANJERA"/>
    <x v="52"/>
    <x v="2"/>
    <n v="3"/>
    <n v="45416906"/>
    <n v="87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OBRA"/>
    <x v="0"/>
    <s v="may-YY"/>
    <x v="0"/>
    <x v="8"/>
    <s v="TECNICO MECANICO MONTAJISTA DE MAQUINARIA EXTRANJERA"/>
    <x v="53"/>
    <x v="2"/>
    <n v="2"/>
    <n v="44044783"/>
    <n v="70.92"/>
    <d v="1899-12-30T07:00:00"/>
    <d v="1899-12-30T13:00:00"/>
    <d v="1899-12-30T14:00:00"/>
    <d v="1899-12-30T21:30:00"/>
    <d v="1899-12-30T13:30:00"/>
    <d v="1899-12-30T08:00:00"/>
    <d v="1899-12-30T05:30:00"/>
    <m/>
    <m/>
    <n v="0"/>
    <n v="0"/>
    <n v="0"/>
    <m/>
    <n v="13.5"/>
    <n v="8"/>
    <n v="5.5"/>
    <n v="70.92"/>
    <n v="8.8650000000000002"/>
    <n v="70.92"/>
    <n v="0"/>
    <n v="1"/>
    <n v="0"/>
    <n v="70.92"/>
    <s v=" "/>
    <s v=" "/>
    <m/>
    <m/>
    <m/>
    <n v="141.84"/>
    <e v="#REF!"/>
  </r>
  <r>
    <s v="domingo"/>
    <s v="DESCANSO"/>
    <x v="0"/>
    <s v="may-YY"/>
    <x v="0"/>
    <x v="15"/>
    <s v="MAESTRO ELECTRICO MONTAJISTA DE MAQUINARIA EXTRANJERA"/>
    <x v="54"/>
    <x v="2"/>
    <n v="3"/>
    <n v="44685832"/>
    <n v="88.47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5"/>
    <s v="TECNICO MECANICO MONTAJISTA DE NAVE INDUSTRIAL"/>
    <x v="55"/>
    <x v="2"/>
    <n v="3"/>
    <n v="47749907"/>
    <n v="8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domingo"/>
    <s v="DESCANSO"/>
    <x v="0"/>
    <s v="may-YY"/>
    <x v="0"/>
    <x v="18"/>
    <s v="MAESTRO PINTOR"/>
    <x v="56"/>
    <x v="2"/>
    <n v="3"/>
    <n v="46859101"/>
    <n v="7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1"/>
    <n v="0"/>
    <n v="0"/>
    <s v=" "/>
    <s v=" "/>
    <m/>
    <m/>
    <m/>
    <n v="0"/>
    <e v="#REF!"/>
  </r>
  <r>
    <s v="lunes"/>
    <s v="PLANTA"/>
    <x v="1"/>
    <s v="may-YY"/>
    <x v="0"/>
    <x v="0"/>
    <s v="TECNICO MECANICO MONTAJISTA DE MAQUINARIA"/>
    <x v="0"/>
    <x v="3"/>
    <n v="1"/>
    <n v="46108491"/>
    <n v="50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49.999999999999986"/>
    <n v="6.2499999999999982"/>
    <n v="49.999999999999986"/>
    <n v="0"/>
    <n v="0"/>
    <n v="0"/>
    <n v="0"/>
    <s v=" "/>
    <s v=" "/>
    <m/>
    <m/>
    <m/>
    <n v="49.999999999999986"/>
    <e v="#REF!"/>
  </r>
  <r>
    <s v="lunes"/>
    <s v="PLANTA"/>
    <x v="1"/>
    <s v="may-YY"/>
    <x v="1"/>
    <x v="1"/>
    <s v="OPERARIO ELECTRICO"/>
    <x v="1"/>
    <x v="3"/>
    <n v="1"/>
    <n v="75557820"/>
    <n v="50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49.999999999999986"/>
    <n v="6.2499999999999982"/>
    <n v="49.999999999999986"/>
    <n v="0"/>
    <n v="0"/>
    <n v="0"/>
    <n v="0"/>
    <s v=" "/>
    <s v=" "/>
    <m/>
    <m/>
    <m/>
    <n v="49.999999999999986"/>
    <e v="#REF!"/>
  </r>
  <r>
    <s v="lunes"/>
    <s v="OBRA"/>
    <x v="1"/>
    <s v="may-YY"/>
    <x v="0"/>
    <x v="1"/>
    <s v="OPERARIO ELECTRICO"/>
    <x v="2"/>
    <x v="3"/>
    <n v="2"/>
    <n v="46801821"/>
    <n v="43.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43.5"/>
    <n v="5.4375"/>
    <n v="43.5"/>
    <n v="0"/>
    <n v="0"/>
    <n v="0"/>
    <n v="0"/>
    <s v=" "/>
    <s v=" "/>
    <m/>
    <m/>
    <m/>
    <n v="43.5"/>
    <e v="#REF!"/>
  </r>
  <r>
    <s v="lunes"/>
    <s v="PLANTA"/>
    <x v="1"/>
    <s v="may-YY"/>
    <x v="0"/>
    <x v="2"/>
    <s v="OPERARIO SOLDADOR"/>
    <x v="3"/>
    <x v="3"/>
    <n v="1"/>
    <n v="10664396"/>
    <n v="60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59.999999999999993"/>
    <n v="7.4999999999999991"/>
    <n v="59.999999999999993"/>
    <n v="0"/>
    <n v="0"/>
    <n v="0"/>
    <n v="0"/>
    <s v=" "/>
    <s v=" "/>
    <m/>
    <m/>
    <m/>
    <n v="59.999999999999993"/>
    <e v="#REF!"/>
  </r>
  <r>
    <s v="lunes"/>
    <s v="FALTA"/>
    <x v="1"/>
    <s v="may-YY"/>
    <x v="1"/>
    <x v="2"/>
    <s v="OPERARIO SOLDADOR"/>
    <x v="4"/>
    <x v="3"/>
    <n v="4"/>
    <n v="71995358"/>
    <n v="4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lunes"/>
    <s v="OBRA"/>
    <x v="1"/>
    <s v="may-YY"/>
    <x v="0"/>
    <x v="3"/>
    <s v="MECANICO MONTAJISTA DE MAQUINARIA EXTRANJERA"/>
    <x v="5"/>
    <x v="3"/>
    <n v="2"/>
    <n v="27291529"/>
    <n v="72.540000000000006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72.540000000000006"/>
    <n v="9.0675000000000008"/>
    <n v="72.540000000000006"/>
    <n v="0"/>
    <n v="0"/>
    <n v="0"/>
    <n v="0"/>
    <s v=" "/>
    <s v=" "/>
    <m/>
    <m/>
    <m/>
    <n v="72.540000000000006"/>
    <e v="#REF!"/>
  </r>
  <r>
    <s v="lunes"/>
    <s v="PLANTA"/>
    <x v="1"/>
    <s v="may-YY"/>
    <x v="0"/>
    <x v="4"/>
    <s v="TECNICO ELECTRICO MONTAJISTA DE MAQUINARIA"/>
    <x v="6"/>
    <x v="3"/>
    <n v="1"/>
    <n v="47711616"/>
    <n v="47.73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47.729999999999983"/>
    <n v="5.9662499999999978"/>
    <n v="47.729999999999983"/>
    <n v="0"/>
    <n v="0"/>
    <n v="0"/>
    <n v="0"/>
    <s v=" "/>
    <s v=" "/>
    <m/>
    <m/>
    <m/>
    <n v="47.729999999999983"/>
    <e v="#REF!"/>
  </r>
  <r>
    <s v="lunes"/>
    <s v="OBRA"/>
    <x v="1"/>
    <s v="may-YY"/>
    <x v="0"/>
    <x v="5"/>
    <s v="TECNICO MECANICO MONTAJISTA DE NAVE INDUSTRIAL"/>
    <x v="7"/>
    <x v="3"/>
    <n v="2"/>
    <n v="48237026"/>
    <n v="52.2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45.675000000000004"/>
    <n v="5.7093750000000005"/>
    <n v="45.675000000000004"/>
    <n v="0"/>
    <n v="0"/>
    <n v="0"/>
    <n v="0"/>
    <s v=" "/>
    <s v=" "/>
    <m/>
    <m/>
    <m/>
    <n v="45.675000000000004"/>
    <e v="#REF!"/>
  </r>
  <r>
    <s v="lunes"/>
    <s v="FALTA"/>
    <x v="1"/>
    <s v="may-YY"/>
    <x v="0"/>
    <x v="6"/>
    <s v="TECNICO ELECTRICO MONTAJISTA DE MAQUINARIA EXTRANJERA"/>
    <x v="8"/>
    <x v="3"/>
    <n v="4"/>
    <n v="47055982"/>
    <n v="73.72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lunes"/>
    <s v="FALTA"/>
    <x v="1"/>
    <s v="may-YY"/>
    <x v="0"/>
    <x v="7"/>
    <s v="AYUDANTE DE PRODUCCION"/>
    <x v="9"/>
    <x v="3"/>
    <n v="4"/>
    <n v="48359730"/>
    <n v="5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lunes"/>
    <s v="PLANTA"/>
    <x v="1"/>
    <s v="may-YY"/>
    <x v="0"/>
    <x v="2"/>
    <s v="OPERARIO SOLDADOR"/>
    <x v="10"/>
    <x v="3"/>
    <n v="1"/>
    <n v="74359947"/>
    <n v="57.62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57.62"/>
    <n v="7.2024999999999997"/>
    <n v="57.62"/>
    <n v="0"/>
    <n v="0"/>
    <n v="0"/>
    <n v="0"/>
    <s v=" "/>
    <s v=" "/>
    <m/>
    <m/>
    <m/>
    <n v="57.62"/>
    <e v="#REF!"/>
  </r>
  <r>
    <s v="lunes"/>
    <s v="FALTA"/>
    <x v="1"/>
    <s v="may-YY"/>
    <x v="0"/>
    <x v="0"/>
    <s v="TECNICO MECANICO MONTAJISTA DE MAQUINARIA"/>
    <x v="11"/>
    <x v="3"/>
    <n v="4"/>
    <n v="47321409"/>
    <n v="6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lunes"/>
    <s v="OBRA"/>
    <x v="1"/>
    <s v="may-YY"/>
    <x v="0"/>
    <x v="8"/>
    <s v="TECNICO MECANICO MONTAJISTA DE MAQUINARIA EXTRANJERA"/>
    <x v="12"/>
    <x v="3"/>
    <n v="2"/>
    <n v="70133802"/>
    <n v="66.92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6.92"/>
    <n v="8.3650000000000002"/>
    <n v="66.92"/>
    <n v="0"/>
    <n v="0"/>
    <n v="0"/>
    <n v="0"/>
    <s v=" "/>
    <s v=" "/>
    <m/>
    <m/>
    <m/>
    <n v="66.92"/>
    <e v="#REF!"/>
  </r>
  <r>
    <s v="lunes"/>
    <s v="FALTA"/>
    <x v="1"/>
    <s v="may-YY"/>
    <x v="1"/>
    <x v="7"/>
    <s v="TECNICO SOLDADOR"/>
    <x v="13"/>
    <x v="3"/>
    <n v="4"/>
    <n v="75494335"/>
    <n v="9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lunes"/>
    <s v="PLANTA"/>
    <x v="1"/>
    <s v="may-YY"/>
    <x v="0"/>
    <x v="7"/>
    <s v="AYUDANTE DE PRODUCCION"/>
    <x v="14"/>
    <x v="3"/>
    <n v="1"/>
    <n v="76288149"/>
    <n v="44.32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44.319999999999986"/>
    <n v="5.5399999999999983"/>
    <n v="44.319999999999986"/>
    <n v="0"/>
    <n v="0"/>
    <n v="0"/>
    <n v="0"/>
    <s v=" "/>
    <s v=" "/>
    <m/>
    <m/>
    <m/>
    <n v="44.319999999999986"/>
    <e v="#REF!"/>
  </r>
  <r>
    <s v="lunes"/>
    <s v="OBRA"/>
    <x v="1"/>
    <s v="may-YY"/>
    <x v="0"/>
    <x v="7"/>
    <s v="AYUDANTE DE PRODUCCION"/>
    <x v="15"/>
    <x v="3"/>
    <n v="2"/>
    <n v="75809362"/>
    <n v="6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5"/>
    <n v="8.125"/>
    <n v="65"/>
    <n v="0"/>
    <n v="0"/>
    <n v="0"/>
    <n v="0"/>
    <s v=" "/>
    <s v=" "/>
    <m/>
    <m/>
    <m/>
    <n v="65"/>
    <e v="#REF!"/>
  </r>
  <r>
    <s v="lunes"/>
    <s v="PLANTA"/>
    <x v="1"/>
    <s v="may-YY"/>
    <x v="1"/>
    <x v="2"/>
    <s v="OPERARIO SOLDADOR"/>
    <x v="16"/>
    <x v="3"/>
    <n v="1"/>
    <n v="42558469"/>
    <n v="60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59.999999999999993"/>
    <n v="7.4999999999999991"/>
    <n v="59.999999999999993"/>
    <n v="0"/>
    <n v="0"/>
    <n v="0"/>
    <n v="0"/>
    <s v=" "/>
    <s v=" "/>
    <m/>
    <m/>
    <m/>
    <n v="59.999999999999993"/>
    <e v="#REF!"/>
  </r>
  <r>
    <s v="lunes"/>
    <s v="PLANTA"/>
    <x v="1"/>
    <s v="may-YY"/>
    <x v="0"/>
    <x v="9"/>
    <s v="MAESTRO MECANICO MONTAJISTA DE MAQUINARIA"/>
    <x v="17"/>
    <x v="3"/>
    <n v="1"/>
    <n v="48046568"/>
    <n v="68.150000000000006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68.149999999999991"/>
    <n v="8.5187499999999989"/>
    <n v="68.149999999999991"/>
    <n v="0"/>
    <n v="0"/>
    <n v="0"/>
    <n v="0"/>
    <s v=" "/>
    <s v=" "/>
    <m/>
    <m/>
    <m/>
    <n v="68.149999999999991"/>
    <e v="#REF!"/>
  </r>
  <r>
    <s v="lunes"/>
    <s v="PLANTA"/>
    <x v="1"/>
    <s v="may-YY"/>
    <x v="0"/>
    <x v="7"/>
    <s v="AYUDANTE DE PRODUCCION"/>
    <x v="18"/>
    <x v="3"/>
    <n v="1"/>
    <n v="75790434"/>
    <n v="35.81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35.809999999999995"/>
    <n v="4.4762499999999994"/>
    <n v="35.809999999999995"/>
    <n v="0"/>
    <n v="0"/>
    <n v="0"/>
    <n v="0"/>
    <s v=" "/>
    <s v=" "/>
    <m/>
    <m/>
    <m/>
    <n v="35.809999999999995"/>
    <e v="#REF!"/>
  </r>
  <r>
    <s v="lunes"/>
    <s v="PLANTA"/>
    <x v="1"/>
    <s v="may-YY"/>
    <x v="1"/>
    <x v="10"/>
    <s v="TECNICO SOLDADOR"/>
    <x v="19"/>
    <x v="3"/>
    <n v="1"/>
    <n v="45545014"/>
    <n v="60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0"/>
    <n v="7.5"/>
    <n v="60"/>
    <n v="0"/>
    <n v="0"/>
    <n v="0"/>
    <n v="0"/>
    <s v=" "/>
    <s v=" "/>
    <m/>
    <m/>
    <m/>
    <n v="60"/>
    <e v="#REF!"/>
  </r>
  <r>
    <s v="lunes"/>
    <s v="OBRA"/>
    <x v="1"/>
    <s v="may-YY"/>
    <x v="0"/>
    <x v="11"/>
    <s v="SUPERVISOR DE MONTAJE Y DESMONTAJE"/>
    <x v="20"/>
    <x v="3"/>
    <n v="2"/>
    <n v="45327555"/>
    <n v="62.31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2.31"/>
    <n v="7.7887500000000003"/>
    <n v="62.31"/>
    <n v="0"/>
    <n v="0"/>
    <n v="0"/>
    <n v="0"/>
    <s v=" "/>
    <s v=" "/>
    <m/>
    <m/>
    <m/>
    <n v="62.31"/>
    <e v="#REF!"/>
  </r>
  <r>
    <s v="lunes"/>
    <s v="PLANTA"/>
    <x v="1"/>
    <s v="may-YY"/>
    <x v="0"/>
    <x v="8"/>
    <s v="TECNICO MECANICO MONTAJISTA DE MAQUINARIA EXTRANJERA"/>
    <x v="21"/>
    <x v="3"/>
    <n v="1"/>
    <n v="46228460"/>
    <n v="67.66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67.659999999999982"/>
    <n v="8.4574999999999978"/>
    <n v="67.659999999999982"/>
    <n v="0"/>
    <n v="0"/>
    <n v="0"/>
    <n v="0"/>
    <s v=" "/>
    <s v=" "/>
    <m/>
    <m/>
    <m/>
    <n v="67.659999999999982"/>
    <e v="#REF!"/>
  </r>
  <r>
    <s v="lunes"/>
    <s v="OBRA"/>
    <x v="1"/>
    <s v="may-YY"/>
    <x v="0"/>
    <x v="7"/>
    <s v="AYUDANTE DE PRODUCCION"/>
    <x v="22"/>
    <x v="3"/>
    <n v="2"/>
    <n v="75913657"/>
    <n v="60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52.5"/>
    <n v="6.5625"/>
    <n v="52.5"/>
    <n v="0"/>
    <n v="0"/>
    <n v="0"/>
    <n v="0"/>
    <s v=" "/>
    <s v=" "/>
    <m/>
    <m/>
    <m/>
    <n v="52.5"/>
    <e v="#REF!"/>
  </r>
  <r>
    <s v="lunes"/>
    <s v="PLANTA"/>
    <x v="1"/>
    <s v="may-YY"/>
    <x v="0"/>
    <x v="12"/>
    <s v="MAESTRO SOLDADOR 3G"/>
    <x v="23"/>
    <x v="3"/>
    <n v="1"/>
    <n v="47466045"/>
    <n v="70.38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70.38"/>
    <n v="8.7974999999999994"/>
    <n v="70.38"/>
    <n v="0"/>
    <n v="0"/>
    <n v="0"/>
    <n v="0"/>
    <s v=" "/>
    <s v=" "/>
    <m/>
    <m/>
    <m/>
    <n v="70.38"/>
    <e v="#REF!"/>
  </r>
  <r>
    <s v="lunes"/>
    <s v="OBRA"/>
    <x v="1"/>
    <s v="may-YY"/>
    <x v="0"/>
    <x v="13"/>
    <s v="AYUDANTE DE PRODUCCION"/>
    <x v="24"/>
    <x v="3"/>
    <n v="2"/>
    <n v="62188868"/>
    <n v="39.1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39.15"/>
    <n v="4.8937499999999998"/>
    <n v="39.15"/>
    <n v="0"/>
    <n v="0"/>
    <n v="0"/>
    <n v="0"/>
    <s v=" "/>
    <s v=" "/>
    <m/>
    <m/>
    <m/>
    <n v="39.15"/>
    <e v="#REF!"/>
  </r>
  <r>
    <s v="lunes"/>
    <s v="OBRA"/>
    <x v="1"/>
    <s v="may-YY"/>
    <x v="0"/>
    <x v="0"/>
    <s v="TECNICO MECANICO MONTAJISTA DE MAQUINARIA"/>
    <x v="25"/>
    <x v="3"/>
    <n v="2"/>
    <n v="73541627"/>
    <n v="5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55"/>
    <n v="6.875"/>
    <n v="55"/>
    <n v="0"/>
    <n v="0"/>
    <n v="0"/>
    <n v="0"/>
    <s v=" "/>
    <s v=" "/>
    <m/>
    <m/>
    <m/>
    <n v="55"/>
    <e v="#REF!"/>
  </r>
  <r>
    <s v="lunes"/>
    <s v="OBRA"/>
    <x v="1"/>
    <s v="may-YY"/>
    <x v="0"/>
    <x v="8"/>
    <s v="TECNICO MECANICO MONTAJISTA DE MAQUINARIA EXTRANJERA"/>
    <x v="26"/>
    <x v="3"/>
    <n v="2"/>
    <n v="76811302"/>
    <n v="6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0"/>
    <n v="7.5"/>
    <n v="60"/>
    <n v="0"/>
    <n v="0"/>
    <n v="0"/>
    <n v="0"/>
    <s v=" "/>
    <s v=" "/>
    <m/>
    <m/>
    <m/>
    <n v="60"/>
    <e v="#REF!"/>
  </r>
  <r>
    <s v="lunes"/>
    <s v="OBRA"/>
    <x v="1"/>
    <s v="may-YY"/>
    <x v="2"/>
    <x v="13"/>
    <s v="AYUDANTE DE PRODUCCION"/>
    <x v="27"/>
    <x v="3"/>
    <n v="2"/>
    <n v="76457697"/>
    <n v="45"/>
    <d v="1899-12-30T07:00:00"/>
    <d v="1899-12-30T13:00:00"/>
    <d v="1899-12-30T14:00:00"/>
    <d v="1899-12-30T19:30:00"/>
    <d v="1899-12-30T11:30:00"/>
    <d v="1899-12-30T08:00:00"/>
    <d v="1899-12-30T03:30:00"/>
    <m/>
    <m/>
    <n v="0"/>
    <n v="0"/>
    <n v="0"/>
    <m/>
    <n v="11.499999999999998"/>
    <n v="8"/>
    <n v="3.4999999999999982"/>
    <n v="45"/>
    <n v="5.625"/>
    <n v="45"/>
    <n v="0"/>
    <n v="0"/>
    <n v="0"/>
    <n v="0"/>
    <s v=" "/>
    <s v=" "/>
    <m/>
    <m/>
    <m/>
    <n v="45"/>
    <e v="#REF!"/>
  </r>
  <r>
    <s v="lunes"/>
    <s v="OBRA"/>
    <x v="1"/>
    <s v="may-YY"/>
    <x v="3"/>
    <x v="7"/>
    <n v="0"/>
    <x v="28"/>
    <x v="3"/>
    <n v="2"/>
    <n v="75561146"/>
    <n v="0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0"/>
    <n v="0"/>
    <n v="0"/>
    <n v="0"/>
    <n v="0"/>
    <n v="0"/>
    <n v="0"/>
    <s v=" "/>
    <s v=" "/>
    <m/>
    <m/>
    <m/>
    <n v="0"/>
    <e v="#REF!"/>
  </r>
  <r>
    <s v="lunes"/>
    <s v="PLANTA"/>
    <x v="1"/>
    <s v="may-YY"/>
    <x v="3"/>
    <x v="7"/>
    <n v="0"/>
    <x v="29"/>
    <x v="3"/>
    <n v="1"/>
    <n v="76847602"/>
    <n v="0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0"/>
    <n v="0"/>
    <n v="0"/>
    <n v="0"/>
    <n v="0"/>
    <n v="0"/>
    <n v="0"/>
    <s v=" "/>
    <s v=" "/>
    <m/>
    <m/>
    <m/>
    <n v="0"/>
    <e v="#REF!"/>
  </r>
  <r>
    <s v="lunes"/>
    <s v="OBRA"/>
    <x v="1"/>
    <s v="may-YY"/>
    <x v="0"/>
    <x v="10"/>
    <s v="TECNICO SOLDADOR"/>
    <x v="30"/>
    <x v="3"/>
    <n v="2"/>
    <n v="46933574"/>
    <n v="6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5"/>
    <n v="8.125"/>
    <n v="65"/>
    <n v="0"/>
    <n v="0"/>
    <n v="0"/>
    <n v="0"/>
    <s v=" "/>
    <s v=" "/>
    <m/>
    <m/>
    <m/>
    <n v="65"/>
    <e v="#REF!"/>
  </r>
  <r>
    <s v="lunes"/>
    <s v="PLANTA"/>
    <x v="1"/>
    <s v="may-YY"/>
    <x v="0"/>
    <x v="7"/>
    <n v="0"/>
    <x v="31"/>
    <x v="3"/>
    <n v="1"/>
    <n v="41234982"/>
    <n v="0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0"/>
    <n v="0"/>
    <n v="0"/>
    <n v="0"/>
    <n v="0"/>
    <n v="0"/>
    <n v="0"/>
    <s v=" "/>
    <s v=" "/>
    <m/>
    <m/>
    <m/>
    <n v="0"/>
    <e v="#REF!"/>
  </r>
  <r>
    <s v="lunes"/>
    <s v="PLANTA"/>
    <x v="1"/>
    <s v="may-YY"/>
    <x v="0"/>
    <x v="5"/>
    <s v="TECNICO MECANICO MONTAJISTA DE NAVE INDUSTRIAL"/>
    <x v="32"/>
    <x v="3"/>
    <n v="1"/>
    <n v="45821420"/>
    <n v="56.55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56.54999999999999"/>
    <n v="7.0687499999999988"/>
    <n v="56.54999999999999"/>
    <n v="0"/>
    <n v="0"/>
    <n v="0"/>
    <n v="0"/>
    <s v=" "/>
    <s v=" "/>
    <m/>
    <m/>
    <m/>
    <n v="56.54999999999999"/>
    <e v="#REF!"/>
  </r>
  <r>
    <s v="lunes"/>
    <s v="PLANTA"/>
    <x v="1"/>
    <s v="may-YY"/>
    <x v="0"/>
    <x v="10"/>
    <s v="TECNICO SOLDADOR"/>
    <x v="33"/>
    <x v="3"/>
    <n v="1"/>
    <n v="47887505"/>
    <n v="66.48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66.48"/>
    <n v="8.31"/>
    <n v="66.48"/>
    <n v="0"/>
    <n v="0"/>
    <n v="0"/>
    <n v="0"/>
    <s v=" "/>
    <s v=" "/>
    <m/>
    <m/>
    <m/>
    <n v="66.48"/>
    <e v="#REF!"/>
  </r>
  <r>
    <s v="lunes"/>
    <s v="FALTA"/>
    <x v="1"/>
    <s v="may-YY"/>
    <x v="0"/>
    <x v="7"/>
    <n v="0"/>
    <x v="34"/>
    <x v="3"/>
    <n v="4"/>
    <n v="77226886"/>
    <n v="8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lunes"/>
    <s v=" "/>
    <x v="1"/>
    <s v="may-YY"/>
    <x v="0"/>
    <x v="14"/>
    <s v="MECANICO MONTAJISTA DE MAQUINARIA"/>
    <x v="35"/>
    <x v="3"/>
    <m/>
    <n v="47942907"/>
    <n v="7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lunes"/>
    <s v="PLANTA"/>
    <x v="1"/>
    <s v="may-YY"/>
    <x v="0"/>
    <x v="0"/>
    <s v="TECNICO MECANICO MONTAJISTA DE MAQUINARIA"/>
    <x v="36"/>
    <x v="3"/>
    <n v="1"/>
    <n v="48372384"/>
    <n v="57.62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57.62"/>
    <n v="7.2024999999999997"/>
    <n v="57.62"/>
    <n v="0"/>
    <n v="0"/>
    <n v="0"/>
    <n v="0"/>
    <s v=" "/>
    <s v=" "/>
    <m/>
    <m/>
    <m/>
    <n v="57.62"/>
    <e v="#REF!"/>
  </r>
  <r>
    <s v="lunes"/>
    <s v="PLANTA"/>
    <x v="1"/>
    <s v="may-YY"/>
    <x v="0"/>
    <x v="9"/>
    <s v="MAESTRO MECANICO MONTAJISTA DE MAQUINARIA"/>
    <x v="37"/>
    <x v="3"/>
    <n v="1"/>
    <n v="42308744"/>
    <n v="87.1"/>
    <d v="1899-12-30T07:00:00"/>
    <d v="1899-12-30T13:00:00"/>
    <d v="1899-12-30T14:00:00"/>
    <d v="1899-12-30T15:00:00"/>
    <d v="1899-12-30T07:00:00"/>
    <d v="1899-12-30T07:00:00"/>
    <d v="1899-12-30T00:00:00"/>
    <m/>
    <m/>
    <n v="0"/>
    <n v="0"/>
    <n v="0"/>
    <m/>
    <n v="6.9999999999999982"/>
    <n v="6.9999999999999982"/>
    <n v="0"/>
    <n v="67.744444444444426"/>
    <n v="8.4680555555555532"/>
    <n v="67.744444444444426"/>
    <n v="0"/>
    <n v="0"/>
    <n v="0"/>
    <n v="0"/>
    <s v=" "/>
    <s v=" "/>
    <m/>
    <m/>
    <m/>
    <n v="67.744444444444426"/>
    <e v="#REF!"/>
  </r>
  <r>
    <s v="lunes"/>
    <s v="OBRA"/>
    <x v="1"/>
    <s v="may-YY"/>
    <x v="1"/>
    <x v="12"/>
    <s v="MAESTRO SOLDADOR 3G"/>
    <x v="38"/>
    <x v="3"/>
    <n v="2"/>
    <n v="45486657"/>
    <n v="9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90"/>
    <n v="11.25"/>
    <n v="90"/>
    <n v="0"/>
    <n v="0"/>
    <n v="0"/>
    <n v="0"/>
    <s v=" "/>
    <s v=" "/>
    <m/>
    <m/>
    <m/>
    <n v="90"/>
    <e v="#REF!"/>
  </r>
  <r>
    <s v="lunes"/>
    <s v="OBRA"/>
    <x v="1"/>
    <s v="may-YY"/>
    <x v="0"/>
    <x v="15"/>
    <s v="MAESTRO ELECTRICO MONTAJISTA DE MAQUINARIA EXTRANJERA"/>
    <x v="39"/>
    <x v="3"/>
    <n v="2"/>
    <n v="45779525"/>
    <n v="116.06"/>
    <d v="1899-12-30T10:00:00"/>
    <d v="1899-12-30T14:30:00"/>
    <d v="1899-12-30T19:30:00"/>
    <d v="1899-12-30T23:59:00"/>
    <d v="1899-12-30T08:59:00"/>
    <d v="1899-12-30T08:00:00"/>
    <d v="1899-12-30T00:59:00"/>
    <m/>
    <m/>
    <n v="0"/>
    <n v="0"/>
    <n v="0"/>
    <m/>
    <n v="8.9833333333333325"/>
    <n v="8"/>
    <n v="0.9833333333333325"/>
    <n v="116.06"/>
    <n v="14.5075"/>
    <n v="116.06"/>
    <n v="0"/>
    <n v="0"/>
    <n v="0"/>
    <n v="0"/>
    <s v=" "/>
    <s v=" "/>
    <m/>
    <m/>
    <m/>
    <n v="116.06"/>
    <e v="#REF!"/>
  </r>
  <r>
    <s v="lunes"/>
    <s v="PLANTA"/>
    <x v="1"/>
    <s v="may-YY"/>
    <x v="0"/>
    <x v="12"/>
    <s v="MAESTRO SOLDADOR 3G"/>
    <x v="40"/>
    <x v="3"/>
    <n v="1"/>
    <n v="77423720"/>
    <n v="69.44"/>
    <d v="1899-12-30T07:00:00"/>
    <d v="1899-12-30T13:00:00"/>
    <d v="1899-12-30T13:15:00"/>
    <d v="1899-12-30T16:15:00"/>
    <d v="1899-12-30T09:00:00"/>
    <d v="1899-12-30T09:00:00"/>
    <d v="1899-12-30T00:00:00"/>
    <m/>
    <m/>
    <n v="0"/>
    <n v="0"/>
    <n v="0"/>
    <m/>
    <n v="8.9999999999999982"/>
    <n v="8.9999999999999982"/>
    <n v="0"/>
    <n v="69.439999999999984"/>
    <n v="8.6799999999999979"/>
    <n v="69.439999999999984"/>
    <n v="0"/>
    <n v="0"/>
    <n v="0"/>
    <n v="0"/>
    <s v=" "/>
    <s v=" "/>
    <m/>
    <m/>
    <m/>
    <n v="69.439999999999984"/>
    <e v="#REF!"/>
  </r>
  <r>
    <s v="lunes"/>
    <s v="PLANTA"/>
    <x v="1"/>
    <s v="may-YY"/>
    <x v="0"/>
    <x v="16"/>
    <s v="MAESTRO SOLDADOR 6G MONTAJISTA DE MAQUINARIA"/>
    <x v="41"/>
    <x v="3"/>
    <n v="1"/>
    <n v="45035778"/>
    <n v="92.8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92.799999999999983"/>
    <n v="11.599999999999998"/>
    <n v="92.799999999999983"/>
    <n v="0"/>
    <n v="0"/>
    <n v="0"/>
    <n v="0"/>
    <s v=" "/>
    <s v=" "/>
    <m/>
    <m/>
    <m/>
    <n v="92.799999999999983"/>
    <e v="#REF!"/>
  </r>
  <r>
    <s v="lunes"/>
    <s v="OBRA"/>
    <x v="1"/>
    <s v="may-YY"/>
    <x v="0"/>
    <x v="17"/>
    <s v="MAESTRO MECANICO MONTAJISTA DE MAQUINARIA EXTRANJERA"/>
    <x v="42"/>
    <x v="3"/>
    <n v="2"/>
    <n v="72926564"/>
    <n v="88.27"/>
    <d v="1899-12-30T07:00:00"/>
    <d v="1899-12-30T13:00:00"/>
    <d v="1899-12-30T14:00:00"/>
    <d v="1899-12-30T18:30:00"/>
    <d v="1899-12-30T10:30:00"/>
    <d v="1899-12-30T08:00:00"/>
    <d v="1899-12-30T02:30:00"/>
    <m/>
    <m/>
    <n v="0"/>
    <n v="0"/>
    <n v="0"/>
    <m/>
    <n v="10.499999999999998"/>
    <n v="8"/>
    <n v="2.4999999999999991"/>
    <n v="88.27"/>
    <n v="11.03375"/>
    <n v="88.27"/>
    <n v="0"/>
    <n v="0"/>
    <n v="0"/>
    <n v="0"/>
    <s v=" "/>
    <s v=" "/>
    <m/>
    <m/>
    <m/>
    <n v="88.27"/>
    <e v="#REF!"/>
  </r>
  <r>
    <s v="lunes"/>
    <s v="OBRA"/>
    <x v="1"/>
    <s v="may-YY"/>
    <x v="0"/>
    <x v="7"/>
    <s v="TECNICO SOLDADOR"/>
    <x v="43"/>
    <x v="3"/>
    <n v="2"/>
    <n v="72927801"/>
    <n v="6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0"/>
    <n v="7.5"/>
    <n v="60"/>
    <n v="0"/>
    <n v="0"/>
    <n v="0"/>
    <n v="0"/>
    <s v=" "/>
    <s v=" "/>
    <m/>
    <m/>
    <m/>
    <n v="60"/>
    <e v="#REF!"/>
  </r>
  <r>
    <s v="lunes"/>
    <s v="OBRA"/>
    <x v="1"/>
    <s v="may-YY"/>
    <x v="0"/>
    <x v="3"/>
    <s v="MECANICO MONTAJISTA DE MAQUINARIA EXTRANJERA"/>
    <x v="44"/>
    <x v="3"/>
    <n v="2"/>
    <n v="45360771"/>
    <n v="94.35"/>
    <d v="1899-12-30T07:00:00"/>
    <d v="1899-12-30T13:00:00"/>
    <d v="1899-12-30T14:00:00"/>
    <d v="1899-12-30T18:30:00"/>
    <d v="1899-12-30T10:30:00"/>
    <d v="1899-12-30T08:00:00"/>
    <d v="1899-12-30T02:30:00"/>
    <m/>
    <m/>
    <n v="0"/>
    <n v="0"/>
    <n v="0"/>
    <m/>
    <n v="10.499999999999998"/>
    <n v="8"/>
    <n v="2.4999999999999991"/>
    <n v="94.35"/>
    <n v="11.793749999999999"/>
    <n v="94.35"/>
    <n v="0"/>
    <n v="0"/>
    <n v="0"/>
    <n v="0"/>
    <s v=" "/>
    <s v=" "/>
    <m/>
    <m/>
    <m/>
    <n v="94.35"/>
    <e v="#REF!"/>
  </r>
  <r>
    <s v="lunes"/>
    <s v="OBRA"/>
    <x v="1"/>
    <s v="may-YY"/>
    <x v="0"/>
    <x v="7"/>
    <s v="TECNICO MECANICO MONTAJISTA DE NAVE INDUSTRIAL"/>
    <x v="45"/>
    <x v="3"/>
    <n v="2"/>
    <n v="44676684"/>
    <n v="70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61.25"/>
    <n v="7.65625"/>
    <n v="61.25"/>
    <n v="0"/>
    <n v="0"/>
    <n v="0"/>
    <n v="0"/>
    <s v=" "/>
    <s v=" "/>
    <m/>
    <m/>
    <m/>
    <n v="61.25"/>
    <e v="#REF!"/>
  </r>
  <r>
    <s v="lunes"/>
    <s v=" "/>
    <x v="1"/>
    <s v="may-YY"/>
    <x v="1"/>
    <x v="7"/>
    <n v="0"/>
    <x v="46"/>
    <x v="3"/>
    <m/>
    <n v="71214531"/>
    <n v="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lunes"/>
    <s v="PLANTA"/>
    <x v="1"/>
    <s v="may-YY"/>
    <x v="0"/>
    <x v="0"/>
    <s v="TECNICO MECANICO MONTAJISTA DE MAQUINARIA"/>
    <x v="47"/>
    <x v="3"/>
    <n v="1"/>
    <n v="47158079"/>
    <n v="56.55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56.54999999999999"/>
    <n v="7.0687499999999988"/>
    <n v="56.54999999999999"/>
    <n v="0"/>
    <n v="0"/>
    <n v="0"/>
    <n v="0"/>
    <s v=" "/>
    <s v=" "/>
    <m/>
    <m/>
    <m/>
    <n v="56.54999999999999"/>
    <e v="#REF!"/>
  </r>
  <r>
    <s v="lunes"/>
    <s v="OBRA"/>
    <x v="1"/>
    <s v="may-YY"/>
    <x v="0"/>
    <x v="6"/>
    <s v="TECNICO ELECTRICO MONTAJISTA DE MAQUINARIA EXTRANJERA"/>
    <x v="48"/>
    <x v="3"/>
    <n v="2"/>
    <n v="76449683"/>
    <n v="73.87"/>
    <d v="1899-12-30T07:30:00"/>
    <d v="1899-12-30T13:00:00"/>
    <d v="1899-12-30T17:00:00"/>
    <d v="1899-12-30T22:30:00"/>
    <d v="1899-12-30T11:00:00"/>
    <d v="1899-12-30T08:00:00"/>
    <d v="1899-12-30T03:00:00"/>
    <n v="2"/>
    <n v="1"/>
    <n v="22.984375"/>
    <n v="12.411562499999999"/>
    <n v="35.395937500000002"/>
    <m/>
    <n v="10.999999999999998"/>
    <n v="8"/>
    <n v="2.9999999999999987"/>
    <n v="73.55"/>
    <n v="9.1937499999999996"/>
    <n v="108.9459375"/>
    <n v="0"/>
    <n v="0"/>
    <n v="0"/>
    <n v="0"/>
    <s v=" "/>
    <s v=" "/>
    <m/>
    <m/>
    <m/>
    <n v="108.9459375"/>
    <e v="#REF!"/>
  </r>
  <r>
    <s v="lunes"/>
    <s v="OBRA"/>
    <x v="1"/>
    <s v="may-YY"/>
    <x v="0"/>
    <x v="3"/>
    <s v="MECANICO MONTAJISTA DE MAQUINARIA EXTRANJERA"/>
    <x v="49"/>
    <x v="3"/>
    <n v="2"/>
    <n v="43878459"/>
    <n v="79.78"/>
    <d v="1899-12-30T07:00:00"/>
    <d v="1899-12-30T13:00:00"/>
    <d v="1899-12-30T14:00:00"/>
    <d v="1899-12-30T18:00:00"/>
    <d v="1899-12-30T10:00:00"/>
    <d v="1899-12-30T08:00:00"/>
    <d v="1899-12-30T02:00:00"/>
    <n v="2"/>
    <n v="0"/>
    <n v="24.931249999999999"/>
    <n v="0"/>
    <n v="24.931249999999999"/>
    <m/>
    <n v="9.9999999999999982"/>
    <n v="8"/>
    <n v="1.9999999999999982"/>
    <n v="79.78"/>
    <n v="9.9725000000000001"/>
    <n v="104.71125000000001"/>
    <n v="0"/>
    <n v="0"/>
    <n v="0"/>
    <n v="0"/>
    <s v=" "/>
    <s v=" "/>
    <m/>
    <m/>
    <m/>
    <n v="104.71125000000001"/>
    <e v="#REF!"/>
  </r>
  <r>
    <s v="lunes"/>
    <s v="OBRA"/>
    <x v="1"/>
    <s v="may-YY"/>
    <x v="0"/>
    <x v="3"/>
    <s v="MECANICO MONTAJISTA DE MAQUINARIA EXTRANJERA"/>
    <x v="50"/>
    <x v="3"/>
    <n v="2"/>
    <n v="46578402"/>
    <n v="103.42"/>
    <d v="1899-12-30T18:00:00"/>
    <m/>
    <m/>
    <d v="1899-12-30T23:00:00"/>
    <d v="1899-12-30T05:00:00"/>
    <d v="1899-12-30T05:00:00"/>
    <d v="1899-12-30T00:00:00"/>
    <n v="0"/>
    <n v="0"/>
    <n v="0"/>
    <n v="0"/>
    <n v="0"/>
    <m/>
    <n v="5.0000000000000009"/>
    <n v="5.0000000000000009"/>
    <n v="0"/>
    <n v="64.637500000000017"/>
    <n v="8.0796875000000021"/>
    <n v="64.637500000000017"/>
    <n v="0"/>
    <n v="0"/>
    <n v="0"/>
    <n v="0"/>
    <s v=" "/>
    <s v=" "/>
    <m/>
    <m/>
    <m/>
    <n v="64.637500000000017"/>
    <e v="#REF!"/>
  </r>
  <r>
    <s v="lunes"/>
    <s v="OBRA"/>
    <x v="1"/>
    <s v="may-YY"/>
    <x v="0"/>
    <x v="7"/>
    <s v="PRACTICANTE "/>
    <x v="51"/>
    <x v="3"/>
    <n v="2"/>
    <n v="72814417"/>
    <n v="35.76"/>
    <d v="1899-12-30T07:00:00"/>
    <d v="1899-12-30T13:00:00"/>
    <d v="1899-12-30T14:00:00"/>
    <d v="1899-12-30T20:00:00"/>
    <d v="1899-12-30T12:00:00"/>
    <d v="1899-12-30T08:00:00"/>
    <d v="1899-12-30T04:00:00"/>
    <n v="2"/>
    <n v="2"/>
    <n v="11.174999999999999"/>
    <n v="12.068999999999999"/>
    <n v="23.244"/>
    <m/>
    <n v="11.999999999999998"/>
    <n v="8"/>
    <n v="3.9999999999999991"/>
    <n v="35.76"/>
    <n v="4.47"/>
    <n v="59.003999999999998"/>
    <n v="0"/>
    <n v="0"/>
    <n v="0"/>
    <n v="0"/>
    <s v=" "/>
    <s v=" "/>
    <m/>
    <m/>
    <m/>
    <n v="59.003999999999998"/>
    <e v="#REF!"/>
  </r>
  <r>
    <s v="lunes"/>
    <s v="OBRA"/>
    <x v="1"/>
    <s v="may-YY"/>
    <x v="0"/>
    <x v="3"/>
    <s v="MECANICO MONTAJISTA DE MAQUINARIA EXTRANJERA"/>
    <x v="52"/>
    <x v="3"/>
    <n v="2"/>
    <n v="45416906"/>
    <n v="87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87"/>
    <n v="10.875"/>
    <n v="87"/>
    <n v="0"/>
    <n v="0"/>
    <n v="0"/>
    <n v="0"/>
    <s v=" "/>
    <s v=" "/>
    <m/>
    <m/>
    <m/>
    <n v="87"/>
    <e v="#REF!"/>
  </r>
  <r>
    <s v="lunes"/>
    <s v="OBRA"/>
    <x v="1"/>
    <s v="may-YY"/>
    <x v="0"/>
    <x v="8"/>
    <s v="TECNICO MECANICO MONTAJISTA DE MAQUINARIA EXTRANJERA"/>
    <x v="53"/>
    <x v="3"/>
    <n v="2"/>
    <n v="44044783"/>
    <n v="70.92"/>
    <d v="1899-12-30T06:00:00"/>
    <d v="1899-12-30T13:00:00"/>
    <d v="1899-12-30T14:00:00"/>
    <d v="1899-12-30T19:30:00"/>
    <d v="1899-12-30T12:30:00"/>
    <d v="1899-12-30T08:00:00"/>
    <d v="1899-12-30T04:30:00"/>
    <m/>
    <m/>
    <n v="0"/>
    <n v="0"/>
    <n v="0"/>
    <m/>
    <n v="12.499999999999998"/>
    <n v="8"/>
    <n v="4.4999999999999982"/>
    <n v="70.92"/>
    <n v="8.8650000000000002"/>
    <n v="70.92"/>
    <n v="0"/>
    <n v="0"/>
    <n v="0"/>
    <n v="0"/>
    <s v=" "/>
    <s v=" "/>
    <m/>
    <m/>
    <m/>
    <n v="70.92"/>
    <e v="#REF!"/>
  </r>
  <r>
    <s v="lunes"/>
    <s v="OBRA"/>
    <x v="1"/>
    <s v="may-YY"/>
    <x v="0"/>
    <x v="15"/>
    <s v="MAESTRO ELECTRICO MONTAJISTA DE MAQUINARIA EXTRANJERA"/>
    <x v="54"/>
    <x v="3"/>
    <n v="2"/>
    <n v="44685832"/>
    <n v="88.47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88.47"/>
    <n v="11.05875"/>
    <n v="88.47"/>
    <n v="0"/>
    <n v="0"/>
    <n v="0"/>
    <n v="0"/>
    <s v=" "/>
    <s v=" "/>
    <m/>
    <m/>
    <m/>
    <n v="88.47"/>
    <e v="#REF!"/>
  </r>
  <r>
    <s v="lunes"/>
    <s v="FALTA"/>
    <x v="1"/>
    <s v="may-YY"/>
    <x v="0"/>
    <x v="5"/>
    <s v="TECNICO MECANICO MONTAJISTA DE NAVE INDUSTRIAL"/>
    <x v="55"/>
    <x v="3"/>
    <n v="4"/>
    <n v="47749907"/>
    <n v="8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lunes"/>
    <s v="OBRA"/>
    <x v="1"/>
    <s v="may-YY"/>
    <x v="0"/>
    <x v="18"/>
    <s v="MAESTRO PINTOR"/>
    <x v="56"/>
    <x v="3"/>
    <n v="2"/>
    <n v="46859101"/>
    <n v="70"/>
    <d v="1899-12-30T07:00:00"/>
    <m/>
    <m/>
    <d v="1899-12-30T12:00:00"/>
    <d v="1899-12-30T05:00:00"/>
    <d v="1899-12-30T05:00:00"/>
    <d v="1899-12-30T00:00:00"/>
    <m/>
    <m/>
    <n v="0"/>
    <n v="0"/>
    <n v="0"/>
    <m/>
    <n v="5"/>
    <n v="5"/>
    <n v="0"/>
    <n v="43.75"/>
    <n v="5.46875"/>
    <n v="43.75"/>
    <n v="0"/>
    <n v="0"/>
    <n v="0"/>
    <n v="0"/>
    <s v=" "/>
    <s v=" "/>
    <m/>
    <m/>
    <m/>
    <n v="43.75"/>
    <e v="#REF!"/>
  </r>
  <r>
    <s v="martes"/>
    <s v="PLANTA"/>
    <x v="1"/>
    <s v="may-YY"/>
    <x v="0"/>
    <x v="0"/>
    <s v="TECNICO MECANICO MONTAJISTA DE MAQUINARIA"/>
    <x v="0"/>
    <x v="4"/>
    <n v="1"/>
    <n v="46108491"/>
    <n v="50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50"/>
    <n v="6.25"/>
    <n v="50"/>
    <n v="0"/>
    <n v="0"/>
    <n v="0"/>
    <n v="0"/>
    <s v=" "/>
    <s v=" "/>
    <m/>
    <m/>
    <m/>
    <n v="50"/>
    <e v="#REF!"/>
  </r>
  <r>
    <s v="martes"/>
    <s v="PLANTA"/>
    <x v="1"/>
    <s v="may-YY"/>
    <x v="1"/>
    <x v="1"/>
    <s v="OPERARIO ELECTRICO"/>
    <x v="1"/>
    <x v="4"/>
    <n v="1"/>
    <n v="75557820"/>
    <n v="50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50"/>
    <n v="6.25"/>
    <n v="50"/>
    <n v="0"/>
    <n v="0"/>
    <n v="0"/>
    <n v="0"/>
    <s v=" "/>
    <s v=" "/>
    <m/>
    <m/>
    <m/>
    <n v="50"/>
    <e v="#REF!"/>
  </r>
  <r>
    <s v="martes"/>
    <s v="OBRA"/>
    <x v="1"/>
    <s v="may-YY"/>
    <x v="0"/>
    <x v="1"/>
    <s v="OPERARIO ELECTRICO"/>
    <x v="2"/>
    <x v="4"/>
    <n v="2"/>
    <n v="46801821"/>
    <n v="43.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43.5"/>
    <n v="5.4375"/>
    <n v="43.5"/>
    <n v="0"/>
    <n v="0"/>
    <n v="0"/>
    <n v="0"/>
    <s v=" "/>
    <s v=" "/>
    <m/>
    <m/>
    <m/>
    <n v="43.5"/>
    <e v="#REF!"/>
  </r>
  <r>
    <s v="martes"/>
    <s v="PLANTA"/>
    <x v="1"/>
    <s v="may-YY"/>
    <x v="0"/>
    <x v="2"/>
    <s v="OPERARIO SOLDADOR"/>
    <x v="3"/>
    <x v="4"/>
    <n v="1"/>
    <n v="10664396"/>
    <n v="60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0"/>
    <n v="7.5"/>
    <n v="60"/>
    <n v="0"/>
    <n v="0"/>
    <n v="0"/>
    <n v="0"/>
    <s v=" "/>
    <s v=" "/>
    <m/>
    <m/>
    <m/>
    <n v="60"/>
    <e v="#REF!"/>
  </r>
  <r>
    <s v="martes"/>
    <s v="FALTA"/>
    <x v="1"/>
    <s v="may-YY"/>
    <x v="1"/>
    <x v="2"/>
    <s v="OPERARIO SOLDADOR"/>
    <x v="4"/>
    <x v="4"/>
    <n v="4"/>
    <n v="71995358"/>
    <n v="4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martes"/>
    <s v="OBRA"/>
    <x v="1"/>
    <s v="may-YY"/>
    <x v="0"/>
    <x v="3"/>
    <s v="MECANICO MONTAJISTA DE MAQUINARIA EXTRANJERA"/>
    <x v="5"/>
    <x v="4"/>
    <n v="2"/>
    <n v="27291529"/>
    <n v="72.540000000000006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72.540000000000006"/>
    <n v="9.0675000000000008"/>
    <n v="72.540000000000006"/>
    <n v="0"/>
    <n v="0"/>
    <n v="0"/>
    <n v="0"/>
    <s v=" "/>
    <s v=" "/>
    <m/>
    <m/>
    <m/>
    <n v="72.540000000000006"/>
    <e v="#REF!"/>
  </r>
  <r>
    <s v="martes"/>
    <s v="PLANTA"/>
    <x v="1"/>
    <s v="may-YY"/>
    <x v="0"/>
    <x v="4"/>
    <s v="TECNICO ELECTRICO MONTAJISTA DE MAQUINARIA"/>
    <x v="6"/>
    <x v="4"/>
    <n v="1"/>
    <n v="47711616"/>
    <n v="47.73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47.73"/>
    <n v="5.9662499999999996"/>
    <n v="47.73"/>
    <n v="0"/>
    <n v="0"/>
    <n v="0"/>
    <n v="0"/>
    <s v=" "/>
    <s v=" "/>
    <m/>
    <m/>
    <m/>
    <n v="47.73"/>
    <e v="#REF!"/>
  </r>
  <r>
    <s v="martes"/>
    <s v="OBRA"/>
    <x v="1"/>
    <s v="may-YY"/>
    <x v="0"/>
    <x v="5"/>
    <s v="TECNICO MECANICO MONTAJISTA DE NAVE INDUSTRIAL"/>
    <x v="7"/>
    <x v="4"/>
    <n v="2"/>
    <n v="48237026"/>
    <n v="52.2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52.2"/>
    <n v="6.5250000000000004"/>
    <n v="52.2"/>
    <n v="0"/>
    <n v="0"/>
    <n v="0"/>
    <n v="0"/>
    <s v=" "/>
    <s v=" "/>
    <m/>
    <m/>
    <m/>
    <n v="52.2"/>
    <e v="#REF!"/>
  </r>
  <r>
    <s v="martes"/>
    <s v="OBRA"/>
    <x v="1"/>
    <s v="may-YY"/>
    <x v="0"/>
    <x v="6"/>
    <s v="TECNICO ELECTRICO MONTAJISTA DE MAQUINARIA EXTRANJERA"/>
    <x v="8"/>
    <x v="4"/>
    <n v="2"/>
    <n v="47055982"/>
    <n v="73.72"/>
    <d v="1899-12-30T21:00:00"/>
    <m/>
    <m/>
    <d v="1899-12-30T23:59:00"/>
    <d v="1899-12-30T02:59:00"/>
    <d v="1899-12-30T02:59:00"/>
    <d v="1899-12-30T00:00:00"/>
    <m/>
    <m/>
    <n v="0"/>
    <n v="0"/>
    <n v="0"/>
    <m/>
    <n v="2.9833333333333334"/>
    <n v="2.9833333333333334"/>
    <n v="0"/>
    <n v="27.491416666666666"/>
    <n v="3.4364270833333332"/>
    <n v="27.491416666666666"/>
    <n v="0"/>
    <n v="0"/>
    <n v="0"/>
    <n v="0"/>
    <s v=" "/>
    <s v=" "/>
    <m/>
    <m/>
    <m/>
    <n v="27.491416666666666"/>
    <e v="#REF!"/>
  </r>
  <r>
    <s v="martes"/>
    <s v="OBRA"/>
    <x v="1"/>
    <s v="may-YY"/>
    <x v="0"/>
    <x v="7"/>
    <s v="AYUDANTE DE PRODUCCION"/>
    <x v="9"/>
    <x v="4"/>
    <n v="2"/>
    <n v="48359730"/>
    <n v="5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55"/>
    <n v="6.875"/>
    <n v="55"/>
    <n v="0"/>
    <n v="0"/>
    <n v="0"/>
    <n v="0"/>
    <s v=" "/>
    <s v=" "/>
    <m/>
    <m/>
    <m/>
    <n v="55"/>
    <e v="#REF!"/>
  </r>
  <r>
    <s v="martes"/>
    <s v="PLANTA"/>
    <x v="1"/>
    <s v="may-YY"/>
    <x v="0"/>
    <x v="2"/>
    <s v="OPERARIO SOLDADOR"/>
    <x v="10"/>
    <x v="4"/>
    <n v="1"/>
    <n v="74359947"/>
    <n v="57.62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57.62"/>
    <n v="7.2024999999999997"/>
    <n v="57.62"/>
    <n v="0"/>
    <n v="0"/>
    <n v="0"/>
    <n v="0"/>
    <s v=" "/>
    <s v=" "/>
    <m/>
    <m/>
    <m/>
    <n v="57.62"/>
    <e v="#REF!"/>
  </r>
  <r>
    <s v="martes"/>
    <s v="PLANTA"/>
    <x v="1"/>
    <s v="may-YY"/>
    <x v="0"/>
    <x v="0"/>
    <s v="TECNICO MECANICO MONTAJISTA DE MAQUINARIA"/>
    <x v="11"/>
    <x v="4"/>
    <n v="1"/>
    <n v="47321409"/>
    <n v="65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5"/>
    <n v="8.125"/>
    <n v="65"/>
    <n v="0"/>
    <n v="0"/>
    <n v="0"/>
    <n v="0"/>
    <s v=" "/>
    <s v=" "/>
    <m/>
    <m/>
    <m/>
    <n v="65"/>
    <e v="#REF!"/>
  </r>
  <r>
    <s v="martes"/>
    <s v="OBRA"/>
    <x v="1"/>
    <s v="may-YY"/>
    <x v="0"/>
    <x v="8"/>
    <s v="TECNICO MECANICO MONTAJISTA DE MAQUINARIA EXTRANJERA"/>
    <x v="12"/>
    <x v="4"/>
    <n v="2"/>
    <n v="70133802"/>
    <n v="66.92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66.92"/>
    <n v="8.3650000000000002"/>
    <n v="66.92"/>
    <n v="0"/>
    <n v="0"/>
    <n v="0"/>
    <n v="0"/>
    <s v=" "/>
    <s v=" "/>
    <m/>
    <m/>
    <m/>
    <n v="66.92"/>
    <e v="#REF!"/>
  </r>
  <r>
    <s v="martes"/>
    <s v="FALTA"/>
    <x v="1"/>
    <s v="may-YY"/>
    <x v="1"/>
    <x v="7"/>
    <s v="TECNICO SOLDADOR"/>
    <x v="13"/>
    <x v="4"/>
    <n v="4"/>
    <n v="75494335"/>
    <n v="9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martes"/>
    <s v="PLANTA"/>
    <x v="1"/>
    <s v="may-YY"/>
    <x v="0"/>
    <x v="7"/>
    <s v="AYUDANTE DE PRODUCCION"/>
    <x v="14"/>
    <x v="4"/>
    <n v="1"/>
    <n v="76288149"/>
    <n v="44.32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44.319999999999986"/>
    <n v="5.5399999999999983"/>
    <n v="44.319999999999986"/>
    <n v="0"/>
    <n v="0"/>
    <n v="0"/>
    <n v="0"/>
    <s v=" "/>
    <s v=" "/>
    <m/>
    <m/>
    <m/>
    <n v="44.319999999999986"/>
    <e v="#REF!"/>
  </r>
  <r>
    <s v="martes"/>
    <s v="OBRA"/>
    <x v="1"/>
    <s v="may-YY"/>
    <x v="0"/>
    <x v="7"/>
    <s v="AYUDANTE DE PRODUCCION"/>
    <x v="15"/>
    <x v="4"/>
    <n v="2"/>
    <n v="75809362"/>
    <n v="65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65"/>
    <n v="8.125"/>
    <n v="65"/>
    <n v="0"/>
    <n v="0"/>
    <n v="0"/>
    <n v="0"/>
    <s v=" "/>
    <s v=" "/>
    <m/>
    <m/>
    <m/>
    <n v="65"/>
    <e v="#REF!"/>
  </r>
  <r>
    <s v="martes"/>
    <s v="PLANTA"/>
    <x v="1"/>
    <s v="may-YY"/>
    <x v="1"/>
    <x v="2"/>
    <s v="OPERARIO SOLDADOR"/>
    <x v="16"/>
    <x v="4"/>
    <n v="1"/>
    <n v="42558469"/>
    <n v="60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0"/>
    <n v="7.5"/>
    <n v="60"/>
    <n v="0"/>
    <n v="0"/>
    <n v="0"/>
    <n v="0"/>
    <s v=" "/>
    <s v=" "/>
    <m/>
    <m/>
    <m/>
    <n v="60"/>
    <e v="#REF!"/>
  </r>
  <r>
    <s v="martes"/>
    <s v="PLANTA"/>
    <x v="1"/>
    <s v="may-YY"/>
    <x v="0"/>
    <x v="9"/>
    <s v="MAESTRO MECANICO MONTAJISTA DE MAQUINARIA"/>
    <x v="17"/>
    <x v="4"/>
    <n v="1"/>
    <n v="48046568"/>
    <n v="68.150000000000006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68.149999999999991"/>
    <n v="8.5187499999999989"/>
    <n v="68.149999999999991"/>
    <n v="0"/>
    <n v="0"/>
    <n v="0"/>
    <n v="0"/>
    <s v=" "/>
    <s v=" "/>
    <m/>
    <m/>
    <m/>
    <n v="68.149999999999991"/>
    <e v="#REF!"/>
  </r>
  <r>
    <s v="martes"/>
    <s v="PLANTA"/>
    <x v="1"/>
    <s v="may-YY"/>
    <x v="0"/>
    <x v="7"/>
    <s v="AYUDANTE DE PRODUCCION"/>
    <x v="18"/>
    <x v="4"/>
    <n v="1"/>
    <n v="75790434"/>
    <n v="35.81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35.81"/>
    <n v="4.4762500000000003"/>
    <n v="35.81"/>
    <n v="0"/>
    <n v="0"/>
    <n v="0"/>
    <n v="0"/>
    <s v=" "/>
    <s v=" "/>
    <m/>
    <m/>
    <m/>
    <n v="35.81"/>
    <e v="#REF!"/>
  </r>
  <r>
    <s v="martes"/>
    <s v="PLANTA"/>
    <x v="1"/>
    <s v="may-YY"/>
    <x v="1"/>
    <x v="10"/>
    <s v="TECNICO SOLDADOR"/>
    <x v="19"/>
    <x v="4"/>
    <n v="1"/>
    <n v="45545014"/>
    <n v="60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60"/>
    <n v="7.5"/>
    <n v="60"/>
    <n v="0"/>
    <n v="0"/>
    <n v="0"/>
    <n v="0"/>
    <s v=" "/>
    <s v=" "/>
    <m/>
    <m/>
    <m/>
    <n v="60"/>
    <e v="#REF!"/>
  </r>
  <r>
    <s v="martes"/>
    <s v="OBRA"/>
    <x v="1"/>
    <s v="may-YY"/>
    <x v="0"/>
    <x v="11"/>
    <s v="SUPERVISOR DE MONTAJE Y DESMONTAJE"/>
    <x v="20"/>
    <x v="4"/>
    <n v="2"/>
    <n v="45327555"/>
    <n v="62.31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2.31"/>
    <n v="7.7887500000000003"/>
    <n v="62.31"/>
    <n v="0"/>
    <n v="0"/>
    <n v="0"/>
    <n v="0"/>
    <s v=" "/>
    <s v=" "/>
    <m/>
    <m/>
    <m/>
    <n v="62.31"/>
    <e v="#REF!"/>
  </r>
  <r>
    <s v="martes"/>
    <s v="PLANTA"/>
    <x v="1"/>
    <s v="may-YY"/>
    <x v="0"/>
    <x v="8"/>
    <s v="TECNICO MECANICO MONTAJISTA DE MAQUINARIA EXTRANJERA"/>
    <x v="21"/>
    <x v="4"/>
    <n v="1"/>
    <n v="46228460"/>
    <n v="67.66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7.66"/>
    <n v="8.4574999999999996"/>
    <n v="67.66"/>
    <n v="0"/>
    <n v="0"/>
    <n v="0"/>
    <n v="0"/>
    <s v=" "/>
    <s v=" "/>
    <m/>
    <m/>
    <m/>
    <n v="67.66"/>
    <e v="#REF!"/>
  </r>
  <r>
    <s v="martes"/>
    <s v="OBRA"/>
    <x v="1"/>
    <s v="may-YY"/>
    <x v="0"/>
    <x v="7"/>
    <s v="AYUDANTE DE PRODUCCION"/>
    <x v="22"/>
    <x v="4"/>
    <n v="2"/>
    <n v="75913657"/>
    <n v="6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0"/>
    <n v="7.5"/>
    <n v="60"/>
    <n v="0"/>
    <n v="0"/>
    <n v="0"/>
    <n v="0"/>
    <s v=" "/>
    <s v=" "/>
    <m/>
    <m/>
    <m/>
    <n v="60"/>
    <e v="#REF!"/>
  </r>
  <r>
    <s v="martes"/>
    <s v="PLANTA"/>
    <x v="1"/>
    <s v="may-YY"/>
    <x v="0"/>
    <x v="12"/>
    <s v="MAESTRO SOLDADOR 3G"/>
    <x v="23"/>
    <x v="4"/>
    <n v="1"/>
    <n v="47466045"/>
    <n v="70.38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70.38"/>
    <n v="8.7974999999999994"/>
    <n v="70.38"/>
    <n v="0"/>
    <n v="0"/>
    <n v="0"/>
    <n v="0"/>
    <s v=" "/>
    <s v=" "/>
    <m/>
    <m/>
    <m/>
    <n v="70.38"/>
    <e v="#REF!"/>
  </r>
  <r>
    <s v="martes"/>
    <s v="OBRA"/>
    <x v="1"/>
    <s v="may-YY"/>
    <x v="0"/>
    <x v="13"/>
    <s v="AYUDANTE DE PRODUCCION"/>
    <x v="24"/>
    <x v="4"/>
    <n v="2"/>
    <n v="62188868"/>
    <n v="39.15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39.15"/>
    <n v="4.8937499999999998"/>
    <n v="39.15"/>
    <n v="0"/>
    <n v="0"/>
    <n v="0"/>
    <n v="0"/>
    <s v=" "/>
    <s v=" "/>
    <m/>
    <m/>
    <m/>
    <n v="39.15"/>
    <e v="#REF!"/>
  </r>
  <r>
    <s v="martes"/>
    <s v="OBRA"/>
    <x v="1"/>
    <s v="may-YY"/>
    <x v="0"/>
    <x v="0"/>
    <s v="TECNICO MECANICO MONTAJISTA DE MAQUINARIA"/>
    <x v="25"/>
    <x v="4"/>
    <n v="2"/>
    <n v="73541627"/>
    <n v="5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55"/>
    <n v="6.875"/>
    <n v="55"/>
    <n v="0"/>
    <n v="0"/>
    <n v="0"/>
    <n v="0"/>
    <s v=" "/>
    <s v=" "/>
    <m/>
    <m/>
    <m/>
    <n v="55"/>
    <e v="#REF!"/>
  </r>
  <r>
    <s v="martes"/>
    <s v="OBRA"/>
    <x v="1"/>
    <s v="may-YY"/>
    <x v="0"/>
    <x v="8"/>
    <s v="TECNICO MECANICO MONTAJISTA DE MAQUINARIA EXTRANJERA"/>
    <x v="26"/>
    <x v="4"/>
    <n v="2"/>
    <n v="76811302"/>
    <n v="60"/>
    <d v="1899-12-30T07:00:00"/>
    <d v="1899-12-30T13:00:00"/>
    <d v="1899-12-30T14:00:00"/>
    <d v="1899-12-30T22:00:00"/>
    <d v="1899-12-30T14:00:00"/>
    <d v="1899-12-30T08:00:00"/>
    <d v="1899-12-30T06:00:00"/>
    <m/>
    <m/>
    <n v="0"/>
    <n v="0"/>
    <n v="0"/>
    <m/>
    <n v="13.999999999999998"/>
    <n v="8"/>
    <n v="5.9999999999999982"/>
    <n v="60"/>
    <n v="7.5"/>
    <n v="60"/>
    <n v="0"/>
    <n v="0"/>
    <n v="0"/>
    <n v="0"/>
    <s v=" "/>
    <s v=" "/>
    <m/>
    <m/>
    <m/>
    <n v="60"/>
    <e v="#REF!"/>
  </r>
  <r>
    <s v="martes"/>
    <s v="OBRA"/>
    <x v="1"/>
    <s v="may-YY"/>
    <x v="2"/>
    <x v="13"/>
    <s v="AYUDANTE DE PRODUCCION"/>
    <x v="27"/>
    <x v="4"/>
    <n v="2"/>
    <n v="76457697"/>
    <n v="45"/>
    <d v="1899-12-30T03:30:00"/>
    <d v="1899-12-30T13:00:00"/>
    <d v="1899-12-30T14:00:00"/>
    <d v="1899-12-30T19:00:00"/>
    <d v="1899-12-30T14:30:00"/>
    <d v="1899-12-30T08:00:00"/>
    <d v="1899-12-30T06:30:00"/>
    <m/>
    <m/>
    <n v="0"/>
    <n v="0"/>
    <n v="0"/>
    <m/>
    <n v="14.499999999999996"/>
    <n v="8"/>
    <n v="6.4999999999999964"/>
    <n v="45"/>
    <n v="5.625"/>
    <n v="45"/>
    <n v="0"/>
    <n v="0"/>
    <n v="0"/>
    <n v="0"/>
    <s v=" "/>
    <s v=" "/>
    <m/>
    <m/>
    <m/>
    <n v="45"/>
    <e v="#REF!"/>
  </r>
  <r>
    <s v="martes"/>
    <s v="OBRA"/>
    <x v="1"/>
    <s v="may-YY"/>
    <x v="3"/>
    <x v="7"/>
    <n v="0"/>
    <x v="28"/>
    <x v="4"/>
    <n v="2"/>
    <n v="75561146"/>
    <n v="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0"/>
    <n v="0"/>
    <n v="0"/>
    <n v="0"/>
    <n v="0"/>
    <n v="0"/>
    <n v="0"/>
    <s v=" "/>
    <s v=" "/>
    <m/>
    <m/>
    <m/>
    <n v="0"/>
    <e v="#REF!"/>
  </r>
  <r>
    <s v="martes"/>
    <s v="PLANTA"/>
    <x v="1"/>
    <s v="may-YY"/>
    <x v="3"/>
    <x v="7"/>
    <n v="0"/>
    <x v="29"/>
    <x v="4"/>
    <n v="1"/>
    <n v="76847602"/>
    <n v="0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0"/>
    <n v="0"/>
    <n v="0"/>
    <n v="0"/>
    <n v="0"/>
    <n v="0"/>
    <n v="0"/>
    <s v=" "/>
    <s v=" "/>
    <m/>
    <m/>
    <m/>
    <n v="0"/>
    <e v="#REF!"/>
  </r>
  <r>
    <s v="martes"/>
    <s v="OBRA"/>
    <x v="1"/>
    <s v="may-YY"/>
    <x v="0"/>
    <x v="10"/>
    <s v="TECNICO SOLDADOR"/>
    <x v="30"/>
    <x v="4"/>
    <n v="2"/>
    <n v="46933574"/>
    <n v="6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5"/>
    <n v="8.125"/>
    <n v="65"/>
    <n v="0"/>
    <n v="0"/>
    <n v="0"/>
    <n v="0"/>
    <s v=" "/>
    <s v=" "/>
    <m/>
    <m/>
    <m/>
    <n v="65"/>
    <e v="#REF!"/>
  </r>
  <r>
    <s v="martes"/>
    <s v="PLANTA"/>
    <x v="1"/>
    <s v="may-YY"/>
    <x v="0"/>
    <x v="7"/>
    <n v="0"/>
    <x v="31"/>
    <x v="4"/>
    <n v="1"/>
    <n v="41234982"/>
    <n v="0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0"/>
    <n v="0"/>
    <n v="0"/>
    <n v="0"/>
    <n v="0"/>
    <n v="0"/>
    <n v="0"/>
    <s v=" "/>
    <s v=" "/>
    <m/>
    <m/>
    <m/>
    <n v="0"/>
    <e v="#REF!"/>
  </r>
  <r>
    <s v="martes"/>
    <s v="PLANTA"/>
    <x v="1"/>
    <s v="may-YY"/>
    <x v="0"/>
    <x v="5"/>
    <s v="TECNICO MECANICO MONTAJISTA DE NAVE INDUSTRIAL"/>
    <x v="32"/>
    <x v="4"/>
    <n v="1"/>
    <n v="45821420"/>
    <n v="56.55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56.55"/>
    <n v="7.0687499999999996"/>
    <n v="56.55"/>
    <n v="0"/>
    <n v="0"/>
    <n v="0"/>
    <n v="0"/>
    <s v=" "/>
    <s v=" "/>
    <m/>
    <m/>
    <m/>
    <n v="56.55"/>
    <e v="#REF!"/>
  </r>
  <r>
    <s v="martes"/>
    <s v="PLANTA"/>
    <x v="1"/>
    <s v="may-YY"/>
    <x v="0"/>
    <x v="10"/>
    <s v="TECNICO SOLDADOR"/>
    <x v="33"/>
    <x v="4"/>
    <n v="1"/>
    <n v="47887505"/>
    <n v="66.48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66.48"/>
    <n v="8.31"/>
    <n v="66.48"/>
    <n v="0"/>
    <n v="0"/>
    <n v="0"/>
    <n v="0"/>
    <s v=" "/>
    <s v=" "/>
    <m/>
    <m/>
    <m/>
    <n v="66.48"/>
    <e v="#REF!"/>
  </r>
  <r>
    <s v="martes"/>
    <s v="FALTA"/>
    <x v="1"/>
    <s v="may-YY"/>
    <x v="0"/>
    <x v="7"/>
    <n v="0"/>
    <x v="34"/>
    <x v="4"/>
    <n v="4"/>
    <n v="77226886"/>
    <n v="8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martes"/>
    <s v=" "/>
    <x v="1"/>
    <s v="may-YY"/>
    <x v="0"/>
    <x v="14"/>
    <s v="MECANICO MONTAJISTA DE MAQUINARIA"/>
    <x v="35"/>
    <x v="4"/>
    <m/>
    <n v="47942907"/>
    <n v="7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martes"/>
    <s v="PLANTA"/>
    <x v="1"/>
    <s v="may-YY"/>
    <x v="0"/>
    <x v="0"/>
    <s v="TECNICO MECANICO MONTAJISTA DE MAQUINARIA"/>
    <x v="36"/>
    <x v="4"/>
    <n v="1"/>
    <n v="48372384"/>
    <n v="57.62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57.62"/>
    <n v="7.2024999999999997"/>
    <n v="57.62"/>
    <n v="0"/>
    <n v="0"/>
    <n v="0"/>
    <n v="0"/>
    <s v=" "/>
    <s v=" "/>
    <m/>
    <m/>
    <m/>
    <n v="57.62"/>
    <e v="#REF!"/>
  </r>
  <r>
    <s v="martes"/>
    <s v="PLANTA"/>
    <x v="1"/>
    <s v="may-YY"/>
    <x v="0"/>
    <x v="9"/>
    <s v="MAESTRO MECANICO MONTAJISTA DE MAQUINARIA"/>
    <x v="37"/>
    <x v="4"/>
    <n v="1"/>
    <n v="42308744"/>
    <n v="87.1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87.1"/>
    <n v="10.887499999999999"/>
    <n v="87.1"/>
    <n v="0"/>
    <n v="0"/>
    <n v="0"/>
    <n v="0"/>
    <s v=" "/>
    <s v=" "/>
    <m/>
    <m/>
    <m/>
    <n v="87.1"/>
    <e v="#REF!"/>
  </r>
  <r>
    <s v="martes"/>
    <s v="OBRA"/>
    <x v="1"/>
    <s v="may-YY"/>
    <x v="1"/>
    <x v="12"/>
    <s v="MAESTRO SOLDADOR 3G"/>
    <x v="38"/>
    <x v="4"/>
    <n v="2"/>
    <n v="45486657"/>
    <n v="9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90"/>
    <n v="11.25"/>
    <n v="90"/>
    <n v="0"/>
    <n v="0"/>
    <n v="0"/>
    <n v="0"/>
    <s v=" "/>
    <s v=" "/>
    <m/>
    <m/>
    <m/>
    <n v="90"/>
    <e v="#REF!"/>
  </r>
  <r>
    <s v="martes"/>
    <s v="OBRA"/>
    <x v="1"/>
    <s v="may-YY"/>
    <x v="0"/>
    <x v="15"/>
    <s v="MAESTRO ELECTRICO MONTAJISTA DE MAQUINARIA EXTRANJERA"/>
    <x v="39"/>
    <x v="4"/>
    <n v="2"/>
    <n v="45779525"/>
    <n v="116.06"/>
    <d v="1899-12-30T00:00:00"/>
    <d v="1899-12-30T13:00:00"/>
    <d v="1899-12-30T14:00:00"/>
    <d v="1899-12-30T18:30:00"/>
    <d v="1899-12-30T17:30:00"/>
    <d v="1899-12-30T08:00:00"/>
    <d v="1899-12-30T09:30:00"/>
    <m/>
    <m/>
    <n v="0"/>
    <n v="0"/>
    <n v="0"/>
    <m/>
    <n v="17.5"/>
    <n v="8"/>
    <n v="9.5"/>
    <n v="116.06"/>
    <n v="14.5075"/>
    <n v="116.06"/>
    <n v="0"/>
    <n v="0"/>
    <n v="0"/>
    <n v="0"/>
    <s v=" "/>
    <s v=" "/>
    <m/>
    <m/>
    <m/>
    <n v="116.06"/>
    <e v="#REF!"/>
  </r>
  <r>
    <s v="martes"/>
    <s v="PLANTA"/>
    <x v="1"/>
    <s v="may-YY"/>
    <x v="0"/>
    <x v="12"/>
    <s v="MAESTRO SOLDADOR 3G"/>
    <x v="40"/>
    <x v="4"/>
    <n v="1"/>
    <n v="77423720"/>
    <n v="69.44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9.44"/>
    <n v="8.68"/>
    <n v="69.44"/>
    <n v="0"/>
    <n v="0"/>
    <n v="0"/>
    <n v="0"/>
    <s v=" "/>
    <s v=" "/>
    <m/>
    <m/>
    <m/>
    <n v="69.44"/>
    <e v="#REF!"/>
  </r>
  <r>
    <s v="martes"/>
    <s v="PLANTA"/>
    <x v="1"/>
    <s v="may-YY"/>
    <x v="0"/>
    <x v="16"/>
    <s v="MAESTRO SOLDADOR 6G MONTAJISTA DE MAQUINARIA"/>
    <x v="41"/>
    <x v="4"/>
    <n v="1"/>
    <n v="45035778"/>
    <n v="92.8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92.799999999999983"/>
    <n v="11.599999999999998"/>
    <n v="92.799999999999983"/>
    <n v="0"/>
    <n v="0"/>
    <n v="0"/>
    <n v="0"/>
    <s v=" "/>
    <s v=" "/>
    <m/>
    <m/>
    <m/>
    <n v="92.799999999999983"/>
    <e v="#REF!"/>
  </r>
  <r>
    <s v="martes"/>
    <s v="OBRA"/>
    <x v="1"/>
    <s v="may-YY"/>
    <x v="0"/>
    <x v="17"/>
    <s v="MAESTRO MECANICO MONTAJISTA DE MAQUINARIA EXTRANJERA"/>
    <x v="42"/>
    <x v="4"/>
    <n v="2"/>
    <n v="72926564"/>
    <n v="88.27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88.27"/>
    <n v="11.03375"/>
    <n v="88.27"/>
    <n v="0"/>
    <n v="0"/>
    <n v="0"/>
    <n v="0"/>
    <s v=" "/>
    <s v=" "/>
    <m/>
    <m/>
    <m/>
    <n v="88.27"/>
    <e v="#REF!"/>
  </r>
  <r>
    <s v="martes"/>
    <s v="OBRA"/>
    <x v="1"/>
    <s v="may-YY"/>
    <x v="0"/>
    <x v="7"/>
    <s v="TECNICO SOLDADOR"/>
    <x v="43"/>
    <x v="4"/>
    <n v="2"/>
    <n v="72927801"/>
    <n v="60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60"/>
    <n v="7.5"/>
    <n v="60"/>
    <n v="0"/>
    <n v="0"/>
    <n v="0"/>
    <n v="0"/>
    <s v=" "/>
    <s v=" "/>
    <m/>
    <m/>
    <m/>
    <n v="60"/>
    <e v="#REF!"/>
  </r>
  <r>
    <s v="martes"/>
    <s v="OBRA"/>
    <x v="1"/>
    <s v="may-YY"/>
    <x v="0"/>
    <x v="3"/>
    <s v="MECANICO MONTAJISTA DE MAQUINARIA EXTRANJERA"/>
    <x v="44"/>
    <x v="4"/>
    <n v="2"/>
    <n v="45360771"/>
    <n v="94.3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94.35"/>
    <n v="11.793749999999999"/>
    <n v="94.35"/>
    <n v="0"/>
    <n v="0"/>
    <n v="0"/>
    <n v="0"/>
    <s v=" "/>
    <s v=" "/>
    <m/>
    <m/>
    <m/>
    <n v="94.35"/>
    <e v="#REF!"/>
  </r>
  <r>
    <s v="martes"/>
    <s v="OBRA"/>
    <x v="1"/>
    <s v="may-YY"/>
    <x v="0"/>
    <x v="7"/>
    <s v="TECNICO MECANICO MONTAJISTA DE NAVE INDUSTRIAL"/>
    <x v="45"/>
    <x v="4"/>
    <n v="2"/>
    <n v="44676684"/>
    <n v="7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70"/>
    <n v="8.75"/>
    <n v="70"/>
    <n v="0"/>
    <n v="0"/>
    <n v="0"/>
    <n v="0"/>
    <s v=" "/>
    <s v=" "/>
    <m/>
    <m/>
    <m/>
    <n v="70"/>
    <e v="#REF!"/>
  </r>
  <r>
    <s v="martes"/>
    <s v=" "/>
    <x v="1"/>
    <s v="may-YY"/>
    <x v="1"/>
    <x v="7"/>
    <n v="0"/>
    <x v="46"/>
    <x v="4"/>
    <m/>
    <n v="71214531"/>
    <n v="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martes"/>
    <s v="PLANTA"/>
    <x v="1"/>
    <s v="may-YY"/>
    <x v="0"/>
    <x v="0"/>
    <s v="TECNICO MECANICO MONTAJISTA DE MAQUINARIA"/>
    <x v="47"/>
    <x v="4"/>
    <n v="1"/>
    <n v="47158079"/>
    <n v="56.55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56.55"/>
    <n v="7.0687499999999996"/>
    <n v="56.55"/>
    <n v="0"/>
    <n v="0"/>
    <n v="0"/>
    <n v="0"/>
    <s v=" "/>
    <s v=" "/>
    <m/>
    <m/>
    <m/>
    <n v="56.55"/>
    <e v="#REF!"/>
  </r>
  <r>
    <s v="martes"/>
    <s v="FALTA"/>
    <x v="1"/>
    <s v="may-YY"/>
    <x v="0"/>
    <x v="6"/>
    <s v="TECNICO ELECTRICO MONTAJISTA DE MAQUINARIA EXTRANJERA"/>
    <x v="48"/>
    <x v="4"/>
    <n v="4"/>
    <n v="76449683"/>
    <n v="73.87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martes"/>
    <s v="OBRA"/>
    <x v="1"/>
    <s v="may-YY"/>
    <x v="0"/>
    <x v="3"/>
    <s v="MECANICO MONTAJISTA DE MAQUINARIA EXTRANJERA"/>
    <x v="49"/>
    <x v="4"/>
    <n v="2"/>
    <n v="43878459"/>
    <n v="79.78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79.78"/>
    <n v="9.9725000000000001"/>
    <n v="79.78"/>
    <n v="0"/>
    <n v="0"/>
    <n v="0"/>
    <n v="0"/>
    <s v=" "/>
    <s v=" "/>
    <m/>
    <m/>
    <m/>
    <n v="79.78"/>
    <e v="#REF!"/>
  </r>
  <r>
    <s v="martes"/>
    <s v="OBRA"/>
    <x v="1"/>
    <s v="may-YY"/>
    <x v="0"/>
    <x v="3"/>
    <s v="MECANICO MONTAJISTA DE MAQUINARIA EXTRANJERA"/>
    <x v="50"/>
    <x v="4"/>
    <n v="2"/>
    <n v="46578402"/>
    <n v="103.42"/>
    <d v="1899-12-30T00:00:00"/>
    <d v="1899-12-30T10:00:00"/>
    <d v="1899-12-30T13:00:00"/>
    <d v="1899-12-30T18:00:00"/>
    <d v="1899-12-30T15:00:00"/>
    <d v="1899-12-30T08:00:00"/>
    <d v="1899-12-30T07:00:00"/>
    <m/>
    <m/>
    <n v="0"/>
    <n v="0"/>
    <n v="0"/>
    <m/>
    <n v="15"/>
    <n v="8"/>
    <n v="7"/>
    <n v="103.42"/>
    <n v="12.9275"/>
    <n v="103.42"/>
    <n v="0"/>
    <n v="0"/>
    <n v="0"/>
    <n v="0"/>
    <s v=" "/>
    <s v=" "/>
    <m/>
    <m/>
    <m/>
    <n v="103.42"/>
    <e v="#REF!"/>
  </r>
  <r>
    <s v="martes"/>
    <s v="OBRA"/>
    <x v="1"/>
    <s v="may-YY"/>
    <x v="0"/>
    <x v="7"/>
    <s v="PRACTICANTE "/>
    <x v="51"/>
    <x v="4"/>
    <n v="2"/>
    <n v="72814417"/>
    <n v="35.76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35.76"/>
    <n v="4.47"/>
    <n v="35.76"/>
    <n v="0"/>
    <n v="0"/>
    <n v="0"/>
    <n v="0"/>
    <s v=" "/>
    <s v=" "/>
    <m/>
    <m/>
    <m/>
    <n v="35.76"/>
    <e v="#REF!"/>
  </r>
  <r>
    <s v="martes"/>
    <s v="OBRA"/>
    <x v="1"/>
    <s v="may-YY"/>
    <x v="0"/>
    <x v="3"/>
    <s v="MECANICO MONTAJISTA DE MAQUINARIA EXTRANJERA"/>
    <x v="52"/>
    <x v="4"/>
    <n v="2"/>
    <n v="45416906"/>
    <n v="87"/>
    <d v="1899-12-30T07:00:00"/>
    <d v="1899-12-30T13:00:00"/>
    <d v="1899-12-30T14:00:00"/>
    <d v="1899-12-30T18:30:00"/>
    <d v="1899-12-30T10:30:00"/>
    <d v="1899-12-30T08:00:00"/>
    <d v="1899-12-30T02:30:00"/>
    <m/>
    <m/>
    <n v="0"/>
    <n v="0"/>
    <n v="0"/>
    <m/>
    <n v="10.499999999999998"/>
    <n v="8"/>
    <n v="2.4999999999999991"/>
    <n v="87"/>
    <n v="10.875"/>
    <n v="87"/>
    <n v="0"/>
    <n v="0"/>
    <n v="0"/>
    <n v="0"/>
    <s v=" "/>
    <s v=" "/>
    <m/>
    <m/>
    <m/>
    <n v="87"/>
    <e v="#REF!"/>
  </r>
  <r>
    <s v="martes"/>
    <s v="OBRA"/>
    <x v="1"/>
    <s v="may-YY"/>
    <x v="0"/>
    <x v="8"/>
    <s v="TECNICO MECANICO MONTAJISTA DE MAQUINARIA EXTRANJERA"/>
    <x v="53"/>
    <x v="4"/>
    <n v="2"/>
    <n v="44044783"/>
    <n v="70.92"/>
    <d v="1899-12-30T03:30:00"/>
    <d v="1899-12-30T13:00:00"/>
    <d v="1899-12-30T14:00:00"/>
    <d v="1899-12-30T19:00:00"/>
    <d v="1899-12-30T14:30:00"/>
    <d v="1899-12-30T08:00:00"/>
    <d v="1899-12-30T06:30:00"/>
    <m/>
    <m/>
    <n v="0"/>
    <n v="0"/>
    <n v="0"/>
    <m/>
    <n v="14.499999999999996"/>
    <n v="8"/>
    <n v="6.4999999999999964"/>
    <n v="70.92"/>
    <n v="8.8650000000000002"/>
    <n v="70.92"/>
    <n v="0"/>
    <n v="0"/>
    <n v="0"/>
    <n v="0"/>
    <s v=" "/>
    <s v=" "/>
    <m/>
    <m/>
    <m/>
    <n v="70.92"/>
    <e v="#REF!"/>
  </r>
  <r>
    <s v="martes"/>
    <s v="OBRA"/>
    <x v="1"/>
    <s v="may-YY"/>
    <x v="0"/>
    <x v="15"/>
    <s v="MAESTRO ELECTRICO MONTAJISTA DE MAQUINARIA EXTRANJERA"/>
    <x v="54"/>
    <x v="4"/>
    <n v="2"/>
    <n v="44685832"/>
    <n v="88.47"/>
    <d v="1899-12-30T07:00:00"/>
    <d v="1899-12-30T13:00:00"/>
    <d v="1899-12-30T14:00:00"/>
    <d v="1899-12-30T18:30:00"/>
    <d v="1899-12-30T10:30:00"/>
    <d v="1899-12-30T08:00:00"/>
    <d v="1899-12-30T02:30:00"/>
    <m/>
    <m/>
    <n v="0"/>
    <n v="0"/>
    <n v="0"/>
    <m/>
    <n v="10.499999999999998"/>
    <n v="8"/>
    <n v="2.4999999999999991"/>
    <n v="88.47"/>
    <n v="11.05875"/>
    <n v="88.47"/>
    <n v="0"/>
    <n v="0"/>
    <n v="0"/>
    <n v="0"/>
    <s v=" "/>
    <s v=" "/>
    <m/>
    <m/>
    <m/>
    <n v="88.47"/>
    <e v="#REF!"/>
  </r>
  <r>
    <s v="martes"/>
    <s v="PLANTA"/>
    <x v="1"/>
    <s v="may-YY"/>
    <x v="0"/>
    <x v="5"/>
    <s v="TECNICO MECANICO MONTAJISTA DE NAVE INDUSTRIAL"/>
    <x v="55"/>
    <x v="4"/>
    <n v="1"/>
    <n v="47749907"/>
    <n v="80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79.999999999999986"/>
    <n v="9.9999999999999982"/>
    <n v="79.999999999999986"/>
    <n v="0"/>
    <n v="0"/>
    <n v="0"/>
    <n v="0"/>
    <s v=" "/>
    <s v=" "/>
    <m/>
    <m/>
    <m/>
    <n v="79.999999999999986"/>
    <e v="#REF!"/>
  </r>
  <r>
    <s v="martes"/>
    <s v="OBRA"/>
    <x v="1"/>
    <s v="may-YY"/>
    <x v="0"/>
    <x v="18"/>
    <s v="MAESTRO PINTOR"/>
    <x v="56"/>
    <x v="4"/>
    <n v="2"/>
    <n v="46859101"/>
    <n v="7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70"/>
    <n v="8.75"/>
    <n v="70"/>
    <n v="0"/>
    <n v="0"/>
    <n v="0"/>
    <n v="0"/>
    <s v=" "/>
    <s v=" "/>
    <m/>
    <m/>
    <m/>
    <n v="70"/>
    <e v="#REF!"/>
  </r>
  <r>
    <s v="miércoles"/>
    <s v="PLANTA"/>
    <x v="1"/>
    <s v="may-YY"/>
    <x v="0"/>
    <x v="0"/>
    <s v="TECNICO MECANICO MONTAJISTA DE MAQUINARIA"/>
    <x v="0"/>
    <x v="5"/>
    <n v="1"/>
    <n v="46108491"/>
    <n v="50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50"/>
    <n v="6.25"/>
    <n v="50"/>
    <n v="0"/>
    <n v="0"/>
    <n v="0"/>
    <n v="0"/>
    <s v=" "/>
    <s v=" "/>
    <m/>
    <m/>
    <m/>
    <n v="50"/>
    <e v="#REF!"/>
  </r>
  <r>
    <s v="miércoles"/>
    <s v="PLANTA"/>
    <x v="1"/>
    <s v="may-YY"/>
    <x v="1"/>
    <x v="1"/>
    <s v="OPERARIO ELECTRICO"/>
    <x v="1"/>
    <x v="5"/>
    <n v="1"/>
    <n v="75557820"/>
    <n v="50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50"/>
    <n v="6.25"/>
    <n v="50"/>
    <n v="0"/>
    <n v="0"/>
    <n v="0"/>
    <n v="0"/>
    <s v=" "/>
    <s v=" "/>
    <m/>
    <m/>
    <m/>
    <n v="50"/>
    <e v="#REF!"/>
  </r>
  <r>
    <s v="miércoles"/>
    <s v="OBRA"/>
    <x v="1"/>
    <s v="may-YY"/>
    <x v="0"/>
    <x v="1"/>
    <s v="OPERARIO ELECTRICO"/>
    <x v="2"/>
    <x v="5"/>
    <n v="2"/>
    <n v="46801821"/>
    <n v="43.5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43.5"/>
    <n v="5.4375"/>
    <n v="43.5"/>
    <n v="0"/>
    <n v="0"/>
    <n v="0"/>
    <n v="0"/>
    <s v=" "/>
    <s v=" "/>
    <m/>
    <m/>
    <m/>
    <n v="43.5"/>
    <e v="#REF!"/>
  </r>
  <r>
    <s v="miércoles"/>
    <s v="PLANTA"/>
    <x v="1"/>
    <s v="may-YY"/>
    <x v="0"/>
    <x v="2"/>
    <s v="OPERARIO SOLDADOR"/>
    <x v="3"/>
    <x v="5"/>
    <n v="1"/>
    <n v="10664396"/>
    <n v="60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59.999999999999993"/>
    <n v="7.4999999999999991"/>
    <n v="59.999999999999993"/>
    <n v="0"/>
    <n v="0"/>
    <n v="0"/>
    <n v="0"/>
    <s v=" "/>
    <s v=" "/>
    <m/>
    <m/>
    <m/>
    <n v="59.999999999999993"/>
    <e v="#REF!"/>
  </r>
  <r>
    <s v="miércoles"/>
    <s v="FALTA"/>
    <x v="1"/>
    <s v="may-YY"/>
    <x v="1"/>
    <x v="2"/>
    <s v="OPERARIO SOLDADOR"/>
    <x v="4"/>
    <x v="5"/>
    <n v="4"/>
    <n v="71995358"/>
    <n v="4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miércoles"/>
    <s v="OBRA"/>
    <x v="1"/>
    <s v="may-YY"/>
    <x v="0"/>
    <x v="3"/>
    <s v="MECANICO MONTAJISTA DE MAQUINARIA EXTRANJERA"/>
    <x v="5"/>
    <x v="5"/>
    <n v="2"/>
    <n v="27291529"/>
    <n v="72.540000000000006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72.540000000000006"/>
    <n v="9.0675000000000008"/>
    <n v="72.540000000000006"/>
    <n v="0"/>
    <n v="0"/>
    <n v="0"/>
    <n v="0"/>
    <s v=" "/>
    <s v=" "/>
    <m/>
    <m/>
    <m/>
    <n v="72.540000000000006"/>
    <e v="#REF!"/>
  </r>
  <r>
    <s v="miércoles"/>
    <s v="PLANTA"/>
    <x v="1"/>
    <s v="may-YY"/>
    <x v="0"/>
    <x v="4"/>
    <s v="TECNICO ELECTRICO MONTAJISTA DE MAQUINARIA"/>
    <x v="6"/>
    <x v="5"/>
    <n v="1"/>
    <n v="47711616"/>
    <n v="47.73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47.73"/>
    <n v="5.9662499999999996"/>
    <n v="47.73"/>
    <n v="0"/>
    <n v="0"/>
    <n v="0"/>
    <n v="0"/>
    <s v=" "/>
    <s v=" "/>
    <m/>
    <m/>
    <m/>
    <n v="47.73"/>
    <e v="#REF!"/>
  </r>
  <r>
    <s v="miércoles"/>
    <s v="OBRA"/>
    <x v="1"/>
    <s v="may-YY"/>
    <x v="0"/>
    <x v="5"/>
    <s v="TECNICO MECANICO MONTAJISTA DE NAVE INDUSTRIAL"/>
    <x v="7"/>
    <x v="5"/>
    <n v="2"/>
    <n v="48237026"/>
    <n v="52.2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52.2"/>
    <n v="6.5250000000000004"/>
    <n v="52.2"/>
    <n v="0"/>
    <n v="0"/>
    <n v="0"/>
    <n v="0"/>
    <s v=" "/>
    <s v=" "/>
    <m/>
    <m/>
    <m/>
    <n v="52.2"/>
    <e v="#REF!"/>
  </r>
  <r>
    <s v="miércoles"/>
    <s v="OBRA"/>
    <x v="1"/>
    <s v="may-YY"/>
    <x v="0"/>
    <x v="6"/>
    <s v="TECNICO ELECTRICO MONTAJISTA DE MAQUINARIA EXTRANJERA"/>
    <x v="8"/>
    <x v="5"/>
    <n v="2"/>
    <n v="47055982"/>
    <n v="73.72"/>
    <d v="1899-12-30T00:00:00"/>
    <d v="1899-12-30T13:00:00"/>
    <d v="1899-12-30T15:00:00"/>
    <d v="1899-12-30T20:00:00"/>
    <d v="1899-12-30T18:00:00"/>
    <d v="1899-12-30T08:00:00"/>
    <d v="1899-12-30T10:00:00"/>
    <m/>
    <m/>
    <n v="0"/>
    <n v="0"/>
    <n v="0"/>
    <m/>
    <n v="18"/>
    <n v="8"/>
    <n v="10"/>
    <n v="73.72"/>
    <n v="9.2149999999999999"/>
    <n v="73.72"/>
    <n v="0"/>
    <n v="0"/>
    <n v="0"/>
    <n v="0"/>
    <s v=" "/>
    <s v=" "/>
    <m/>
    <m/>
    <m/>
    <n v="73.72"/>
    <e v="#REF!"/>
  </r>
  <r>
    <s v="miércoles"/>
    <s v="OBRA"/>
    <x v="1"/>
    <s v="may-YY"/>
    <x v="0"/>
    <x v="7"/>
    <s v="AYUDANTE DE PRODUCCION"/>
    <x v="9"/>
    <x v="5"/>
    <n v="2"/>
    <n v="48359730"/>
    <n v="5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55"/>
    <n v="6.875"/>
    <n v="55"/>
    <n v="0"/>
    <n v="0"/>
    <n v="0"/>
    <n v="0"/>
    <s v=" "/>
    <s v=" "/>
    <m/>
    <m/>
    <m/>
    <n v="55"/>
    <e v="#REF!"/>
  </r>
  <r>
    <s v="miércoles"/>
    <s v="PLANTA"/>
    <x v="1"/>
    <s v="may-YY"/>
    <x v="0"/>
    <x v="2"/>
    <s v="OPERARIO SOLDADOR"/>
    <x v="10"/>
    <x v="5"/>
    <n v="1"/>
    <n v="74359947"/>
    <n v="57.62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57.62"/>
    <n v="7.2024999999999997"/>
    <n v="57.62"/>
    <n v="0"/>
    <n v="0"/>
    <n v="0"/>
    <n v="0"/>
    <s v=" "/>
    <s v=" "/>
    <m/>
    <m/>
    <m/>
    <n v="57.62"/>
    <e v="#REF!"/>
  </r>
  <r>
    <s v="miércoles"/>
    <s v="PLANTA"/>
    <x v="1"/>
    <s v="may-YY"/>
    <x v="0"/>
    <x v="0"/>
    <s v="TECNICO MECANICO MONTAJISTA DE MAQUINARIA"/>
    <x v="11"/>
    <x v="5"/>
    <n v="1"/>
    <n v="47321409"/>
    <n v="65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5"/>
    <n v="8.125"/>
    <n v="65"/>
    <n v="0"/>
    <n v="0"/>
    <n v="0"/>
    <n v="0"/>
    <s v=" "/>
    <s v=" "/>
    <m/>
    <m/>
    <m/>
    <n v="65"/>
    <e v="#REF!"/>
  </r>
  <r>
    <s v="miércoles"/>
    <s v="OBRA"/>
    <x v="1"/>
    <s v="may-YY"/>
    <x v="0"/>
    <x v="8"/>
    <s v="TECNICO MECANICO MONTAJISTA DE MAQUINARIA EXTRANJERA"/>
    <x v="12"/>
    <x v="5"/>
    <n v="2"/>
    <n v="70133802"/>
    <n v="66.92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66.92"/>
    <n v="8.3650000000000002"/>
    <n v="66.92"/>
    <n v="0"/>
    <n v="0"/>
    <n v="0"/>
    <n v="0"/>
    <s v=" "/>
    <s v=" "/>
    <m/>
    <m/>
    <m/>
    <n v="66.92"/>
    <e v="#REF!"/>
  </r>
  <r>
    <s v="miércoles"/>
    <s v="FALTA"/>
    <x v="1"/>
    <s v="may-YY"/>
    <x v="1"/>
    <x v="7"/>
    <s v="TECNICO SOLDADOR"/>
    <x v="13"/>
    <x v="5"/>
    <n v="4"/>
    <n v="75494335"/>
    <n v="9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miércoles"/>
    <s v="PLANTA"/>
    <x v="1"/>
    <s v="may-YY"/>
    <x v="0"/>
    <x v="7"/>
    <s v="AYUDANTE DE PRODUCCION"/>
    <x v="14"/>
    <x v="5"/>
    <n v="1"/>
    <n v="76288149"/>
    <n v="44.32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44.32"/>
    <n v="5.54"/>
    <n v="44.32"/>
    <n v="0"/>
    <n v="0"/>
    <n v="0"/>
    <n v="0"/>
    <s v=" "/>
    <s v=" "/>
    <m/>
    <m/>
    <m/>
    <n v="44.32"/>
    <e v="#REF!"/>
  </r>
  <r>
    <s v="miércoles"/>
    <s v="OBRA"/>
    <x v="1"/>
    <s v="may-YY"/>
    <x v="0"/>
    <x v="7"/>
    <s v="AYUDANTE DE PRODUCCION"/>
    <x v="15"/>
    <x v="5"/>
    <n v="2"/>
    <n v="75809362"/>
    <n v="65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65"/>
    <n v="8.125"/>
    <n v="65"/>
    <n v="0"/>
    <n v="0"/>
    <n v="0"/>
    <n v="0"/>
    <s v=" "/>
    <s v=" "/>
    <m/>
    <m/>
    <m/>
    <n v="65"/>
    <e v="#REF!"/>
  </r>
  <r>
    <s v="miércoles"/>
    <s v="PLANTA"/>
    <x v="1"/>
    <s v="may-YY"/>
    <x v="1"/>
    <x v="2"/>
    <s v="OPERARIO SOLDADOR"/>
    <x v="16"/>
    <x v="5"/>
    <n v="1"/>
    <n v="42558469"/>
    <n v="60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0"/>
    <n v="7.5"/>
    <n v="60"/>
    <n v="0"/>
    <n v="0"/>
    <n v="0"/>
    <n v="0"/>
    <s v=" "/>
    <s v=" "/>
    <m/>
    <m/>
    <m/>
    <n v="60"/>
    <e v="#REF!"/>
  </r>
  <r>
    <s v="miércoles"/>
    <s v="PLANTA"/>
    <x v="1"/>
    <s v="may-YY"/>
    <x v="0"/>
    <x v="9"/>
    <s v="MAESTRO MECANICO MONTAJISTA DE MAQUINARIA"/>
    <x v="17"/>
    <x v="5"/>
    <n v="1"/>
    <n v="48046568"/>
    <n v="68.150000000000006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8.150000000000006"/>
    <n v="8.5187500000000007"/>
    <n v="68.150000000000006"/>
    <n v="0"/>
    <n v="0"/>
    <n v="0"/>
    <n v="0"/>
    <s v=" "/>
    <s v=" "/>
    <m/>
    <m/>
    <m/>
    <n v="68.150000000000006"/>
    <e v="#REF!"/>
  </r>
  <r>
    <s v="miércoles"/>
    <s v="PLANTA"/>
    <x v="1"/>
    <s v="may-YY"/>
    <x v="0"/>
    <x v="7"/>
    <s v="AYUDANTE DE PRODUCCION"/>
    <x v="18"/>
    <x v="5"/>
    <n v="1"/>
    <n v="75790434"/>
    <n v="35.81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35.81"/>
    <n v="4.4762500000000003"/>
    <n v="35.81"/>
    <n v="0"/>
    <n v="0"/>
    <n v="0"/>
    <n v="0"/>
    <s v=" "/>
    <s v=" "/>
    <m/>
    <m/>
    <m/>
    <n v="35.81"/>
    <e v="#REF!"/>
  </r>
  <r>
    <s v="miércoles"/>
    <s v="PLANTA"/>
    <x v="1"/>
    <s v="may-YY"/>
    <x v="1"/>
    <x v="10"/>
    <s v="TECNICO SOLDADOR"/>
    <x v="19"/>
    <x v="5"/>
    <n v="1"/>
    <n v="45545014"/>
    <n v="60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0"/>
    <n v="7.5"/>
    <n v="60"/>
    <n v="0"/>
    <n v="0"/>
    <n v="0"/>
    <n v="0"/>
    <s v=" "/>
    <s v=" "/>
    <m/>
    <m/>
    <m/>
    <n v="60"/>
    <e v="#REF!"/>
  </r>
  <r>
    <s v="miércoles"/>
    <s v="OBRA"/>
    <x v="1"/>
    <s v="may-YY"/>
    <x v="0"/>
    <x v="11"/>
    <s v="SUPERVISOR DE MONTAJE Y DESMONTAJE"/>
    <x v="20"/>
    <x v="5"/>
    <n v="2"/>
    <n v="45327555"/>
    <n v="62.31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2.31"/>
    <n v="7.7887500000000003"/>
    <n v="62.31"/>
    <n v="0"/>
    <n v="0"/>
    <n v="0"/>
    <n v="0"/>
    <s v=" "/>
    <s v=" "/>
    <m/>
    <m/>
    <m/>
    <n v="62.31"/>
    <e v="#REF!"/>
  </r>
  <r>
    <s v="miércoles"/>
    <s v="PLANTA"/>
    <x v="1"/>
    <s v="may-YY"/>
    <x v="0"/>
    <x v="8"/>
    <s v="TECNICO MECANICO MONTAJISTA DE MAQUINARIA EXTRANJERA"/>
    <x v="21"/>
    <x v="5"/>
    <n v="1"/>
    <n v="46228460"/>
    <n v="67.66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7.66"/>
    <n v="8.4574999999999996"/>
    <n v="67.66"/>
    <n v="0"/>
    <n v="0"/>
    <n v="0"/>
    <n v="0"/>
    <s v=" "/>
    <s v=" "/>
    <m/>
    <m/>
    <m/>
    <n v="67.66"/>
    <e v="#REF!"/>
  </r>
  <r>
    <s v="miércoles"/>
    <s v="OBRA"/>
    <x v="1"/>
    <s v="may-YY"/>
    <x v="0"/>
    <x v="7"/>
    <s v="AYUDANTE DE PRODUCCION"/>
    <x v="22"/>
    <x v="5"/>
    <n v="2"/>
    <n v="75913657"/>
    <n v="6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0"/>
    <n v="7.5"/>
    <n v="60"/>
    <n v="0"/>
    <n v="0"/>
    <n v="0"/>
    <n v="0"/>
    <s v=" "/>
    <s v=" "/>
    <m/>
    <m/>
    <m/>
    <n v="60"/>
    <e v="#REF!"/>
  </r>
  <r>
    <s v="miércoles"/>
    <s v="PLANTA"/>
    <x v="1"/>
    <s v="may-YY"/>
    <x v="0"/>
    <x v="12"/>
    <s v="MAESTRO SOLDADOR 3G"/>
    <x v="23"/>
    <x v="5"/>
    <n v="1"/>
    <n v="47466045"/>
    <n v="70.38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70.38"/>
    <n v="8.7974999999999994"/>
    <n v="70.38"/>
    <n v="0"/>
    <n v="0"/>
    <n v="0"/>
    <n v="0"/>
    <s v=" "/>
    <s v=" "/>
    <m/>
    <m/>
    <m/>
    <n v="70.38"/>
    <e v="#REF!"/>
  </r>
  <r>
    <s v="miércoles"/>
    <s v="OBRA"/>
    <x v="1"/>
    <s v="may-YY"/>
    <x v="0"/>
    <x v="13"/>
    <s v="AYUDANTE DE PRODUCCION"/>
    <x v="24"/>
    <x v="5"/>
    <n v="2"/>
    <n v="62188868"/>
    <n v="39.15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39.15"/>
    <n v="4.8937499999999998"/>
    <n v="39.15"/>
    <n v="0"/>
    <n v="0"/>
    <n v="0"/>
    <n v="0"/>
    <s v=" "/>
    <s v=" "/>
    <m/>
    <m/>
    <m/>
    <n v="39.15"/>
    <e v="#REF!"/>
  </r>
  <r>
    <s v="miércoles"/>
    <s v="OBRA"/>
    <x v="1"/>
    <s v="may-YY"/>
    <x v="0"/>
    <x v="0"/>
    <s v="TECNICO MECANICO MONTAJISTA DE MAQUINARIA"/>
    <x v="25"/>
    <x v="5"/>
    <n v="2"/>
    <n v="73541627"/>
    <n v="55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55"/>
    <n v="6.875"/>
    <n v="55"/>
    <n v="0"/>
    <n v="0"/>
    <n v="0"/>
    <n v="0"/>
    <s v=" "/>
    <s v=" "/>
    <m/>
    <m/>
    <m/>
    <n v="55"/>
    <e v="#REF!"/>
  </r>
  <r>
    <s v="miércoles"/>
    <s v="OBRA"/>
    <x v="1"/>
    <s v="may-YY"/>
    <x v="0"/>
    <x v="8"/>
    <s v="TECNICO MECANICO MONTAJISTA DE MAQUINARIA EXTRANJERA"/>
    <x v="26"/>
    <x v="5"/>
    <n v="2"/>
    <n v="76811302"/>
    <n v="60"/>
    <d v="1899-12-30T00:00:00"/>
    <d v="1899-12-30T08:00:00"/>
    <d v="1899-12-30T08:30:00"/>
    <d v="1899-12-30T21:00:00"/>
    <d v="1899-12-30T20:30:00"/>
    <d v="1899-12-30T08:00:00"/>
    <d v="1899-12-30T12:30:00"/>
    <m/>
    <m/>
    <n v="0"/>
    <n v="0"/>
    <n v="0"/>
    <m/>
    <n v="20.499999999999996"/>
    <n v="8"/>
    <n v="12.499999999999998"/>
    <n v="60"/>
    <n v="7.5"/>
    <n v="60"/>
    <n v="0"/>
    <n v="0"/>
    <n v="0"/>
    <n v="0"/>
    <s v=" "/>
    <s v=" "/>
    <m/>
    <m/>
    <m/>
    <n v="60"/>
    <e v="#REF!"/>
  </r>
  <r>
    <s v="miércoles"/>
    <s v="OBRA"/>
    <x v="1"/>
    <s v="may-YY"/>
    <x v="2"/>
    <x v="13"/>
    <s v="AYUDANTE DE PRODUCCION"/>
    <x v="27"/>
    <x v="5"/>
    <n v="2"/>
    <n v="76457697"/>
    <n v="45"/>
    <d v="1899-12-30T03:00:00"/>
    <d v="1899-12-30T13:00:00"/>
    <d v="1899-12-30T14:00:00"/>
    <d v="1899-12-30T19:00:00"/>
    <d v="1899-12-30T15:00:00"/>
    <d v="1899-12-30T08:00:00"/>
    <d v="1899-12-30T07:00:00"/>
    <m/>
    <m/>
    <n v="0"/>
    <n v="0"/>
    <n v="0"/>
    <m/>
    <n v="14.999999999999996"/>
    <n v="8"/>
    <n v="6.9999999999999982"/>
    <n v="45"/>
    <n v="5.625"/>
    <n v="45"/>
    <n v="0"/>
    <n v="0"/>
    <n v="0"/>
    <n v="0"/>
    <s v=" "/>
    <s v=" "/>
    <m/>
    <m/>
    <m/>
    <n v="45"/>
    <e v="#REF!"/>
  </r>
  <r>
    <s v="miércoles"/>
    <s v="OBRA"/>
    <x v="1"/>
    <s v="may-YY"/>
    <x v="3"/>
    <x v="7"/>
    <n v="0"/>
    <x v="28"/>
    <x v="5"/>
    <n v="2"/>
    <n v="75561146"/>
    <n v="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0"/>
    <n v="0"/>
    <n v="0"/>
    <n v="0"/>
    <n v="0"/>
    <n v="0"/>
    <n v="0"/>
    <s v=" "/>
    <s v=" "/>
    <m/>
    <m/>
    <m/>
    <n v="0"/>
    <e v="#REF!"/>
  </r>
  <r>
    <s v="miércoles"/>
    <s v="PLANTA"/>
    <x v="1"/>
    <s v="may-YY"/>
    <x v="3"/>
    <x v="7"/>
    <n v="0"/>
    <x v="29"/>
    <x v="5"/>
    <n v="1"/>
    <n v="76847602"/>
    <n v="0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0"/>
    <n v="0"/>
    <n v="0"/>
    <n v="0"/>
    <n v="0"/>
    <n v="0"/>
    <n v="0"/>
    <s v=" "/>
    <s v=" "/>
    <m/>
    <m/>
    <m/>
    <n v="0"/>
    <e v="#REF!"/>
  </r>
  <r>
    <s v="miércoles"/>
    <s v="OBRA"/>
    <x v="1"/>
    <s v="may-YY"/>
    <x v="0"/>
    <x v="10"/>
    <s v="TECNICO SOLDADOR"/>
    <x v="30"/>
    <x v="5"/>
    <n v="2"/>
    <n v="46933574"/>
    <n v="6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5"/>
    <n v="8.125"/>
    <n v="65"/>
    <n v="0"/>
    <n v="0"/>
    <n v="0"/>
    <n v="0"/>
    <s v=" "/>
    <s v=" "/>
    <m/>
    <m/>
    <m/>
    <n v="65"/>
    <e v="#REF!"/>
  </r>
  <r>
    <s v="miércoles"/>
    <s v="PLANTA"/>
    <x v="1"/>
    <s v="may-YY"/>
    <x v="0"/>
    <x v="7"/>
    <n v="0"/>
    <x v="31"/>
    <x v="5"/>
    <n v="1"/>
    <n v="41234982"/>
    <n v="0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0"/>
    <n v="0"/>
    <n v="0"/>
    <n v="0"/>
    <n v="0"/>
    <n v="0"/>
    <n v="0"/>
    <s v=" "/>
    <s v=" "/>
    <m/>
    <m/>
    <m/>
    <n v="0"/>
    <e v="#REF!"/>
  </r>
  <r>
    <s v="miércoles"/>
    <s v="PLANTA"/>
    <x v="1"/>
    <s v="may-YY"/>
    <x v="0"/>
    <x v="5"/>
    <s v="TECNICO MECANICO MONTAJISTA DE NAVE INDUSTRIAL"/>
    <x v="32"/>
    <x v="5"/>
    <n v="1"/>
    <n v="45821420"/>
    <n v="56.55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56.55"/>
    <n v="7.0687499999999996"/>
    <n v="56.55"/>
    <n v="0"/>
    <n v="0"/>
    <n v="0"/>
    <n v="0"/>
    <s v=" "/>
    <s v=" "/>
    <m/>
    <m/>
    <m/>
    <n v="56.55"/>
    <e v="#REF!"/>
  </r>
  <r>
    <s v="miércoles"/>
    <s v="PLANTA"/>
    <x v="1"/>
    <s v="may-YY"/>
    <x v="0"/>
    <x v="10"/>
    <s v="TECNICO SOLDADOR"/>
    <x v="33"/>
    <x v="5"/>
    <n v="1"/>
    <n v="47887505"/>
    <n v="66.48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66.48"/>
    <n v="8.31"/>
    <n v="66.48"/>
    <n v="0"/>
    <n v="0"/>
    <n v="0"/>
    <n v="0"/>
    <s v=" "/>
    <s v=" "/>
    <m/>
    <m/>
    <m/>
    <n v="66.48"/>
    <e v="#REF!"/>
  </r>
  <r>
    <s v="miércoles"/>
    <s v="FALTA"/>
    <x v="1"/>
    <s v="may-YY"/>
    <x v="0"/>
    <x v="7"/>
    <n v="0"/>
    <x v="34"/>
    <x v="5"/>
    <n v="4"/>
    <n v="77226886"/>
    <n v="8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miércoles"/>
    <s v=" "/>
    <x v="1"/>
    <s v="may-YY"/>
    <x v="0"/>
    <x v="14"/>
    <s v="MECANICO MONTAJISTA DE MAQUINARIA"/>
    <x v="35"/>
    <x v="5"/>
    <m/>
    <n v="47942907"/>
    <n v="7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miércoles"/>
    <s v="PLANTA"/>
    <x v="1"/>
    <s v="may-YY"/>
    <x v="0"/>
    <x v="0"/>
    <s v="TECNICO MECANICO MONTAJISTA DE MAQUINARIA"/>
    <x v="36"/>
    <x v="5"/>
    <n v="1"/>
    <n v="48372384"/>
    <n v="57.62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57.62"/>
    <n v="7.2024999999999997"/>
    <n v="57.62"/>
    <n v="0"/>
    <n v="0"/>
    <n v="0"/>
    <n v="0"/>
    <s v=" "/>
    <s v=" "/>
    <m/>
    <m/>
    <m/>
    <n v="57.62"/>
    <e v="#REF!"/>
  </r>
  <r>
    <s v="miércoles"/>
    <s v="PLANTA"/>
    <x v="1"/>
    <s v="may-YY"/>
    <x v="0"/>
    <x v="9"/>
    <s v="MAESTRO MECANICO MONTAJISTA DE MAQUINARIA"/>
    <x v="37"/>
    <x v="5"/>
    <n v="1"/>
    <n v="42308744"/>
    <n v="87.1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87.1"/>
    <n v="10.887499999999999"/>
    <n v="87.1"/>
    <n v="0"/>
    <n v="0"/>
    <n v="0"/>
    <n v="0"/>
    <s v=" "/>
    <s v=" "/>
    <m/>
    <m/>
    <m/>
    <n v="87.1"/>
    <e v="#REF!"/>
  </r>
  <r>
    <s v="miércoles"/>
    <s v="OBRA"/>
    <x v="1"/>
    <s v="may-YY"/>
    <x v="1"/>
    <x v="12"/>
    <s v="MAESTRO SOLDADOR 3G"/>
    <x v="38"/>
    <x v="5"/>
    <n v="2"/>
    <n v="45486657"/>
    <n v="9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90"/>
    <n v="11.25"/>
    <n v="90"/>
    <n v="0"/>
    <n v="0"/>
    <n v="0"/>
    <n v="0"/>
    <s v=" "/>
    <s v=" "/>
    <m/>
    <m/>
    <m/>
    <n v="90"/>
    <e v="#REF!"/>
  </r>
  <r>
    <s v="miércoles"/>
    <s v="OBRA"/>
    <x v="1"/>
    <s v="may-YY"/>
    <x v="0"/>
    <x v="15"/>
    <s v="MAESTRO ELECTRICO MONTAJISTA DE MAQUINARIA EXTRANJERA"/>
    <x v="39"/>
    <x v="5"/>
    <n v="2"/>
    <n v="45779525"/>
    <n v="116.06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116.06"/>
    <n v="14.5075"/>
    <n v="116.06"/>
    <n v="0"/>
    <n v="0"/>
    <n v="0"/>
    <n v="0"/>
    <s v=" "/>
    <s v=" "/>
    <m/>
    <m/>
    <m/>
    <n v="116.06"/>
    <e v="#REF!"/>
  </r>
  <r>
    <s v="miércoles"/>
    <s v="PLANTA"/>
    <x v="1"/>
    <s v="may-YY"/>
    <x v="0"/>
    <x v="12"/>
    <s v="MAESTRO SOLDADOR 3G"/>
    <x v="40"/>
    <x v="5"/>
    <n v="1"/>
    <n v="77423720"/>
    <n v="69.44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9.44"/>
    <n v="8.68"/>
    <n v="69.44"/>
    <n v="0"/>
    <n v="0"/>
    <n v="0"/>
    <n v="0"/>
    <s v=" "/>
    <s v=" "/>
    <m/>
    <m/>
    <m/>
    <n v="69.44"/>
    <e v="#REF!"/>
  </r>
  <r>
    <s v="miércoles"/>
    <s v="PLANTA"/>
    <x v="1"/>
    <s v="may-YY"/>
    <x v="0"/>
    <x v="16"/>
    <s v="MAESTRO SOLDADOR 6G MONTAJISTA DE MAQUINARIA"/>
    <x v="41"/>
    <x v="5"/>
    <n v="1"/>
    <n v="45035778"/>
    <n v="92.8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92.799999999999983"/>
    <n v="11.599999999999998"/>
    <n v="92.799999999999983"/>
    <n v="0"/>
    <n v="0"/>
    <n v="0"/>
    <n v="0"/>
    <s v=" "/>
    <s v=" "/>
    <m/>
    <m/>
    <m/>
    <n v="92.799999999999983"/>
    <e v="#REF!"/>
  </r>
  <r>
    <s v="miércoles"/>
    <s v="OBRA"/>
    <x v="1"/>
    <s v="may-YY"/>
    <x v="0"/>
    <x v="17"/>
    <s v="MAESTRO MECANICO MONTAJISTA DE MAQUINARIA EXTRANJERA"/>
    <x v="42"/>
    <x v="5"/>
    <n v="2"/>
    <n v="72926564"/>
    <n v="88.27"/>
    <d v="1899-12-30T07:00:00"/>
    <d v="1899-12-30T13:00:00"/>
    <d v="1899-12-30T14:00:00"/>
    <d v="1899-12-30T18:30:00"/>
    <d v="1899-12-30T10:30:00"/>
    <d v="1899-12-30T08:00:00"/>
    <d v="1899-12-30T02:30:00"/>
    <m/>
    <m/>
    <n v="0"/>
    <n v="0"/>
    <n v="0"/>
    <m/>
    <n v="10.499999999999998"/>
    <n v="8"/>
    <n v="2.4999999999999991"/>
    <n v="88.27"/>
    <n v="11.03375"/>
    <n v="88.27"/>
    <n v="0"/>
    <n v="0"/>
    <n v="0"/>
    <n v="0"/>
    <s v=" "/>
    <s v=" "/>
    <m/>
    <m/>
    <m/>
    <n v="88.27"/>
    <e v="#REF!"/>
  </r>
  <r>
    <s v="miércoles"/>
    <s v="OBRA"/>
    <x v="1"/>
    <s v="may-YY"/>
    <x v="0"/>
    <x v="7"/>
    <s v="TECNICO SOLDADOR"/>
    <x v="43"/>
    <x v="5"/>
    <n v="2"/>
    <n v="72927801"/>
    <n v="60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60"/>
    <n v="7.5"/>
    <n v="60"/>
    <n v="0"/>
    <n v="0"/>
    <n v="0"/>
    <n v="0"/>
    <s v=" "/>
    <s v=" "/>
    <m/>
    <m/>
    <m/>
    <n v="60"/>
    <e v="#REF!"/>
  </r>
  <r>
    <s v="miércoles"/>
    <s v="OBRA"/>
    <x v="1"/>
    <s v="may-YY"/>
    <x v="0"/>
    <x v="3"/>
    <s v="MECANICO MONTAJISTA DE MAQUINARIA EXTRANJERA"/>
    <x v="44"/>
    <x v="5"/>
    <n v="2"/>
    <n v="45360771"/>
    <n v="94.35"/>
    <d v="1899-12-30T07:00:00"/>
    <d v="1899-12-30T13:00:00"/>
    <d v="1899-12-30T14:00:00"/>
    <d v="1899-12-30T18:30:00"/>
    <d v="1899-12-30T10:30:00"/>
    <d v="1899-12-30T08:00:00"/>
    <d v="1899-12-30T02:30:00"/>
    <m/>
    <m/>
    <n v="0"/>
    <n v="0"/>
    <n v="0"/>
    <m/>
    <n v="10.499999999999998"/>
    <n v="8"/>
    <n v="2.4999999999999991"/>
    <n v="94.35"/>
    <n v="11.793749999999999"/>
    <n v="94.35"/>
    <n v="0"/>
    <n v="0"/>
    <n v="0"/>
    <n v="0"/>
    <s v=" "/>
    <s v=" "/>
    <m/>
    <m/>
    <m/>
    <n v="94.35"/>
    <e v="#REF!"/>
  </r>
  <r>
    <s v="miércoles"/>
    <s v="OBRA"/>
    <x v="1"/>
    <s v="may-YY"/>
    <x v="0"/>
    <x v="7"/>
    <s v="TECNICO MECANICO MONTAJISTA DE NAVE INDUSTRIAL"/>
    <x v="45"/>
    <x v="5"/>
    <n v="2"/>
    <n v="44676684"/>
    <n v="7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70"/>
    <n v="8.75"/>
    <n v="70"/>
    <n v="0"/>
    <n v="0"/>
    <n v="0"/>
    <n v="0"/>
    <s v=" "/>
    <s v=" "/>
    <m/>
    <m/>
    <m/>
    <n v="70"/>
    <e v="#REF!"/>
  </r>
  <r>
    <s v="miércoles"/>
    <s v=" "/>
    <x v="1"/>
    <s v="may-YY"/>
    <x v="1"/>
    <x v="7"/>
    <n v="0"/>
    <x v="46"/>
    <x v="5"/>
    <m/>
    <n v="71214531"/>
    <n v="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miércoles"/>
    <s v="PLANTA"/>
    <x v="1"/>
    <s v="may-YY"/>
    <x v="0"/>
    <x v="0"/>
    <s v="TECNICO MECANICO MONTAJISTA DE MAQUINARIA"/>
    <x v="47"/>
    <x v="5"/>
    <n v="1"/>
    <n v="47158079"/>
    <n v="56.55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56.55"/>
    <n v="7.0687499999999996"/>
    <n v="56.55"/>
    <n v="0"/>
    <n v="0"/>
    <n v="0"/>
    <n v="0"/>
    <s v=" "/>
    <s v=" "/>
    <m/>
    <m/>
    <m/>
    <n v="56.55"/>
    <e v="#REF!"/>
  </r>
  <r>
    <s v="miércoles"/>
    <s v="FALTA"/>
    <x v="1"/>
    <s v="may-YY"/>
    <x v="0"/>
    <x v="6"/>
    <s v="TECNICO ELECTRICO MONTAJISTA DE MAQUINARIA EXTRANJERA"/>
    <x v="48"/>
    <x v="5"/>
    <n v="4"/>
    <n v="76449683"/>
    <n v="73.87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miércoles"/>
    <s v="OBRA"/>
    <x v="1"/>
    <s v="may-YY"/>
    <x v="0"/>
    <x v="3"/>
    <s v="MECANICO MONTAJISTA DE MAQUINARIA EXTRANJERA"/>
    <x v="49"/>
    <x v="5"/>
    <n v="2"/>
    <n v="43878459"/>
    <n v="79.78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79.78"/>
    <n v="9.9725000000000001"/>
    <n v="79.78"/>
    <n v="0"/>
    <n v="0"/>
    <n v="0"/>
    <n v="0"/>
    <s v=" "/>
    <s v=" "/>
    <m/>
    <m/>
    <m/>
    <n v="79.78"/>
    <e v="#REF!"/>
  </r>
  <r>
    <s v="miércoles"/>
    <s v="OBRA"/>
    <x v="1"/>
    <s v="may-YY"/>
    <x v="0"/>
    <x v="3"/>
    <s v="MECANICO MONTAJISTA DE MAQUINARIA EXTRANJERA"/>
    <x v="50"/>
    <x v="5"/>
    <n v="2"/>
    <n v="46578402"/>
    <n v="103.42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103.42"/>
    <n v="12.9275"/>
    <n v="103.42"/>
    <n v="0"/>
    <n v="0"/>
    <n v="0"/>
    <n v="0"/>
    <s v=" "/>
    <s v=" "/>
    <m/>
    <m/>
    <m/>
    <n v="103.42"/>
    <e v="#REF!"/>
  </r>
  <r>
    <s v="miércoles"/>
    <s v="OBRA"/>
    <x v="1"/>
    <s v="may-YY"/>
    <x v="0"/>
    <x v="7"/>
    <s v="PRACTICANTE "/>
    <x v="51"/>
    <x v="5"/>
    <n v="2"/>
    <n v="72814417"/>
    <n v="35.76"/>
    <d v="1899-12-30T07:00:00"/>
    <d v="1899-12-30T13:00:00"/>
    <d v="1899-12-30T14:00:00"/>
    <d v="1899-12-30T23:59:00"/>
    <d v="1899-12-30T15:59:00"/>
    <d v="1899-12-30T08:00:00"/>
    <d v="1899-12-30T07:59:00"/>
    <m/>
    <m/>
    <n v="0"/>
    <n v="0"/>
    <n v="0"/>
    <m/>
    <n v="15.983333333333333"/>
    <n v="8"/>
    <n v="7.9833333333333325"/>
    <n v="35.76"/>
    <n v="4.47"/>
    <n v="35.76"/>
    <n v="0"/>
    <n v="0"/>
    <n v="0"/>
    <n v="0"/>
    <s v=" "/>
    <s v=" "/>
    <m/>
    <m/>
    <m/>
    <n v="35.76"/>
    <e v="#REF!"/>
  </r>
  <r>
    <s v="miércoles"/>
    <s v="OBRA"/>
    <x v="1"/>
    <s v="may-YY"/>
    <x v="0"/>
    <x v="3"/>
    <s v="MECANICO MONTAJISTA DE MAQUINARIA EXTRANJERA"/>
    <x v="52"/>
    <x v="5"/>
    <n v="2"/>
    <n v="45416906"/>
    <n v="87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87"/>
    <n v="10.875"/>
    <n v="87"/>
    <n v="0"/>
    <n v="0"/>
    <n v="0"/>
    <n v="0"/>
    <s v=" "/>
    <s v=" "/>
    <m/>
    <m/>
    <m/>
    <n v="87"/>
    <e v="#REF!"/>
  </r>
  <r>
    <s v="miércoles"/>
    <s v="OBRA"/>
    <x v="1"/>
    <s v="may-YY"/>
    <x v="0"/>
    <x v="8"/>
    <s v="TECNICO MECANICO MONTAJISTA DE MAQUINARIA EXTRANJERA"/>
    <x v="53"/>
    <x v="5"/>
    <n v="2"/>
    <n v="44044783"/>
    <n v="70.92"/>
    <d v="1899-12-30T03:00:00"/>
    <d v="1899-12-30T13:00:00"/>
    <d v="1899-12-30T14:00:00"/>
    <d v="1899-12-30T23:59:00"/>
    <d v="1899-12-30T19:59:00"/>
    <d v="1899-12-30T08:00:00"/>
    <d v="1899-12-30T11:59:00"/>
    <m/>
    <m/>
    <n v="0"/>
    <n v="0"/>
    <n v="0"/>
    <m/>
    <n v="19.983333333333331"/>
    <n v="8"/>
    <n v="11.983333333333333"/>
    <n v="70.92"/>
    <n v="8.8650000000000002"/>
    <n v="70.92"/>
    <n v="0"/>
    <n v="0"/>
    <n v="0"/>
    <n v="0"/>
    <s v=" "/>
    <s v=" "/>
    <m/>
    <m/>
    <m/>
    <n v="70.92"/>
    <e v="#REF!"/>
  </r>
  <r>
    <s v="miércoles"/>
    <s v="OBRA"/>
    <x v="1"/>
    <s v="may-YY"/>
    <x v="0"/>
    <x v="15"/>
    <s v="MAESTRO ELECTRICO MONTAJISTA DE MAQUINARIA EXTRANJERA"/>
    <x v="54"/>
    <x v="5"/>
    <n v="2"/>
    <n v="44685832"/>
    <n v="88.47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88.47"/>
    <n v="11.05875"/>
    <n v="88.47"/>
    <n v="0"/>
    <n v="0"/>
    <n v="0"/>
    <n v="0"/>
    <s v=" "/>
    <s v=" "/>
    <m/>
    <m/>
    <m/>
    <n v="88.47"/>
    <e v="#REF!"/>
  </r>
  <r>
    <s v="miércoles"/>
    <s v="PLANTA"/>
    <x v="1"/>
    <s v="may-YY"/>
    <x v="0"/>
    <x v="5"/>
    <s v="TECNICO MECANICO MONTAJISTA DE NAVE INDUSTRIAL"/>
    <x v="55"/>
    <x v="5"/>
    <n v="1"/>
    <n v="47749907"/>
    <n v="80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79.999999999999986"/>
    <n v="9.9999999999999982"/>
    <n v="79.999999999999986"/>
    <n v="0"/>
    <n v="0"/>
    <n v="0"/>
    <n v="0"/>
    <s v=" "/>
    <s v=" "/>
    <m/>
    <m/>
    <m/>
    <n v="79.999999999999986"/>
    <e v="#REF!"/>
  </r>
  <r>
    <s v="miércoles"/>
    <s v="OBRA"/>
    <x v="1"/>
    <s v="may-YY"/>
    <x v="0"/>
    <x v="18"/>
    <s v="MAESTRO PINTOR"/>
    <x v="56"/>
    <x v="5"/>
    <n v="2"/>
    <n v="46859101"/>
    <n v="7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70"/>
    <n v="8.75"/>
    <n v="70"/>
    <n v="0"/>
    <n v="0"/>
    <n v="0"/>
    <n v="0"/>
    <s v=" "/>
    <s v=" "/>
    <m/>
    <m/>
    <m/>
    <n v="70"/>
    <e v="#REF!"/>
  </r>
  <r>
    <s v="jueves"/>
    <s v="PLANTA"/>
    <x v="1"/>
    <s v="may-YY"/>
    <x v="0"/>
    <x v="0"/>
    <s v="TECNICO MECANICO MONTAJISTA DE MAQUINARIA"/>
    <x v="0"/>
    <x v="6"/>
    <n v="1"/>
    <n v="46108491"/>
    <n v="50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50"/>
    <n v="6.25"/>
    <n v="50"/>
    <n v="0"/>
    <n v="0"/>
    <n v="0"/>
    <n v="0"/>
    <s v=" "/>
    <s v=" "/>
    <m/>
    <m/>
    <m/>
    <n v="50"/>
    <e v="#REF!"/>
  </r>
  <r>
    <s v="jueves"/>
    <s v="PLANTA"/>
    <x v="1"/>
    <s v="may-YY"/>
    <x v="1"/>
    <x v="1"/>
    <s v="OPERARIO ELECTRICO"/>
    <x v="1"/>
    <x v="6"/>
    <n v="1"/>
    <n v="75557820"/>
    <n v="50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50"/>
    <n v="6.25"/>
    <n v="50"/>
    <n v="0"/>
    <n v="0"/>
    <n v="0"/>
    <n v="0"/>
    <s v=" "/>
    <s v=" "/>
    <m/>
    <m/>
    <m/>
    <n v="50"/>
    <e v="#REF!"/>
  </r>
  <r>
    <s v="jueves"/>
    <s v="OBRA"/>
    <x v="1"/>
    <s v="may-YY"/>
    <x v="0"/>
    <x v="1"/>
    <s v="OPERARIO ELECTRICO"/>
    <x v="2"/>
    <x v="6"/>
    <n v="2"/>
    <n v="46801821"/>
    <n v="43.5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43.5"/>
    <n v="5.4375"/>
    <n v="43.5"/>
    <n v="0"/>
    <n v="0"/>
    <n v="0"/>
    <n v="0"/>
    <s v=" "/>
    <s v=" "/>
    <m/>
    <m/>
    <m/>
    <n v="43.5"/>
    <e v="#REF!"/>
  </r>
  <r>
    <s v="jueves"/>
    <s v="PLANTA"/>
    <x v="1"/>
    <s v="may-YY"/>
    <x v="0"/>
    <x v="2"/>
    <s v="OPERARIO SOLDADOR"/>
    <x v="3"/>
    <x v="6"/>
    <n v="1"/>
    <n v="10664396"/>
    <n v="60"/>
    <d v="1899-12-30T07:00:00"/>
    <m/>
    <m/>
    <d v="1899-12-30T14:00:00"/>
    <d v="1899-12-30T07:00:00"/>
    <d v="1899-12-30T07:00:00"/>
    <d v="1899-12-30T00:00:00"/>
    <m/>
    <m/>
    <n v="0"/>
    <n v="0"/>
    <n v="0"/>
    <m/>
    <n v="7"/>
    <n v="7"/>
    <n v="0"/>
    <n v="46.666666666666671"/>
    <n v="5.8333333333333339"/>
    <n v="46.666666666666671"/>
    <n v="0"/>
    <n v="0"/>
    <n v="0"/>
    <n v="0"/>
    <s v=" "/>
    <s v=" "/>
    <m/>
    <m/>
    <m/>
    <n v="46.666666666666671"/>
    <e v="#REF!"/>
  </r>
  <r>
    <s v="jueves"/>
    <s v="PLANTA"/>
    <x v="1"/>
    <s v="may-YY"/>
    <x v="1"/>
    <x v="2"/>
    <s v="OPERARIO SOLDADOR"/>
    <x v="4"/>
    <x v="6"/>
    <n v="1"/>
    <n v="71995358"/>
    <n v="45"/>
    <d v="1899-12-30T08:00:00"/>
    <d v="1899-12-30T13:00:00"/>
    <d v="1899-12-30T14:00:00"/>
    <d v="1899-12-30T17:00:00"/>
    <d v="1899-12-30T08:00:00"/>
    <d v="1899-12-30T08:00:00"/>
    <d v="1899-12-30T00:00:00"/>
    <m/>
    <m/>
    <n v="0"/>
    <n v="0"/>
    <n v="0"/>
    <m/>
    <n v="8"/>
    <n v="8"/>
    <n v="0"/>
    <n v="40"/>
    <n v="5"/>
    <n v="40"/>
    <n v="0"/>
    <n v="0"/>
    <n v="0"/>
    <n v="0"/>
    <s v=" "/>
    <s v=" "/>
    <m/>
    <m/>
    <m/>
    <n v="40"/>
    <e v="#REF!"/>
  </r>
  <r>
    <s v="jueves"/>
    <s v="OBRA"/>
    <x v="1"/>
    <s v="may-YY"/>
    <x v="0"/>
    <x v="3"/>
    <s v="MECANICO MONTAJISTA DE MAQUINARIA EXTRANJERA"/>
    <x v="5"/>
    <x v="6"/>
    <n v="2"/>
    <n v="27291529"/>
    <n v="72.540000000000006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72.540000000000006"/>
    <n v="9.0675000000000008"/>
    <n v="72.540000000000006"/>
    <n v="0"/>
    <n v="0"/>
    <n v="0"/>
    <n v="0"/>
    <s v=" "/>
    <s v=" "/>
    <m/>
    <m/>
    <m/>
    <n v="72.540000000000006"/>
    <e v="#REF!"/>
  </r>
  <r>
    <s v="jueves"/>
    <s v="PLANTA"/>
    <x v="1"/>
    <s v="may-YY"/>
    <x v="0"/>
    <x v="4"/>
    <s v="TECNICO ELECTRICO MONTAJISTA DE MAQUINARIA"/>
    <x v="6"/>
    <x v="6"/>
    <n v="1"/>
    <n v="47711616"/>
    <n v="47.73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47.73"/>
    <n v="5.9662499999999996"/>
    <n v="47.73"/>
    <n v="0"/>
    <n v="0"/>
    <n v="0"/>
    <n v="0"/>
    <s v=" "/>
    <s v=" "/>
    <m/>
    <m/>
    <m/>
    <n v="47.73"/>
    <e v="#REF!"/>
  </r>
  <r>
    <s v="jueves"/>
    <s v="OBRA"/>
    <x v="1"/>
    <s v="may-YY"/>
    <x v="0"/>
    <x v="5"/>
    <s v="TECNICO MECANICO MONTAJISTA DE NAVE INDUSTRIAL"/>
    <x v="7"/>
    <x v="6"/>
    <n v="2"/>
    <n v="48237026"/>
    <n v="52.2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52.2"/>
    <n v="6.5250000000000004"/>
    <n v="52.2"/>
    <n v="0"/>
    <n v="0"/>
    <n v="0"/>
    <n v="0"/>
    <s v=" "/>
    <s v=" "/>
    <m/>
    <m/>
    <m/>
    <n v="52.2"/>
    <e v="#REF!"/>
  </r>
  <r>
    <s v="jueves"/>
    <s v="OBRA"/>
    <x v="1"/>
    <s v="may-YY"/>
    <x v="0"/>
    <x v="6"/>
    <s v="TECNICO ELECTRICO MONTAJISTA DE MAQUINARIA EXTRANJERA"/>
    <x v="8"/>
    <x v="6"/>
    <n v="2"/>
    <n v="47055982"/>
    <n v="73.72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73.72"/>
    <n v="9.2149999999999999"/>
    <n v="73.72"/>
    <n v="0"/>
    <n v="0"/>
    <n v="0"/>
    <n v="0"/>
    <s v=" "/>
    <s v=" "/>
    <m/>
    <m/>
    <m/>
    <n v="73.72"/>
    <e v="#REF!"/>
  </r>
  <r>
    <s v="jueves"/>
    <s v="PLANTA"/>
    <x v="1"/>
    <s v="may-YY"/>
    <x v="3"/>
    <x v="7"/>
    <n v="0"/>
    <x v="57"/>
    <x v="6"/>
    <n v="1"/>
    <n v="17543176"/>
    <n v="0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0"/>
    <n v="0"/>
    <n v="0"/>
    <n v="0"/>
    <n v="0"/>
    <n v="0"/>
    <n v="0"/>
    <s v=" "/>
    <s v=" "/>
    <m/>
    <m/>
    <m/>
    <n v="0"/>
    <e v="#REF!"/>
  </r>
  <r>
    <s v="jueves"/>
    <s v="OBRA"/>
    <x v="1"/>
    <s v="may-YY"/>
    <x v="0"/>
    <x v="7"/>
    <s v="AYUDANTE DE PRODUCCION"/>
    <x v="9"/>
    <x v="6"/>
    <n v="2"/>
    <n v="48359730"/>
    <n v="5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55"/>
    <n v="6.875"/>
    <n v="55"/>
    <n v="0"/>
    <n v="0"/>
    <n v="0"/>
    <n v="0"/>
    <s v=" "/>
    <s v=" "/>
    <m/>
    <m/>
    <m/>
    <n v="55"/>
    <e v="#REF!"/>
  </r>
  <r>
    <s v="jueves"/>
    <s v="PLANTA"/>
    <x v="1"/>
    <s v="may-YY"/>
    <x v="0"/>
    <x v="2"/>
    <s v="OPERARIO SOLDADOR"/>
    <x v="10"/>
    <x v="6"/>
    <n v="1"/>
    <n v="74359947"/>
    <n v="57.62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57.62"/>
    <n v="7.2024999999999997"/>
    <n v="57.62"/>
    <n v="0"/>
    <n v="0"/>
    <n v="0"/>
    <n v="0"/>
    <s v=" "/>
    <s v=" "/>
    <m/>
    <m/>
    <m/>
    <n v="57.62"/>
    <e v="#REF!"/>
  </r>
  <r>
    <s v="jueves"/>
    <s v="PLANTA"/>
    <x v="1"/>
    <s v="may-YY"/>
    <x v="0"/>
    <x v="0"/>
    <s v="TECNICO MECANICO MONTAJISTA DE MAQUINARIA"/>
    <x v="11"/>
    <x v="6"/>
    <n v="1"/>
    <n v="47321409"/>
    <n v="65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5"/>
    <n v="8.125"/>
    <n v="65"/>
    <n v="0"/>
    <n v="0"/>
    <n v="0"/>
    <n v="0"/>
    <s v=" "/>
    <s v=" "/>
    <m/>
    <m/>
    <m/>
    <n v="65"/>
    <e v="#REF!"/>
  </r>
  <r>
    <s v="jueves"/>
    <s v="OBRA"/>
    <x v="1"/>
    <s v="may-YY"/>
    <x v="0"/>
    <x v="8"/>
    <s v="TECNICO MECANICO MONTAJISTA DE MAQUINARIA EXTRANJERA"/>
    <x v="12"/>
    <x v="6"/>
    <n v="2"/>
    <n v="70133802"/>
    <n v="66.92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66.92"/>
    <n v="8.3650000000000002"/>
    <n v="66.92"/>
    <n v="0"/>
    <n v="0"/>
    <n v="0"/>
    <n v="0"/>
    <s v=" "/>
    <s v=" "/>
    <m/>
    <m/>
    <m/>
    <n v="66.92"/>
    <e v="#REF!"/>
  </r>
  <r>
    <s v="jueves"/>
    <s v="PLANTA"/>
    <x v="1"/>
    <s v="may-YY"/>
    <x v="1"/>
    <x v="7"/>
    <s v="TECNICO SOLDADOR"/>
    <x v="13"/>
    <x v="6"/>
    <n v="1"/>
    <n v="75494335"/>
    <n v="90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90"/>
    <n v="11.25"/>
    <n v="90"/>
    <n v="0"/>
    <n v="0"/>
    <n v="0"/>
    <n v="0"/>
    <s v=" "/>
    <s v=" "/>
    <m/>
    <m/>
    <m/>
    <n v="90"/>
    <e v="#REF!"/>
  </r>
  <r>
    <s v="jueves"/>
    <s v="PLANTA"/>
    <x v="1"/>
    <s v="may-YY"/>
    <x v="0"/>
    <x v="7"/>
    <s v="AYUDANTE DE PRODUCCION"/>
    <x v="14"/>
    <x v="6"/>
    <n v="1"/>
    <n v="76288149"/>
    <n v="44.32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44.32"/>
    <n v="5.54"/>
    <n v="44.32"/>
    <n v="0"/>
    <n v="0"/>
    <n v="0"/>
    <n v="0"/>
    <s v=" "/>
    <s v=" "/>
    <m/>
    <m/>
    <m/>
    <n v="44.32"/>
    <e v="#REF!"/>
  </r>
  <r>
    <s v="jueves"/>
    <s v="OBRA"/>
    <x v="1"/>
    <s v="may-YY"/>
    <x v="0"/>
    <x v="7"/>
    <s v="AYUDANTE DE PRODUCCION"/>
    <x v="15"/>
    <x v="6"/>
    <n v="2"/>
    <n v="75809362"/>
    <n v="65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65"/>
    <n v="8.125"/>
    <n v="65"/>
    <n v="0"/>
    <n v="0"/>
    <n v="0"/>
    <n v="0"/>
    <s v=" "/>
    <s v=" "/>
    <m/>
    <m/>
    <m/>
    <n v="65"/>
    <e v="#REF!"/>
  </r>
  <r>
    <s v="jueves"/>
    <s v="PLANTA"/>
    <x v="1"/>
    <s v="may-YY"/>
    <x v="1"/>
    <x v="2"/>
    <s v="OPERARIO SOLDADOR"/>
    <x v="16"/>
    <x v="6"/>
    <n v="1"/>
    <n v="42558469"/>
    <n v="60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0"/>
    <n v="7.5"/>
    <n v="60"/>
    <n v="0"/>
    <n v="0"/>
    <n v="0"/>
    <n v="0"/>
    <s v=" "/>
    <s v=" "/>
    <m/>
    <m/>
    <m/>
    <n v="60"/>
    <e v="#REF!"/>
  </r>
  <r>
    <s v="jueves"/>
    <s v="PLANTA"/>
    <x v="1"/>
    <s v="may-YY"/>
    <x v="0"/>
    <x v="9"/>
    <s v="MAESTRO MECANICO MONTAJISTA DE MAQUINARIA"/>
    <x v="17"/>
    <x v="6"/>
    <n v="1"/>
    <n v="48046568"/>
    <n v="68.150000000000006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68.149999999999991"/>
    <n v="8.5187499999999989"/>
    <n v="68.149999999999991"/>
    <n v="0"/>
    <n v="0"/>
    <n v="0"/>
    <n v="0"/>
    <s v=" "/>
    <s v=" "/>
    <m/>
    <m/>
    <m/>
    <n v="68.149999999999991"/>
    <e v="#REF!"/>
  </r>
  <r>
    <s v="jueves"/>
    <s v="FALTA"/>
    <x v="1"/>
    <s v="may-YY"/>
    <x v="0"/>
    <x v="7"/>
    <s v="AYUDANTE DE PRODUCCION"/>
    <x v="18"/>
    <x v="6"/>
    <n v="4"/>
    <n v="75790434"/>
    <n v="35.81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jueves"/>
    <s v="PLANTA"/>
    <x v="1"/>
    <s v="may-YY"/>
    <x v="1"/>
    <x v="10"/>
    <s v="TECNICO SOLDADOR"/>
    <x v="19"/>
    <x v="6"/>
    <n v="1"/>
    <n v="45545014"/>
    <n v="60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60"/>
    <n v="7.5"/>
    <n v="60"/>
    <n v="0"/>
    <n v="0"/>
    <n v="0"/>
    <n v="0"/>
    <s v=" "/>
    <s v=" "/>
    <m/>
    <m/>
    <m/>
    <n v="60"/>
    <e v="#REF!"/>
  </r>
  <r>
    <s v="jueves"/>
    <s v="OBRA"/>
    <x v="1"/>
    <s v="may-YY"/>
    <x v="0"/>
    <x v="11"/>
    <s v="SUPERVISOR DE MONTAJE Y DESMONTAJE"/>
    <x v="20"/>
    <x v="6"/>
    <n v="2"/>
    <n v="45327555"/>
    <n v="62.31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2.31"/>
    <n v="7.7887500000000003"/>
    <n v="62.31"/>
    <n v="0"/>
    <n v="0"/>
    <n v="0"/>
    <n v="0"/>
    <s v=" "/>
    <s v=" "/>
    <m/>
    <m/>
    <m/>
    <n v="62.31"/>
    <e v="#REF!"/>
  </r>
  <r>
    <s v="jueves"/>
    <s v="PLANTA"/>
    <x v="1"/>
    <s v="may-YY"/>
    <x v="0"/>
    <x v="8"/>
    <s v="TECNICO MECANICO MONTAJISTA DE MAQUINARIA EXTRANJERA"/>
    <x v="21"/>
    <x v="6"/>
    <n v="1"/>
    <n v="46228460"/>
    <n v="67.66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7.66"/>
    <n v="8.4574999999999996"/>
    <n v="67.66"/>
    <n v="0"/>
    <n v="0"/>
    <n v="0"/>
    <n v="0"/>
    <s v=" "/>
    <s v=" "/>
    <m/>
    <m/>
    <m/>
    <n v="67.66"/>
    <e v="#REF!"/>
  </r>
  <r>
    <s v="jueves"/>
    <s v="OBRA"/>
    <x v="1"/>
    <s v="may-YY"/>
    <x v="0"/>
    <x v="7"/>
    <s v="AYUDANTE DE PRODUCCION"/>
    <x v="22"/>
    <x v="6"/>
    <n v="2"/>
    <n v="75913657"/>
    <n v="6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0"/>
    <n v="7.5"/>
    <n v="60"/>
    <n v="0"/>
    <n v="0"/>
    <n v="0"/>
    <n v="0"/>
    <s v=" "/>
    <s v=" "/>
    <m/>
    <m/>
    <m/>
    <n v="60"/>
    <e v="#REF!"/>
  </r>
  <r>
    <s v="jueves"/>
    <s v="PLANTA"/>
    <x v="1"/>
    <s v="may-YY"/>
    <x v="0"/>
    <x v="12"/>
    <s v="MAESTRO SOLDADOR 3G"/>
    <x v="23"/>
    <x v="6"/>
    <n v="1"/>
    <n v="47466045"/>
    <n v="70.38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70.38"/>
    <n v="8.7974999999999994"/>
    <n v="70.38"/>
    <n v="0"/>
    <n v="0"/>
    <n v="0"/>
    <n v="0"/>
    <s v=" "/>
    <s v=" "/>
    <m/>
    <m/>
    <m/>
    <n v="70.38"/>
    <e v="#REF!"/>
  </r>
  <r>
    <s v="jueves"/>
    <s v="OBRA"/>
    <x v="1"/>
    <s v="may-YY"/>
    <x v="0"/>
    <x v="13"/>
    <s v="AYUDANTE DE PRODUCCION"/>
    <x v="24"/>
    <x v="6"/>
    <n v="2"/>
    <n v="62188868"/>
    <n v="39.15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39.15"/>
    <n v="4.8937499999999998"/>
    <n v="39.15"/>
    <n v="0"/>
    <n v="0"/>
    <n v="0"/>
    <n v="0"/>
    <s v=" "/>
    <s v=" "/>
    <m/>
    <m/>
    <m/>
    <n v="39.15"/>
    <e v="#REF!"/>
  </r>
  <r>
    <s v="jueves"/>
    <s v="OBRA"/>
    <x v="1"/>
    <s v="may-YY"/>
    <x v="0"/>
    <x v="0"/>
    <s v="TECNICO MECANICO MONTAJISTA DE MAQUINARIA"/>
    <x v="25"/>
    <x v="6"/>
    <n v="2"/>
    <n v="73541627"/>
    <n v="55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55"/>
    <n v="6.875"/>
    <n v="55"/>
    <n v="0"/>
    <n v="0"/>
    <n v="0"/>
    <n v="0"/>
    <s v=" "/>
    <s v=" "/>
    <m/>
    <m/>
    <m/>
    <n v="55"/>
    <e v="#REF!"/>
  </r>
  <r>
    <s v="jueves"/>
    <s v="PLANTA"/>
    <x v="1"/>
    <s v="may-YY"/>
    <x v="0"/>
    <x v="8"/>
    <s v="TECNICO MECANICO MONTAJISTA DE MAQUINARIA EXTRANJERA"/>
    <x v="26"/>
    <x v="6"/>
    <n v="1"/>
    <n v="76811302"/>
    <n v="60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59.999999999999993"/>
    <n v="7.4999999999999991"/>
    <n v="59.999999999999993"/>
    <n v="0"/>
    <n v="0"/>
    <n v="0"/>
    <n v="0"/>
    <s v=" "/>
    <s v=" "/>
    <m/>
    <m/>
    <m/>
    <n v="59.999999999999993"/>
    <e v="#REF!"/>
  </r>
  <r>
    <s v="jueves"/>
    <s v="FALTA"/>
    <x v="1"/>
    <s v="may-YY"/>
    <x v="2"/>
    <x v="13"/>
    <s v="AYUDANTE DE PRODUCCION"/>
    <x v="27"/>
    <x v="6"/>
    <n v="4"/>
    <n v="76457697"/>
    <n v="4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jueves"/>
    <s v="OBRA"/>
    <x v="1"/>
    <s v="may-YY"/>
    <x v="3"/>
    <x v="7"/>
    <n v="0"/>
    <x v="28"/>
    <x v="6"/>
    <n v="2"/>
    <n v="75561146"/>
    <n v="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0"/>
    <n v="0"/>
    <n v="0"/>
    <n v="0"/>
    <n v="0"/>
    <n v="0"/>
    <n v="0"/>
    <s v=" "/>
    <s v=" "/>
    <m/>
    <m/>
    <m/>
    <n v="0"/>
    <e v="#REF!"/>
  </r>
  <r>
    <s v="jueves"/>
    <s v="PLANTA"/>
    <x v="1"/>
    <s v="may-YY"/>
    <x v="3"/>
    <x v="7"/>
    <n v="0"/>
    <x v="29"/>
    <x v="6"/>
    <n v="1"/>
    <n v="76847602"/>
    <n v="0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0"/>
    <n v="0"/>
    <n v="0"/>
    <n v="0"/>
    <n v="0"/>
    <n v="0"/>
    <n v="0"/>
    <s v=" "/>
    <s v=" "/>
    <m/>
    <m/>
    <m/>
    <n v="0"/>
    <e v="#REF!"/>
  </r>
  <r>
    <s v="jueves"/>
    <s v="OBRA"/>
    <x v="1"/>
    <s v="may-YY"/>
    <x v="0"/>
    <x v="10"/>
    <s v="TECNICO SOLDADOR"/>
    <x v="30"/>
    <x v="6"/>
    <n v="2"/>
    <n v="46933574"/>
    <n v="65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65"/>
    <n v="8.125"/>
    <n v="65"/>
    <n v="0"/>
    <n v="0"/>
    <n v="0"/>
    <n v="0"/>
    <s v=" "/>
    <s v=" "/>
    <m/>
    <m/>
    <m/>
    <n v="65"/>
    <e v="#REF!"/>
  </r>
  <r>
    <s v="jueves"/>
    <s v="PLANTA"/>
    <x v="1"/>
    <s v="may-YY"/>
    <x v="0"/>
    <x v="7"/>
    <s v="AYUDANTE DE PRODUCCION"/>
    <x v="58"/>
    <x v="6"/>
    <n v="1"/>
    <n v="16723336"/>
    <n v="55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54.999999999999986"/>
    <n v="6.8749999999999982"/>
    <n v="54.999999999999986"/>
    <n v="0"/>
    <n v="0"/>
    <n v="0"/>
    <n v="0"/>
    <s v=" "/>
    <s v=" "/>
    <m/>
    <m/>
    <m/>
    <n v="54.999999999999986"/>
    <e v="#REF!"/>
  </r>
  <r>
    <s v="jueves"/>
    <s v="PLANTA"/>
    <x v="1"/>
    <s v="may-YY"/>
    <x v="0"/>
    <x v="7"/>
    <n v="0"/>
    <x v="31"/>
    <x v="6"/>
    <n v="1"/>
    <n v="41234982"/>
    <n v="0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0"/>
    <n v="0"/>
    <n v="0"/>
    <n v="0"/>
    <n v="0"/>
    <n v="0"/>
    <n v="0"/>
    <s v=" "/>
    <s v=" "/>
    <m/>
    <m/>
    <m/>
    <n v="0"/>
    <e v="#REF!"/>
  </r>
  <r>
    <s v="jueves"/>
    <s v="PLANTA"/>
    <x v="1"/>
    <s v="may-YY"/>
    <x v="0"/>
    <x v="5"/>
    <s v="TECNICO MECANICO MONTAJISTA DE NAVE INDUSTRIAL"/>
    <x v="32"/>
    <x v="6"/>
    <n v="1"/>
    <n v="45821420"/>
    <n v="56.55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56.55"/>
    <n v="7.0687499999999996"/>
    <n v="56.55"/>
    <n v="0"/>
    <n v="0"/>
    <n v="0"/>
    <n v="0"/>
    <s v=" "/>
    <s v=" "/>
    <m/>
    <m/>
    <m/>
    <n v="56.55"/>
    <e v="#REF!"/>
  </r>
  <r>
    <s v="jueves"/>
    <s v="PLANTA"/>
    <x v="1"/>
    <s v="may-YY"/>
    <x v="0"/>
    <x v="10"/>
    <s v="TECNICO SOLDADOR"/>
    <x v="33"/>
    <x v="6"/>
    <n v="1"/>
    <n v="47887505"/>
    <n v="66.48"/>
    <d v="1899-12-30T07:00:00"/>
    <d v="1899-12-30T13:00:00"/>
    <d v="1899-12-30T14:00:00"/>
    <d v="1899-12-30T19:00:00"/>
    <d v="1899-12-30T11:00:00"/>
    <d v="1899-12-30T09:00:00"/>
    <d v="1899-12-30T02:00:00"/>
    <m/>
    <m/>
    <n v="0"/>
    <n v="0"/>
    <n v="0"/>
    <m/>
    <n v="10.999999999999996"/>
    <n v="9"/>
    <n v="1.9999999999999969"/>
    <n v="66.48"/>
    <n v="8.31"/>
    <n v="66.48"/>
    <n v="0"/>
    <n v="0"/>
    <n v="0"/>
    <n v="0"/>
    <s v=" "/>
    <s v=" "/>
    <m/>
    <m/>
    <m/>
    <n v="66.48"/>
    <e v="#REF!"/>
  </r>
  <r>
    <s v="jueves"/>
    <s v="FALTA"/>
    <x v="1"/>
    <s v="may-YY"/>
    <x v="0"/>
    <x v="7"/>
    <n v="0"/>
    <x v="34"/>
    <x v="6"/>
    <n v="4"/>
    <n v="77226886"/>
    <n v="8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jueves"/>
    <s v=" "/>
    <x v="1"/>
    <s v="may-YY"/>
    <x v="0"/>
    <x v="14"/>
    <s v="MECANICO MONTAJISTA DE MAQUINARIA"/>
    <x v="35"/>
    <x v="6"/>
    <m/>
    <n v="47942907"/>
    <n v="75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jueves"/>
    <s v="PLANTA"/>
    <x v="1"/>
    <s v="may-YY"/>
    <x v="0"/>
    <x v="0"/>
    <s v="TECNICO MECANICO MONTAJISTA DE MAQUINARIA"/>
    <x v="36"/>
    <x v="6"/>
    <n v="1"/>
    <n v="48372384"/>
    <n v="57.62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57.62"/>
    <n v="7.2024999999999997"/>
    <n v="57.62"/>
    <n v="0"/>
    <n v="0"/>
    <n v="0"/>
    <n v="0"/>
    <s v=" "/>
    <s v=" "/>
    <m/>
    <m/>
    <m/>
    <n v="57.62"/>
    <e v="#REF!"/>
  </r>
  <r>
    <s v="jueves"/>
    <s v="PLANTA"/>
    <x v="1"/>
    <s v="may-YY"/>
    <x v="0"/>
    <x v="9"/>
    <s v="MAESTRO MECANICO MONTAJISTA DE MAQUINARIA"/>
    <x v="37"/>
    <x v="6"/>
    <n v="1"/>
    <n v="42308744"/>
    <n v="87.1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87.1"/>
    <n v="10.887499999999999"/>
    <n v="87.1"/>
    <n v="0"/>
    <n v="0"/>
    <n v="0"/>
    <n v="0"/>
    <s v=" "/>
    <s v=" "/>
    <m/>
    <m/>
    <m/>
    <n v="87.1"/>
    <e v="#REF!"/>
  </r>
  <r>
    <s v="jueves"/>
    <s v="OBRA"/>
    <x v="1"/>
    <s v="may-YY"/>
    <x v="1"/>
    <x v="12"/>
    <s v="MAESTRO SOLDADOR 3G"/>
    <x v="38"/>
    <x v="6"/>
    <n v="2"/>
    <n v="45486657"/>
    <n v="9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90"/>
    <n v="11.25"/>
    <n v="90"/>
    <n v="0"/>
    <n v="0"/>
    <n v="0"/>
    <n v="0"/>
    <s v=" "/>
    <s v=" "/>
    <m/>
    <m/>
    <m/>
    <n v="90"/>
    <e v="#REF!"/>
  </r>
  <r>
    <s v="jueves"/>
    <s v="OBRA"/>
    <x v="1"/>
    <s v="may-YY"/>
    <x v="0"/>
    <x v="15"/>
    <s v="MAESTRO ELECTRICO MONTAJISTA DE MAQUINARIA EXTRANJERA"/>
    <x v="39"/>
    <x v="6"/>
    <n v="2"/>
    <n v="45779525"/>
    <n v="116.06"/>
    <d v="1899-12-30T07:00:00"/>
    <d v="1899-12-30T13:00:00"/>
    <d v="1899-12-30T14:00:00"/>
    <d v="1899-12-30T18:30:00"/>
    <d v="1899-12-30T10:30:00"/>
    <d v="1899-12-30T08:00:00"/>
    <d v="1899-12-30T02:30:00"/>
    <m/>
    <m/>
    <n v="0"/>
    <n v="0"/>
    <n v="0"/>
    <m/>
    <n v="10.499999999999998"/>
    <n v="8"/>
    <n v="2.4999999999999991"/>
    <n v="116.06"/>
    <n v="14.5075"/>
    <n v="116.06"/>
    <n v="0"/>
    <n v="0"/>
    <n v="0"/>
    <n v="0"/>
    <s v=" "/>
    <s v=" "/>
    <m/>
    <m/>
    <m/>
    <n v="116.06"/>
    <e v="#REF!"/>
  </r>
  <r>
    <s v="jueves"/>
    <s v="PLANTA"/>
    <x v="1"/>
    <s v="may-YY"/>
    <x v="0"/>
    <x v="12"/>
    <s v="MAESTRO SOLDADOR 3G"/>
    <x v="40"/>
    <x v="6"/>
    <n v="1"/>
    <n v="77423720"/>
    <n v="69.44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69.44"/>
    <n v="8.68"/>
    <n v="69.44"/>
    <n v="0"/>
    <n v="0"/>
    <n v="0"/>
    <n v="0"/>
    <s v=" "/>
    <s v=" "/>
    <m/>
    <m/>
    <m/>
    <n v="69.44"/>
    <e v="#REF!"/>
  </r>
  <r>
    <s v="jueves"/>
    <s v="PLANTA"/>
    <x v="1"/>
    <s v="may-YY"/>
    <x v="0"/>
    <x v="16"/>
    <s v="MAESTRO SOLDADOR 6G MONTAJISTA DE MAQUINARIA"/>
    <x v="41"/>
    <x v="6"/>
    <n v="1"/>
    <n v="45035778"/>
    <n v="92.8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92.799999999999983"/>
    <n v="11.599999999999998"/>
    <n v="92.799999999999983"/>
    <n v="0"/>
    <n v="0"/>
    <n v="0"/>
    <n v="0"/>
    <s v=" "/>
    <s v=" "/>
    <m/>
    <m/>
    <m/>
    <n v="92.799999999999983"/>
    <e v="#REF!"/>
  </r>
  <r>
    <s v="jueves"/>
    <s v="OBRA"/>
    <x v="1"/>
    <s v="may-YY"/>
    <x v="0"/>
    <x v="17"/>
    <s v="MAESTRO MECANICO MONTAJISTA DE MAQUINARIA EXTRANJERA"/>
    <x v="42"/>
    <x v="6"/>
    <n v="2"/>
    <n v="72926564"/>
    <n v="88.27"/>
    <d v="1899-12-30T08:00:00"/>
    <d v="1899-12-30T13:00:00"/>
    <d v="1899-12-30T14:00:00"/>
    <d v="1899-12-30T18:00:00"/>
    <d v="1899-12-30T09:00:00"/>
    <d v="1899-12-30T08:00:00"/>
    <d v="1899-12-30T01:00:00"/>
    <m/>
    <m/>
    <n v="0"/>
    <n v="0"/>
    <n v="0"/>
    <m/>
    <n v="8.9999999999999982"/>
    <n v="8"/>
    <n v="0.99999999999999911"/>
    <n v="88.27"/>
    <n v="11.03375"/>
    <n v="88.27"/>
    <n v="0"/>
    <n v="0"/>
    <n v="0"/>
    <n v="0"/>
    <s v=" "/>
    <s v=" "/>
    <m/>
    <m/>
    <m/>
    <n v="88.27"/>
    <e v="#REF!"/>
  </r>
  <r>
    <s v="jueves"/>
    <s v="OBRA"/>
    <x v="1"/>
    <s v="may-YY"/>
    <x v="0"/>
    <x v="7"/>
    <s v="TECNICO SOLDADOR"/>
    <x v="43"/>
    <x v="6"/>
    <n v="2"/>
    <n v="72927801"/>
    <n v="60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60"/>
    <n v="7.5"/>
    <n v="60"/>
    <n v="0"/>
    <n v="0"/>
    <n v="0"/>
    <n v="0"/>
    <s v=" "/>
    <s v=" "/>
    <m/>
    <m/>
    <m/>
    <n v="60"/>
    <e v="#REF!"/>
  </r>
  <r>
    <s v="jueves"/>
    <s v="OBRA"/>
    <x v="1"/>
    <s v="may-YY"/>
    <x v="0"/>
    <x v="3"/>
    <s v="MECANICO MONTAJISTA DE MAQUINARIA EXTRANJERA"/>
    <x v="44"/>
    <x v="6"/>
    <n v="2"/>
    <n v="45360771"/>
    <n v="94.35"/>
    <d v="1899-12-30T08:00:00"/>
    <d v="1899-12-30T13:00:00"/>
    <d v="1899-12-30T14:00:00"/>
    <d v="1899-12-30T18:00:00"/>
    <d v="1899-12-30T09:00:00"/>
    <d v="1899-12-30T08:00:00"/>
    <d v="1899-12-30T01:00:00"/>
    <m/>
    <m/>
    <n v="0"/>
    <n v="0"/>
    <n v="0"/>
    <m/>
    <n v="8.9999999999999982"/>
    <n v="8"/>
    <n v="0.99999999999999911"/>
    <n v="94.35"/>
    <n v="11.793749999999999"/>
    <n v="94.35"/>
    <n v="0"/>
    <n v="0"/>
    <n v="0"/>
    <n v="0"/>
    <s v=" "/>
    <s v=" "/>
    <m/>
    <m/>
    <m/>
    <n v="94.35"/>
    <e v="#REF!"/>
  </r>
  <r>
    <s v="jueves"/>
    <s v="OBRA"/>
    <x v="1"/>
    <s v="may-YY"/>
    <x v="0"/>
    <x v="7"/>
    <s v="TECNICO MECANICO MONTAJISTA DE NAVE INDUSTRIAL"/>
    <x v="45"/>
    <x v="6"/>
    <n v="2"/>
    <n v="44676684"/>
    <n v="70"/>
    <d v="1899-12-30T07:00:00"/>
    <d v="1899-12-30T13:00:00"/>
    <d v="1899-12-30T14:00:00"/>
    <d v="1899-12-30T18:00:00"/>
    <d v="1899-12-30T10:00:00"/>
    <d v="1899-12-30T08:00:00"/>
    <d v="1899-12-30T02:00:00"/>
    <m/>
    <m/>
    <n v="0"/>
    <n v="0"/>
    <n v="0"/>
    <m/>
    <n v="9.9999999999999982"/>
    <n v="8"/>
    <n v="1.9999999999999982"/>
    <n v="70"/>
    <n v="8.75"/>
    <n v="70"/>
    <n v="0"/>
    <n v="0"/>
    <n v="0"/>
    <n v="0"/>
    <s v=" "/>
    <s v=" "/>
    <m/>
    <m/>
    <m/>
    <n v="70"/>
    <e v="#REF!"/>
  </r>
  <r>
    <s v="jueves"/>
    <s v=" "/>
    <x v="1"/>
    <s v="may-YY"/>
    <x v="1"/>
    <x v="7"/>
    <n v="0"/>
    <x v="46"/>
    <x v="6"/>
    <m/>
    <n v="71214531"/>
    <n v="0"/>
    <m/>
    <m/>
    <m/>
    <m/>
    <d v="1899-12-30T00:00:00"/>
    <d v="1899-12-30T00:00:00"/>
    <d v="1899-12-30T00:00:00"/>
    <m/>
    <m/>
    <n v="0"/>
    <n v="0"/>
    <n v="0"/>
    <m/>
    <n v="0"/>
    <n v="0"/>
    <n v="0"/>
    <n v="0"/>
    <n v="0"/>
    <n v="0"/>
    <n v="0"/>
    <n v="0"/>
    <n v="0"/>
    <n v="0"/>
    <s v=" "/>
    <s v=" "/>
    <m/>
    <m/>
    <m/>
    <n v="0"/>
    <e v="#REF!"/>
  </r>
  <r>
    <s v="jueves"/>
    <s v="PLANTA"/>
    <x v="1"/>
    <s v="may-YY"/>
    <x v="0"/>
    <x v="0"/>
    <s v="TECNICO MECANICO MONTAJISTA DE MAQUINARIA"/>
    <x v="47"/>
    <x v="6"/>
    <n v="1"/>
    <n v="47158079"/>
    <n v="56.55"/>
    <d v="1899-12-30T07:00:00"/>
    <d v="1899-12-30T13:00:00"/>
    <d v="1899-12-30T14:00:00"/>
    <d v="1899-12-30T18:00:00"/>
    <d v="1899-12-30T10:00:00"/>
    <d v="1899-12-30T09:00:00"/>
    <d v="1899-12-30T01:00:00"/>
    <m/>
    <m/>
    <n v="0"/>
    <n v="0"/>
    <n v="0"/>
    <m/>
    <n v="9.9999999999999982"/>
    <n v="9"/>
    <n v="0.99999999999999778"/>
    <n v="56.55"/>
    <n v="7.0687499999999996"/>
    <n v="56.55"/>
    <n v="0"/>
    <n v="0"/>
    <n v="0"/>
    <n v="0"/>
    <s v=" "/>
    <s v=" "/>
    <m/>
    <m/>
    <m/>
    <n v="56.55"/>
    <e v="#REF!"/>
  </r>
  <r>
    <s v="jueves"/>
    <s v="PLANTA"/>
    <x v="1"/>
    <s v="may-YY"/>
    <x v="0"/>
    <x v="6"/>
    <s v="TECNICO ELECTRICO MONTAJISTA DE MAQUINARIA EXTRANJERA"/>
    <x v="48"/>
    <x v="6"/>
    <n v="1"/>
    <n v="76449683"/>
    <n v="73.87"/>
    <d v="1899-12-30T07:00:00"/>
    <d v="1899-12-30T13:00:00"/>
    <d v="1899-12-30T14:00:00"/>
    <d v="1899-12-30T18:00:00"/>
    <d v="1899-12-30T10:00:00"/>
    <d v="1899-12-30T09:00:00"/>
    <d v="1899-12-30T01:00:00"/>
    <n v="1"/>
    <m/>
    <n v="11.542187500000001"/>
    <n v="0"/>
    <n v="11.542187500000001"/>
    <m/>
    <n v="9.9999999999999982"/>
    <n v="9"/>
    <n v="0.99999999999999778"/>
    <n v="73.87"/>
    <n v="9.2337500000000006"/>
    <n v="85.412187500000002"/>
    <n v="0"/>
    <n v="0"/>
    <n v="0"/>
    <n v="0"/>
    <s v=" "/>
    <s v=" "/>
    <m/>
    <m/>
    <m/>
    <n v="85.412187500000002"/>
    <e v="#REF!"/>
  </r>
  <r>
    <s v="jueves"/>
    <s v="OBRA"/>
    <x v="1"/>
    <s v="may-YY"/>
    <x v="0"/>
    <x v="3"/>
    <s v="MECANICO MONTAJISTA DE MAQUINARIA EXTRANJERA"/>
    <x v="49"/>
    <x v="6"/>
    <n v="2"/>
    <n v="43878459"/>
    <n v="79.78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79.78"/>
    <n v="9.9725000000000001"/>
    <n v="79.78"/>
    <n v="0"/>
    <n v="0"/>
    <n v="0"/>
    <n v="0"/>
    <s v=" "/>
    <s v=" "/>
    <m/>
    <m/>
    <m/>
    <n v="79.78"/>
    <e v="#REF!"/>
  </r>
  <r>
    <s v="jueves"/>
    <s v="OBRA"/>
    <x v="1"/>
    <s v="may-YY"/>
    <x v="0"/>
    <x v="3"/>
    <s v="MECANICO MONTAJISTA DE MAQUINARIA EXTRANJERA"/>
    <x v="50"/>
    <x v="6"/>
    <n v="2"/>
    <n v="46578402"/>
    <n v="103.42"/>
    <d v="1899-12-30T07:00:00"/>
    <d v="1899-12-30T13:00:00"/>
    <d v="1899-12-30T14:00:00"/>
    <d v="1899-12-30T19:00:00"/>
    <d v="1899-12-30T11:00:00"/>
    <d v="1899-12-30T08:00:00"/>
    <d v="1899-12-30T03:00:00"/>
    <m/>
    <m/>
    <n v="0"/>
    <n v="0"/>
    <n v="0"/>
    <m/>
    <n v="10.999999999999996"/>
    <n v="8"/>
    <n v="2.9999999999999973"/>
    <n v="103.42"/>
    <n v="12.9275"/>
    <n v="103.42"/>
    <n v="0"/>
    <n v="0"/>
    <n v="0"/>
    <n v="0"/>
    <s v=" "/>
    <s v=" "/>
    <m/>
    <m/>
    <m/>
    <n v="103.42"/>
    <e v="#REF!"/>
  </r>
  <r>
    <s v="jueves"/>
    <s v="OBRA"/>
    <x v="1"/>
    <s v="may-YY"/>
    <x v="0"/>
    <x v="7"/>
    <s v="PRACTICANTE "/>
    <x v="51"/>
    <x v="6"/>
    <n v="2"/>
    <n v="72814417"/>
    <n v="35.76"/>
    <d v="1899-12-30T00:00:00"/>
    <d v="1899-12-30T02:00:00"/>
    <m/>
    <m/>
    <d v="1899-12-30T02:00:00"/>
    <d v="1899-12-30T02:00:00"/>
    <d v="1899-12-30T00:00:00"/>
    <m/>
    <m/>
    <n v="0"/>
    <n v="0"/>
    <n v="0"/>
    <m/>
    <n v="2"/>
    <n v="2"/>
    <n v="0"/>
    <n v="8.94"/>
    <n v="1.1174999999999999"/>
    <n v="8.94"/>
    <n v="0"/>
    <n v="0"/>
    <n v="0"/>
    <n v="0"/>
    <s v=" "/>
    <s v=" "/>
    <m/>
    <m/>
    <m/>
    <n v="8.94"/>
    <e v="#REF!"/>
  </r>
  <r>
    <s v="jueves"/>
    <s v="OBRA"/>
    <x v="1"/>
    <s v="may-YY"/>
    <x v="0"/>
    <x v="3"/>
    <s v="MECANICO MONTAJISTA DE MAQUINARIA EXTRANJERA"/>
    <x v="52"/>
    <x v="6"/>
    <n v="2"/>
    <n v="45416906"/>
    <n v="87"/>
    <d v="1899-12-30T07:00:00"/>
    <d v="1899-12-30T13:00:00"/>
    <d v="1899-12-30T14:00:00"/>
    <d v="1899-12-30T18:30:00"/>
    <d v="1899-12-30T10:30:00"/>
    <d v="1899-12-30T08:00:00"/>
    <d v="1899-12-30T02:30:00"/>
    <m/>
    <m/>
    <n v="0"/>
    <n v="0"/>
    <n v="0"/>
    <m/>
    <n v="10.499999999999998"/>
    <n v="8"/>
    <n v="2.4999999999999991"/>
    <n v="87"/>
    <n v="10.875"/>
    <n v="87"/>
    <n v="0"/>
    <n v="0"/>
    <n v="0"/>
    <n v="0"/>
    <s v=" "/>
    <s v=" "/>
    <m/>
    <m/>
    <m/>
    <n v="87"/>
    <e v="#REF!"/>
  </r>
  <r>
    <s v="jueves"/>
    <s v="OBRA"/>
    <x v="1"/>
    <s v="may-YY"/>
    <x v="0"/>
    <x v="8"/>
    <s v="TECNICO MECANICO MONTAJISTA DE MAQUINARIA EXTRANJERA"/>
    <x v="53"/>
    <x v="6"/>
    <n v="2"/>
    <n v="44044783"/>
    <n v="70.92"/>
    <d v="1899-12-30T00:00:00"/>
    <d v="1899-12-30T02:00:00"/>
    <m/>
    <m/>
    <d v="1899-12-30T02:00:00"/>
    <d v="1899-12-30T02:00:00"/>
    <d v="1899-12-30T00:00:00"/>
    <m/>
    <m/>
    <n v="0"/>
    <n v="0"/>
    <n v="0"/>
    <m/>
    <n v="2"/>
    <n v="2"/>
    <n v="0"/>
    <n v="17.73"/>
    <n v="2.2162500000000001"/>
    <n v="17.73"/>
    <n v="0"/>
    <n v="0"/>
    <n v="0"/>
    <n v="0"/>
    <s v=" "/>
    <s v=" "/>
    <m/>
    <m/>
    <m/>
    <n v="17.73"/>
    <e v="#REF!"/>
  </r>
  <r>
    <s v="jueves"/>
    <s v="OBRA"/>
    <x v="1"/>
    <s v="may-YY"/>
    <x v="0"/>
    <x v="15"/>
    <s v="MAESTRO ELECTRICO MONTAJISTA DE MAQUINARIA EXTRANJERA"/>
    <x v="54"/>
    <x v="6"/>
    <n v="2"/>
    <n v="44685832"/>
    <n v="88.47"/>
    <d v="1899-12-30T07:00:00"/>
    <d v="1899-12-30T13:00:00"/>
    <d v="1899-12-30T14:00:00"/>
    <d v="1899-12-30T18:30:00"/>
    <d v="1899-12-30T10:30:00"/>
    <d v="1899-12-30T08:00:00"/>
    <d v="1899-12-30T02:30:00"/>
    <m/>
    <m/>
    <n v="0"/>
    <n v="0"/>
    <n v="0"/>
    <m/>
    <n v="10.499999999999998"/>
    <n v="8"/>
    <n v="2.4999999999999991"/>
    <n v="88.47"/>
    <n v="11.05875"/>
    <n v="88.47"/>
    <n v="0"/>
    <n v="0"/>
    <n v="0"/>
    <n v="0"/>
    <s v=" "/>
    <s v=" "/>
    <m/>
    <m/>
    <m/>
    <n v="88.47"/>
    <e v="#REF!"/>
  </r>
  <r>
    <s v="jueves"/>
    <s v="PLANTA"/>
    <x v="1"/>
    <s v="may-YY"/>
    <x v="0"/>
    <x v="5"/>
    <s v="TECNICO MECANICO MONTAJISTA DE NAVE INDUSTRIAL"/>
    <x v="55"/>
    <x v="6"/>
    <n v="1"/>
    <n v="47749907"/>
    <n v="80"/>
    <d v="1899-12-30T07:00:00"/>
    <d v="1899-12-30T13:00:00"/>
    <d v="1899-12-30T14:00:00"/>
    <d v="1899-12-30T17:00:00"/>
    <d v="1899-12-30T09:00:00"/>
    <d v="1899-12-30T09:00:00"/>
    <d v="1899-12-30T00:00:00"/>
    <m/>
    <m/>
    <n v="0"/>
    <n v="0"/>
    <n v="0"/>
    <m/>
    <n v="8.9999999999999982"/>
    <n v="8.9999999999999982"/>
    <n v="0"/>
    <n v="79.999999999999986"/>
    <n v="9.9999999999999982"/>
    <n v="79.999999999999986"/>
    <n v="0"/>
    <n v="0"/>
    <n v="0"/>
    <n v="0"/>
    <s v=" "/>
    <s v=" "/>
    <m/>
    <m/>
    <m/>
    <n v="79.999999999999986"/>
    <e v="#REF!"/>
  </r>
  <r>
    <s v="jueves"/>
    <s v="OBRA"/>
    <x v="1"/>
    <s v="may-YY"/>
    <x v="0"/>
    <x v="18"/>
    <s v="MAESTRO PINTOR"/>
    <x v="56"/>
    <x v="6"/>
    <n v="2"/>
    <n v="46859101"/>
    <n v="70"/>
    <d v="1899-12-30T07:00:00"/>
    <d v="1899-12-30T13:00:00"/>
    <d v="1899-12-30T14:00:00"/>
    <d v="1899-12-30T18:00:00"/>
    <d v="1899-12-30T10:00:00"/>
    <d v="1899-12-30T08:00:00"/>
    <d v="1899-12-30T02:00:00"/>
    <n v="2"/>
    <n v="0"/>
    <n v="21.875"/>
    <n v="0"/>
    <n v="21.875"/>
    <m/>
    <n v="9.9999999999999982"/>
    <n v="8"/>
    <n v="1.9999999999999982"/>
    <n v="70"/>
    <n v="8.75"/>
    <n v="91.875"/>
    <n v="0"/>
    <n v="0"/>
    <n v="0"/>
    <n v="0"/>
    <s v=" "/>
    <s v=" "/>
    <m/>
    <m/>
    <m/>
    <n v="91.875"/>
    <e v="#REF!"/>
  </r>
  <r>
    <s v="jueves"/>
    <s v="PLANTA"/>
    <x v="1"/>
    <s v="may-YY"/>
    <x v="0"/>
    <x v="7"/>
    <s v="PRACTICANTE "/>
    <x v="51"/>
    <x v="6"/>
    <n v="1"/>
    <n v="72814417"/>
    <n v="35.76"/>
    <d v="1899-12-30T10:00:00"/>
    <d v="1899-12-30T13:00:00"/>
    <d v="1899-12-30T14:00:00"/>
    <d v="1899-12-30T18:00:00"/>
    <d v="1899-12-30T07:00:00"/>
    <d v="1899-12-30T07:00:00"/>
    <d v="1899-12-30T00:00:00"/>
    <n v="0"/>
    <n v="0"/>
    <n v="0"/>
    <n v="0"/>
    <n v="0"/>
    <m/>
    <n v="6.9999999999999982"/>
    <n v="6.9999999999999982"/>
    <n v="0"/>
    <n v="27.813333333333325"/>
    <n v="3.4766666666666657"/>
    <n v="27.813333333333325"/>
    <n v="0"/>
    <n v="0"/>
    <n v="0"/>
    <n v="0"/>
    <s v=" "/>
    <s v=" "/>
    <m/>
    <m/>
    <m/>
    <n v="27.813333333333325"/>
    <e v="#REF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2" cacheId="8" applyNumberFormats="0" applyBorderFormats="0" applyFontFormats="0" applyPatternFormats="0" applyAlignmentFormats="0" applyWidthHeightFormats="1" dataCaption="Valores" updatedVersion="7" minRefreshableVersion="3" itemPrintTitles="1" createdVersion="6" indent="0" compact="0" compactData="0" multipleFieldFilters="0">
  <location ref="A11:L71" firstHeaderRow="0" firstDataRow="1" firstDataCol="2" rowPageCount="3" colPageCount="1"/>
  <pivotFields count="42">
    <pivotField compact="0" outline="0" showAll="0"/>
    <pivotField compact="0" outline="0" showAll="0"/>
    <pivotField axis="axisPage" compact="0" numFmtId="1" outline="0" multipleItemSelectionAllowed="1" showAll="0">
      <items count="51">
        <item h="1" m="1" x="47"/>
        <item m="1" x="7"/>
        <item m="1" x="31"/>
        <item m="1" x="29"/>
        <item m="1" x="8"/>
        <item m="1" x="34"/>
        <item m="1" x="10"/>
        <item m="1" x="36"/>
        <item m="1" x="12"/>
        <item m="1" x="39"/>
        <item m="1" x="15"/>
        <item m="1" x="41"/>
        <item m="1" x="17"/>
        <item m="1" x="25"/>
        <item m="1" x="44"/>
        <item m="1" x="19"/>
        <item m="1" x="46"/>
        <item m="1" x="11"/>
        <item m="1" x="27"/>
        <item m="1" x="48"/>
        <item m="1" x="5"/>
        <item m="1" x="13"/>
        <item m="1" x="20"/>
        <item m="1" x="28"/>
        <item m="1" x="33"/>
        <item m="1" x="38"/>
        <item m="1" x="43"/>
        <item h="1" m="1" x="3"/>
        <item m="1" x="6"/>
        <item m="1" x="9"/>
        <item m="1" x="14"/>
        <item m="1" x="16"/>
        <item m="1" x="18"/>
        <item x="0"/>
        <item x="1"/>
        <item h="1" m="1" x="22"/>
        <item h="1" m="1" x="24"/>
        <item h="1" m="1" x="26"/>
        <item h="1" m="1" x="30"/>
        <item h="1" m="1" x="32"/>
        <item h="1" m="1" x="35"/>
        <item h="1" m="1" x="37"/>
        <item h="1" m="1" x="40"/>
        <item h="1" m="1" x="42"/>
        <item h="1" m="1" x="45"/>
        <item h="1" m="1" x="49"/>
        <item h="1" m="1" x="21"/>
        <item h="1" m="1" x="2"/>
        <item h="1" m="1" x="23"/>
        <item h="1" m="1" x="4"/>
        <item t="default"/>
      </items>
    </pivotField>
    <pivotField compact="0" outline="0" showAll="0"/>
    <pivotField axis="axisPage" compact="0" outline="0" multipleItemSelectionAllowed="1" showAll="0">
      <items count="5">
        <item x="1"/>
        <item x="0"/>
        <item x="2"/>
        <item x="3"/>
        <item t="default"/>
      </items>
    </pivotField>
    <pivotField axis="axisRow" compact="0" outline="0" showAll="0" defaultSubtotal="0">
      <items count="25">
        <item x="13"/>
        <item x="3"/>
        <item x="2"/>
        <item x="1"/>
        <item x="0"/>
        <item x="8"/>
        <item x="5"/>
        <item x="6"/>
        <item x="4"/>
        <item m="1" x="21"/>
        <item x="9"/>
        <item m="1" x="19"/>
        <item m="1" x="22"/>
        <item m="1" x="20"/>
        <item m="1" x="24"/>
        <item x="11"/>
        <item x="10"/>
        <item x="12"/>
        <item m="1" x="23"/>
        <item x="14"/>
        <item x="15"/>
        <item x="16"/>
        <item x="17"/>
        <item x="7"/>
        <item x="18"/>
      </items>
    </pivotField>
    <pivotField compact="0" outline="0" showAll="0"/>
    <pivotField axis="axisRow" compact="0" outline="0" showAll="0">
      <items count="111">
        <item x="0"/>
        <item m="1" x="71"/>
        <item m="1" x="72"/>
        <item m="1" x="100"/>
        <item x="1"/>
        <item m="1" x="62"/>
        <item x="3"/>
        <item x="4"/>
        <item m="1" x="92"/>
        <item x="5"/>
        <item x="6"/>
        <item x="7"/>
        <item x="8"/>
        <item m="1" x="91"/>
        <item m="1" x="103"/>
        <item x="10"/>
        <item m="1" x="88"/>
        <item x="11"/>
        <item x="12"/>
        <item x="16"/>
        <item m="1" x="94"/>
        <item x="21"/>
        <item m="1" x="105"/>
        <item m="1" x="93"/>
        <item m="1" x="108"/>
        <item m="1" x="95"/>
        <item m="1" x="66"/>
        <item m="1" x="63"/>
        <item m="1" x="75"/>
        <item x="17"/>
        <item x="20"/>
        <item m="1" x="83"/>
        <item x="23"/>
        <item x="24"/>
        <item m="1" x="102"/>
        <item x="25"/>
        <item x="26"/>
        <item x="27"/>
        <item m="1" x="99"/>
        <item m="1" x="59"/>
        <item m="1" x="86"/>
        <item m="1" x="97"/>
        <item x="32"/>
        <item x="33"/>
        <item x="35"/>
        <item x="36"/>
        <item x="37"/>
        <item x="39"/>
        <item x="40"/>
        <item x="41"/>
        <item x="42"/>
        <item m="1" x="104"/>
        <item m="1" x="84"/>
        <item x="44"/>
        <item m="1" x="77"/>
        <item m="1" x="101"/>
        <item m="1" x="67"/>
        <item x="47"/>
        <item x="48"/>
        <item x="49"/>
        <item x="50"/>
        <item x="52"/>
        <item m="1" x="90"/>
        <item x="53"/>
        <item x="54"/>
        <item m="1" x="78"/>
        <item x="19"/>
        <item m="1" x="96"/>
        <item m="1" x="89"/>
        <item x="30"/>
        <item x="38"/>
        <item x="55"/>
        <item m="1" x="68"/>
        <item m="1" x="61"/>
        <item m="1" x="107"/>
        <item m="1" x="60"/>
        <item m="1" x="70"/>
        <item x="2"/>
        <item m="1" x="81"/>
        <item m="1" x="73"/>
        <item m="1" x="98"/>
        <item m="1" x="87"/>
        <item m="1" x="109"/>
        <item x="13"/>
        <item m="1" x="64"/>
        <item m="1" x="106"/>
        <item m="1" x="82"/>
        <item m="1" x="76"/>
        <item m="1" x="79"/>
        <item m="1" x="80"/>
        <item m="1" x="69"/>
        <item x="45"/>
        <item m="1" x="85"/>
        <item x="51"/>
        <item m="1" x="65"/>
        <item m="1" x="74"/>
        <item x="9"/>
        <item x="14"/>
        <item x="15"/>
        <item x="18"/>
        <item x="22"/>
        <item x="28"/>
        <item x="29"/>
        <item x="31"/>
        <item x="34"/>
        <item x="43"/>
        <item x="46"/>
        <item x="56"/>
        <item x="57"/>
        <item x="58"/>
        <item t="default"/>
      </items>
    </pivotField>
    <pivotField axis="axisPage" compact="0" numFmtId="14" outline="0" multipleItemSelectionAllowed="1" showAll="0">
      <items count="240">
        <item h="1" m="1" x="185"/>
        <item h="1" m="1" x="126"/>
        <item h="1" m="1" x="8"/>
        <item h="1" m="1" x="180"/>
        <item h="1" m="1" x="120"/>
        <item h="1" m="1" x="61"/>
        <item h="1" m="1" x="234"/>
        <item h="1" m="1" x="174"/>
        <item h="1" m="1" x="114"/>
        <item h="1" m="1" x="55"/>
        <item h="1" m="1" x="228"/>
        <item h="1" m="1" x="168"/>
        <item h="1" m="1" x="109"/>
        <item h="1" m="1" x="51"/>
        <item h="1" m="1" x="224"/>
        <item h="1" m="1" x="164"/>
        <item h="1" m="1" x="123"/>
        <item h="1" m="1" x="64"/>
        <item m="1" x="237"/>
        <item m="1" x="177"/>
        <item m="1" x="117"/>
        <item m="1" x="58"/>
        <item m="1" x="231"/>
        <item m="1" x="171"/>
        <item m="1" x="112"/>
        <item m="1" x="53"/>
        <item m="1" x="226"/>
        <item m="1" x="166"/>
        <item m="1" x="107"/>
        <item m="1" x="49"/>
        <item m="1" x="222"/>
        <item m="1" x="162"/>
        <item m="1" x="104"/>
        <item m="1" x="45"/>
        <item m="1" x="218"/>
        <item m="1" x="157"/>
        <item m="1" x="99"/>
        <item m="1" x="40"/>
        <item m="1" x="213"/>
        <item m="1" x="153"/>
        <item m="1" x="95"/>
        <item m="1" x="36"/>
        <item h="1" m="1" x="209"/>
        <item h="1" m="1" x="149"/>
        <item h="1" m="1" x="90"/>
        <item h="1" m="1" x="159"/>
        <item h="1" m="1" x="101"/>
        <item h="1" m="1" x="42"/>
        <item h="1" m="1" x="215"/>
        <item h="1" m="1" x="155"/>
        <item m="1" x="97"/>
        <item m="1" x="38"/>
        <item m="1" x="211"/>
        <item m="1" x="151"/>
        <item m="1" x="93"/>
        <item m="1" x="34"/>
        <item m="1" x="206"/>
        <item h="1" m="1" x="147"/>
        <item h="1" m="1" x="88"/>
        <item h="1" m="1" x="31"/>
        <item h="1" m="1" x="23"/>
        <item h="1" m="1" x="195"/>
        <item h="1" m="1" x="136"/>
        <item h="1" m="1" x="76"/>
        <item h="1" m="1" x="19"/>
        <item h="1" m="1" x="191"/>
        <item h="1" m="1" x="133"/>
        <item h="1" m="1" x="73"/>
        <item h="1" m="1" x="16"/>
        <item h="1" m="1" x="201"/>
        <item h="1" m="1" x="142"/>
        <item h="1" m="1" x="82"/>
        <item h="1" m="1" x="25"/>
        <item h="1" m="1" x="197"/>
        <item h="1" m="1" x="138"/>
        <item h="1" m="1" x="78"/>
        <item h="1" m="1" x="21"/>
        <item h="1" m="1" x="193"/>
        <item h="1" m="1" x="134"/>
        <item h="1" m="1" x="74"/>
        <item h="1" m="1" x="17"/>
        <item h="1" m="1" x="189"/>
        <item h="1" m="1" x="131"/>
        <item h="1" m="1" x="71"/>
        <item h="1" m="1" x="14"/>
        <item h="1" m="1" x="187"/>
        <item h="1" m="1" x="128"/>
        <item h="1" m="1" x="68"/>
        <item h="1" m="1" x="10"/>
        <item h="1" m="1" x="182"/>
        <item h="1" m="1" x="122"/>
        <item h="1" m="1" x="63"/>
        <item m="1" x="236"/>
        <item m="1" x="176"/>
        <item m="1" x="116"/>
        <item m="1" x="57"/>
        <item m="1" x="230"/>
        <item m="1" x="170"/>
        <item m="1" x="111"/>
        <item h="1" m="1" x="12"/>
        <item h="1" m="1" x="184"/>
        <item h="1" m="1" x="125"/>
        <item h="1" m="1" x="66"/>
        <item h="1" m="1" x="7"/>
        <item h="1" m="1" x="179"/>
        <item h="1" m="1" x="119"/>
        <item m="1" x="60"/>
        <item m="1" x="233"/>
        <item m="1" x="173"/>
        <item m="1" x="113"/>
        <item m="1" x="54"/>
        <item m="1" x="227"/>
        <item m="1" x="167"/>
        <item h="1" m="1" x="108"/>
        <item h="1" m="1" x="50"/>
        <item h="1" m="1" x="223"/>
        <item h="1" m="1" x="163"/>
        <item h="1" m="1" x="105"/>
        <item h="1" m="1" x="46"/>
        <item h="1" m="1" x="219"/>
        <item h="1" m="1" x="158"/>
        <item h="1" m="1" x="100"/>
        <item h="1" m="1" x="41"/>
        <item h="1" m="1" x="214"/>
        <item h="1" m="1" x="154"/>
        <item h="1" m="1" x="96"/>
        <item h="1" m="1" x="37"/>
        <item h="1" m="1" x="210"/>
        <item h="1" m="1" x="150"/>
        <item h="1" m="1" x="92"/>
        <item h="1" m="1" x="48"/>
        <item h="1" m="1" x="221"/>
        <item h="1" m="1" x="161"/>
        <item h="1" m="1" x="103"/>
        <item h="1" m="1" x="44"/>
        <item h="1" m="1" x="217"/>
        <item h="1" m="1" x="156"/>
        <item h="1" m="1" x="98"/>
        <item h="1" m="1" x="39"/>
        <item h="1" m="1" x="212"/>
        <item h="1" m="1" x="152"/>
        <item h="1" m="1" x="94"/>
        <item h="1" m="1" x="35"/>
        <item h="1" m="1" x="208"/>
        <item h="1" m="1" x="148"/>
        <item h="1" m="1" x="89"/>
        <item h="1" m="1" x="32"/>
        <item h="1" m="1" x="204"/>
        <item h="1" m="1" x="145"/>
        <item h="1" m="1" x="85"/>
        <item h="1" m="1" x="28"/>
        <item h="1" m="1" x="200"/>
        <item h="1" m="1" x="141"/>
        <item h="1" m="1" x="81"/>
        <item h="1" m="1" x="24"/>
        <item h="1" m="1" x="196"/>
        <item h="1" m="1" x="137"/>
        <item h="1" m="1" x="77"/>
        <item h="1" m="1" x="20"/>
        <item h="1" m="1" x="192"/>
        <item h="1" m="1" x="87"/>
        <item h="1" m="1" x="30"/>
        <item h="1" m="1" x="203"/>
        <item h="1" m="1" x="144"/>
        <item h="1" m="1" x="84"/>
        <item h="1" m="1" x="27"/>
        <item h="1" m="1" x="199"/>
        <item h="1" m="1" x="140"/>
        <item h="1" m="1" x="80"/>
        <item h="1" m="1" x="22"/>
        <item h="1" m="1" x="194"/>
        <item h="1" m="1" x="135"/>
        <item h="1" m="1" x="75"/>
        <item h="1" m="1" x="18"/>
        <item h="1" m="1" x="190"/>
        <item h="1" m="1" x="132"/>
        <item h="1" m="1" x="72"/>
        <item h="1" m="1" x="15"/>
        <item h="1" m="1" x="188"/>
        <item h="1" m="1" x="129"/>
        <item h="1" m="1" x="69"/>
        <item h="1" m="1" x="11"/>
        <item h="1" m="1" x="183"/>
        <item h="1" m="1" x="124"/>
        <item h="1" m="1" x="65"/>
        <item h="1" m="1" x="238"/>
        <item h="1" m="1" x="178"/>
        <item h="1" m="1" x="118"/>
        <item h="1" m="1" x="59"/>
        <item h="1" m="1" x="232"/>
        <item h="1" m="1" x="172"/>
        <item h="1" m="1" x="130"/>
        <item h="1" m="1" x="70"/>
        <item h="1" m="1" x="13"/>
        <item h="1" m="1" x="186"/>
        <item h="1" m="1" x="127"/>
        <item h="1" m="1" x="67"/>
        <item h="1" m="1" x="9"/>
        <item h="1" m="1" x="181"/>
        <item h="1" m="1" x="121"/>
        <item h="1" m="1" x="62"/>
        <item h="1" m="1" x="235"/>
        <item h="1" m="1" x="175"/>
        <item h="1" m="1" x="115"/>
        <item h="1" m="1" x="56"/>
        <item h="1" m="1" x="229"/>
        <item h="1" m="1" x="169"/>
        <item h="1" m="1" x="110"/>
        <item h="1" m="1" x="52"/>
        <item h="1" m="1" x="225"/>
        <item h="1" m="1" x="165"/>
        <item h="1" m="1" x="106"/>
        <item h="1" m="1" x="47"/>
        <item h="1" m="1" x="220"/>
        <item h="1" m="1" x="160"/>
        <item h="1" m="1" x="102"/>
        <item h="1" m="1" x="43"/>
        <item h="1" m="1" x="216"/>
        <item h="1" m="1" x="91"/>
        <item h="1" m="1" x="33"/>
        <item h="1" m="1" x="205"/>
        <item h="1" m="1" x="146"/>
        <item h="1" m="1" x="86"/>
        <item h="1" m="1" x="29"/>
        <item h="1" m="1" x="202"/>
        <item h="1" m="1" x="143"/>
        <item h="1" m="1" x="83"/>
        <item h="1" m="1" x="26"/>
        <item h="1" m="1" x="198"/>
        <item h="1" m="1" x="139"/>
        <item h="1" m="1" x="79"/>
        <item h="1" m="1" x="207"/>
        <item x="0"/>
        <item x="1"/>
        <item x="2"/>
        <item x="3"/>
        <item x="4"/>
        <item x="5"/>
        <item x="6"/>
        <item t="default"/>
      </items>
    </pivotField>
    <pivotField compact="0" numFmtId="1" outline="0" showAll="0"/>
    <pivotField compact="0" outline="0" showAll="0" defaultSubtotal="0"/>
    <pivotField compact="0" numFmtId="2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5" outline="0" showAll="0"/>
    <pivotField compact="0" numFmtId="46" outline="0" showAll="0"/>
    <pivotField compact="0" numFmtId="165" outline="0" showAll="0"/>
    <pivotField compact="0" outline="0" showAll="0" defaultSubtotal="0"/>
    <pivotField compact="0" outline="0" showAll="0" defaultSubtotal="0"/>
    <pivotField compact="0" numFmtId="2" outline="0" showAll="0"/>
    <pivotField compact="0" numFmtId="2" outline="0" showAll="0"/>
    <pivotField compact="0" numFmtId="2" outline="0" showAll="0"/>
    <pivotField compact="0" outline="0" showAll="0" defaultSubtotal="0"/>
    <pivotField dataField="1" compact="0" numFmtId="1" outline="0" showAll="0" defaultSubtotal="0"/>
    <pivotField dataField="1" compact="0" numFmtId="2" outline="0" showAll="0" defaultSubtotal="0"/>
    <pivotField dataField="1" compact="0" numFmtId="1" outline="0" showAll="0" defaultSubtotal="0"/>
    <pivotField dataField="1" compact="0" numFmtId="2" outline="0" showAll="0" defaultSubtotal="0"/>
    <pivotField compact="0" numFmtId="2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2" outline="0" showAll="0" defaultSubtotal="0"/>
    <pivotField compact="0" numFmtId="2" outline="0" showAll="0" defaultSubtotal="0"/>
    <pivotField dataField="1" compact="0" numFmtId="2" outline="0" showAll="0" defaultSubtotal="0"/>
    <pivotField dataField="1" compact="0" numFmtId="2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numFmtId="2" outline="0" showAll="0" defaultSubtotal="0"/>
    <pivotField dataField="1" compact="0" numFmtId="2" outline="0" showAll="0" defaultSubtotal="0"/>
  </pivotFields>
  <rowFields count="2">
    <field x="5"/>
    <field x="7"/>
  </rowFields>
  <rowItems count="60">
    <i>
      <x/>
      <x v="33"/>
    </i>
    <i r="1">
      <x v="37"/>
    </i>
    <i>
      <x v="1"/>
      <x v="9"/>
    </i>
    <i r="1">
      <x v="53"/>
    </i>
    <i r="1">
      <x v="59"/>
    </i>
    <i r="1">
      <x v="60"/>
    </i>
    <i r="1">
      <x v="61"/>
    </i>
    <i>
      <x v="2"/>
      <x v="6"/>
    </i>
    <i r="1">
      <x v="7"/>
    </i>
    <i r="1">
      <x v="15"/>
    </i>
    <i r="1">
      <x v="19"/>
    </i>
    <i>
      <x v="3"/>
      <x v="4"/>
    </i>
    <i r="1">
      <x v="77"/>
    </i>
    <i>
      <x v="4"/>
      <x/>
    </i>
    <i r="1">
      <x v="17"/>
    </i>
    <i r="1">
      <x v="35"/>
    </i>
    <i r="1">
      <x v="45"/>
    </i>
    <i r="1">
      <x v="57"/>
    </i>
    <i>
      <x v="5"/>
      <x v="18"/>
    </i>
    <i r="1">
      <x v="21"/>
    </i>
    <i r="1">
      <x v="36"/>
    </i>
    <i r="1">
      <x v="63"/>
    </i>
    <i>
      <x v="6"/>
      <x v="11"/>
    </i>
    <i r="1">
      <x v="42"/>
    </i>
    <i r="1">
      <x v="71"/>
    </i>
    <i>
      <x v="7"/>
      <x v="12"/>
    </i>
    <i r="1">
      <x v="58"/>
    </i>
    <i>
      <x v="8"/>
      <x v="10"/>
    </i>
    <i>
      <x v="10"/>
      <x v="29"/>
    </i>
    <i r="1">
      <x v="46"/>
    </i>
    <i>
      <x v="15"/>
      <x v="30"/>
    </i>
    <i>
      <x v="16"/>
      <x v="43"/>
    </i>
    <i r="1">
      <x v="66"/>
    </i>
    <i r="1">
      <x v="69"/>
    </i>
    <i>
      <x v="17"/>
      <x v="32"/>
    </i>
    <i r="1">
      <x v="48"/>
    </i>
    <i r="1">
      <x v="70"/>
    </i>
    <i>
      <x v="19"/>
      <x v="44"/>
    </i>
    <i>
      <x v="20"/>
      <x v="47"/>
    </i>
    <i r="1">
      <x v="64"/>
    </i>
    <i>
      <x v="21"/>
      <x v="49"/>
    </i>
    <i>
      <x v="22"/>
      <x v="50"/>
    </i>
    <i>
      <x v="23"/>
      <x v="83"/>
    </i>
    <i r="1">
      <x v="91"/>
    </i>
    <i r="1">
      <x v="93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8"/>
    </i>
    <i r="1">
      <x v="109"/>
    </i>
    <i>
      <x v="24"/>
      <x v="10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3">
    <pageField fld="2" hier="-1"/>
    <pageField fld="4" hier="-1"/>
    <pageField fld="8" hier="-1"/>
  </pageFields>
  <dataFields count="10">
    <dataField name="H.NORMAL" fld="26" baseField="0" baseItem="0" numFmtId="3"/>
    <dataField name="H.EXTRA" fld="27" baseField="0" baseItem="0" numFmtId="3"/>
    <dataField name="H.TOTAL" fld="25" baseField="0" baseItem="0" numFmtId="3"/>
    <dataField name="Suma de COS.BASE 2" fld="28" baseField="0" baseItem="0" numFmtId="2"/>
    <dataField name="Suma de COS F2" fld="35" baseField="0" baseItem="0"/>
    <dataField name="Suma de COS D2" fld="36" baseField="0" baseItem="0"/>
    <dataField name="ALIMENT" fld="37" baseField="7" baseItem="40"/>
    <dataField name="PRESTAMOS" fld="38" baseField="7" baseItem="40"/>
    <dataField name="PASAJE" fld="39" baseField="7" baseItem="40"/>
    <dataField name="Suma de MONTO 5TA" fld="41" baseField="0" baseItem="0" numFmtId="2"/>
  </dataFields>
  <formats count="145">
    <format dxfId="215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58">
      <pivotArea grandRow="1" outline="0" collapsedLevelsAreSubtotals="1" fieldPosition="0"/>
    </format>
    <format dxfId="2157">
      <pivotArea dataOnly="0" labelOnly="1" grandRow="1" outline="0" fieldPosition="0"/>
    </format>
    <format dxfId="2156">
      <pivotArea grandRow="1" outline="0" collapsedLevelsAreSubtotals="1" fieldPosition="0"/>
    </format>
    <format dxfId="2155">
      <pivotArea dataOnly="0" labelOnly="1" grandRow="1" outline="0" fieldPosition="0"/>
    </format>
    <format dxfId="2154">
      <pivotArea outline="0" collapsedLevelsAreSubtotals="1" fieldPosition="0"/>
    </format>
    <format dxfId="215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52">
      <pivotArea dataOnly="0" labelOnly="1" outline="0" fieldPosition="0">
        <references count="2">
          <reference field="5" count="1" selected="0">
            <x v="4"/>
          </reference>
          <reference field="7" count="1">
            <x v="0"/>
          </reference>
        </references>
      </pivotArea>
    </format>
    <format dxfId="2151">
      <pivotArea dataOnly="0" labelOnly="1" outline="0" fieldPosition="0">
        <references count="2">
          <reference field="5" count="1" selected="0">
            <x v="4"/>
          </reference>
          <reference field="7" count="1">
            <x v="17"/>
          </reference>
        </references>
      </pivotArea>
    </format>
    <format dxfId="2150">
      <pivotArea outline="0" collapsedLevelsAreSubtotals="1" fieldPosition="0">
        <references count="2">
          <reference field="5" count="1" selected="0">
            <x v="2"/>
          </reference>
          <reference field="7" count="1" selected="0">
            <x v="19"/>
          </reference>
        </references>
      </pivotArea>
    </format>
    <format dxfId="2149">
      <pivotArea dataOnly="0" labelOnly="1" outline="0" fieldPosition="0">
        <references count="2">
          <reference field="5" count="1" selected="0">
            <x v="2"/>
          </reference>
          <reference field="7" count="1">
            <x v="19"/>
          </reference>
        </references>
      </pivotArea>
    </format>
    <format dxfId="2148">
      <pivotArea outline="0" collapsedLevelsAreSubtotals="1" fieldPosition="0">
        <references count="2">
          <reference field="5" count="1" selected="0">
            <x v="3"/>
          </reference>
          <reference field="7" count="1" selected="0">
            <x v="16"/>
          </reference>
        </references>
      </pivotArea>
    </format>
    <format dxfId="2147">
      <pivotArea dataOnly="0" labelOnly="1" outline="0" fieldPosition="0">
        <references count="2">
          <reference field="5" count="1" selected="0">
            <x v="3"/>
          </reference>
          <reference field="7" count="1">
            <x v="16"/>
          </reference>
        </references>
      </pivotArea>
    </format>
    <format dxfId="2146">
      <pivotArea outline="0" collapsedLevelsAreSubtotals="1" fieldPosition="0">
        <references count="3">
          <reference field="4294967294" count="1" selected="0">
            <x v="8"/>
          </reference>
          <reference field="5" count="1" selected="0">
            <x v="0"/>
          </reference>
          <reference field="7" count="10" selected="0">
            <x v="8"/>
            <x v="14"/>
            <x v="33"/>
            <x v="37"/>
            <x v="40"/>
            <x v="41"/>
            <x v="51"/>
            <x v="65"/>
            <x v="68"/>
            <x v="73"/>
          </reference>
        </references>
      </pivotArea>
    </format>
    <format dxfId="2145">
      <pivotArea outline="0" collapsedLevelsAreSubtotals="1" fieldPosition="0">
        <references count="3">
          <reference field="4294967294" count="1" selected="0">
            <x v="8"/>
          </reference>
          <reference field="5" count="17" selected="0">
            <x v="1"/>
            <x v="2"/>
            <x v="3"/>
            <x v="4"/>
            <x v="5"/>
            <x v="6"/>
            <x v="7"/>
            <x v="8"/>
            <x v="10"/>
            <x v="15"/>
            <x v="16"/>
            <x v="17"/>
            <x v="18"/>
            <x v="19"/>
            <x v="20"/>
            <x v="21"/>
            <x v="22"/>
          </reference>
          <reference field="7" count="53" selected="0">
            <x v="0"/>
            <x v="1"/>
            <x v="4"/>
            <x v="5"/>
            <x v="6"/>
            <x v="7"/>
            <x v="9"/>
            <x v="10"/>
            <x v="11"/>
            <x v="12"/>
            <x v="15"/>
            <x v="16"/>
            <x v="17"/>
            <x v="18"/>
            <x v="19"/>
            <x v="20"/>
            <x v="21"/>
            <x v="28"/>
            <x v="29"/>
            <x v="30"/>
            <x v="31"/>
            <x v="32"/>
            <x v="34"/>
            <x v="35"/>
            <x v="36"/>
            <x v="38"/>
            <x v="39"/>
            <x v="42"/>
            <x v="43"/>
            <x v="44"/>
            <x v="45"/>
            <x v="46"/>
            <x v="48"/>
            <x v="49"/>
            <x v="50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6"/>
            <x v="67"/>
            <x v="69"/>
            <x v="70"/>
            <x v="71"/>
          </reference>
        </references>
      </pivotArea>
    </format>
    <format dxfId="2144">
      <pivotArea outline="0" collapsedLevelsAreSubtotals="1" fieldPosition="0">
        <references count="2">
          <reference field="5" count="1" selected="0">
            <x v="0"/>
          </reference>
          <reference field="7" count="1" selected="0">
            <x v="73"/>
          </reference>
        </references>
      </pivotArea>
    </format>
    <format dxfId="2143">
      <pivotArea outline="0" collapsedLevelsAreSubtotals="1" fieldPosition="0">
        <references count="2">
          <reference field="5" count="4" selected="0">
            <x v="1"/>
            <x v="2"/>
            <x v="3"/>
            <x v="4"/>
          </reference>
          <reference field="7" count="22" selected="0">
            <x v="0"/>
            <x v="1"/>
            <x v="4"/>
            <x v="5"/>
            <x v="6"/>
            <x v="7"/>
            <x v="9"/>
            <x v="15"/>
            <x v="16"/>
            <x v="17"/>
            <x v="19"/>
            <x v="20"/>
            <x v="28"/>
            <x v="35"/>
            <x v="38"/>
            <x v="45"/>
            <x v="53"/>
            <x v="57"/>
            <x v="59"/>
            <x v="60"/>
            <x v="61"/>
            <x v="67"/>
          </reference>
        </references>
      </pivotArea>
    </format>
    <format dxfId="2142">
      <pivotArea outline="0" collapsedLevelsAreSubtotals="1" fieldPosition="0">
        <references count="2">
          <reference field="5" count="1" selected="0">
            <x v="5"/>
          </reference>
          <reference field="7" count="2" selected="0">
            <x v="18"/>
            <x v="21"/>
          </reference>
        </references>
      </pivotArea>
    </format>
    <format dxfId="2141">
      <pivotArea dataOnly="0" labelOnly="1" outline="0" fieldPosition="0">
        <references count="2">
          <reference field="5" count="1" selected="0">
            <x v="0"/>
          </reference>
          <reference field="7" count="1">
            <x v="73"/>
          </reference>
        </references>
      </pivotArea>
    </format>
    <format dxfId="2140">
      <pivotArea dataOnly="0" labelOnly="1" outline="0" fieldPosition="0">
        <references count="2">
          <reference field="5" count="1" selected="0">
            <x v="1"/>
          </reference>
          <reference field="7" count="5">
            <x v="9"/>
            <x v="53"/>
            <x v="59"/>
            <x v="60"/>
            <x v="61"/>
          </reference>
        </references>
      </pivotArea>
    </format>
    <format dxfId="2139">
      <pivotArea dataOnly="0" labelOnly="1" outline="0" fieldPosition="0">
        <references count="2">
          <reference field="5" count="1" selected="0">
            <x v="2"/>
          </reference>
          <reference field="7" count="6">
            <x v="6"/>
            <x v="7"/>
            <x v="15"/>
            <x v="19"/>
            <x v="20"/>
            <x v="67"/>
          </reference>
        </references>
      </pivotArea>
    </format>
    <format dxfId="2138">
      <pivotArea dataOnly="0" labelOnly="1" outline="0" fieldPosition="0">
        <references count="2">
          <reference field="5" count="1" selected="0">
            <x v="3"/>
          </reference>
          <reference field="7" count="2">
            <x v="4"/>
            <x v="16"/>
          </reference>
        </references>
      </pivotArea>
    </format>
    <format dxfId="2137">
      <pivotArea dataOnly="0" labelOnly="1" outline="0" fieldPosition="0">
        <references count="2">
          <reference field="5" count="1" selected="0">
            <x v="4"/>
          </reference>
          <reference field="7" count="9">
            <x v="0"/>
            <x v="1"/>
            <x v="5"/>
            <x v="17"/>
            <x v="28"/>
            <x v="35"/>
            <x v="38"/>
            <x v="45"/>
            <x v="57"/>
          </reference>
        </references>
      </pivotArea>
    </format>
    <format dxfId="2136">
      <pivotArea dataOnly="0" labelOnly="1" outline="0" fieldPosition="0">
        <references count="2">
          <reference field="5" count="1" selected="0">
            <x v="5"/>
          </reference>
          <reference field="7" count="2">
            <x v="18"/>
            <x v="21"/>
          </reference>
        </references>
      </pivotArea>
    </format>
    <format dxfId="2135">
      <pivotArea outline="0" collapsedLevelsAreSubtotals="1" fieldPosition="0">
        <references count="2">
          <reference field="5" count="1" selected="0">
            <x v="17"/>
          </reference>
          <reference field="7" count="1" selected="0">
            <x v="32"/>
          </reference>
        </references>
      </pivotArea>
    </format>
    <format dxfId="2134">
      <pivotArea dataOnly="0" labelOnly="1" outline="0" fieldPosition="0">
        <references count="2">
          <reference field="5" count="1" selected="0">
            <x v="17"/>
          </reference>
          <reference field="7" count="1">
            <x v="32"/>
          </reference>
        </references>
      </pivotArea>
    </format>
    <format dxfId="2133">
      <pivotArea outline="0" collapsedLevelsAreSubtotals="1" fieldPosition="0">
        <references count="2">
          <reference field="5" count="1" selected="0">
            <x v="16"/>
          </reference>
          <reference field="7" count="1" selected="0">
            <x v="69"/>
          </reference>
        </references>
      </pivotArea>
    </format>
    <format dxfId="2132">
      <pivotArea outline="0" collapsedLevelsAreSubtotals="1" fieldPosition="0">
        <references count="2">
          <reference field="5" count="1" selected="0">
            <x v="17"/>
          </reference>
          <reference field="7" count="1" selected="0">
            <x v="32"/>
          </reference>
        </references>
      </pivotArea>
    </format>
    <format dxfId="2131">
      <pivotArea dataOnly="0" labelOnly="1" outline="0" fieldPosition="0">
        <references count="2">
          <reference field="5" count="1" selected="0">
            <x v="16"/>
          </reference>
          <reference field="7" count="1">
            <x v="69"/>
          </reference>
        </references>
      </pivotArea>
    </format>
    <format dxfId="2130">
      <pivotArea dataOnly="0" labelOnly="1" outline="0" fieldPosition="0">
        <references count="2">
          <reference field="5" count="1" selected="0">
            <x v="17"/>
          </reference>
          <reference field="7" count="1">
            <x v="32"/>
          </reference>
        </references>
      </pivotArea>
    </format>
    <format dxfId="2129">
      <pivotArea dataOnly="0" labelOnly="1" outline="0" fieldPosition="0">
        <references count="2">
          <reference field="5" count="1" selected="0">
            <x v="0"/>
          </reference>
          <reference field="7" count="1">
            <x v="41"/>
          </reference>
        </references>
      </pivotArea>
    </format>
    <format dxfId="2128">
      <pivotArea dataOnly="0" labelOnly="1" outline="0" fieldPosition="0">
        <references count="2">
          <reference field="5" count="1" selected="0">
            <x v="8"/>
          </reference>
          <reference field="7" count="0"/>
        </references>
      </pivotArea>
    </format>
    <format dxfId="2127">
      <pivotArea dataOnly="0" labelOnly="1" outline="0" fieldPosition="0">
        <references count="2">
          <reference field="5" count="1" selected="0">
            <x v="3"/>
          </reference>
          <reference field="7" count="1">
            <x v="16"/>
          </reference>
        </references>
      </pivotArea>
    </format>
    <format dxfId="2126">
      <pivotArea outline="0" collapsedLevelsAreSubtotals="1" fieldPosition="0">
        <references count="2">
          <reference field="5" count="1" selected="0">
            <x v="17"/>
          </reference>
          <reference field="7" count="1" selected="0">
            <x v="52"/>
          </reference>
        </references>
      </pivotArea>
    </format>
    <format dxfId="2125">
      <pivotArea dataOnly="0" labelOnly="1" outline="0" fieldPosition="0">
        <references count="2">
          <reference field="5" count="1" selected="0">
            <x v="17"/>
          </reference>
          <reference field="7" count="1">
            <x v="52"/>
          </reference>
        </references>
      </pivotArea>
    </format>
    <format dxfId="2124">
      <pivotArea outline="0" collapsedLevelsAreSubtotals="1" fieldPosition="0">
        <references count="2">
          <reference field="5" count="1" selected="0">
            <x v="4"/>
          </reference>
          <reference field="7" count="1" selected="0">
            <x v="1"/>
          </reference>
        </references>
      </pivotArea>
    </format>
    <format dxfId="2123">
      <pivotArea dataOnly="0" labelOnly="1" outline="0" fieldPosition="0">
        <references count="2">
          <reference field="5" count="1" selected="0">
            <x v="4"/>
          </reference>
          <reference field="7" count="1">
            <x v="1"/>
          </reference>
        </references>
      </pivotArea>
    </format>
    <format dxfId="2122">
      <pivotArea dataOnly="0" labelOnly="1" outline="0" fieldPosition="0">
        <references count="2">
          <reference field="5" count="1" selected="0">
            <x v="1"/>
          </reference>
          <reference field="7" count="1">
            <x v="59"/>
          </reference>
        </references>
      </pivotArea>
    </format>
    <format dxfId="2121">
      <pivotArea dataOnly="0" labelOnly="1" outline="0" fieldPosition="0">
        <references count="2">
          <reference field="5" count="1" selected="0">
            <x v="6"/>
          </reference>
          <reference field="7" count="1">
            <x v="55"/>
          </reference>
        </references>
      </pivotArea>
    </format>
    <format dxfId="2120">
      <pivotArea dataOnly="0" labelOnly="1" outline="0" fieldPosition="0">
        <references count="2">
          <reference field="5" count="1" selected="0">
            <x v="0"/>
          </reference>
          <reference field="7" count="1">
            <x v="51"/>
          </reference>
        </references>
      </pivotArea>
    </format>
    <format dxfId="2119">
      <pivotArea dataOnly="0" labelOnly="1" outline="0" fieldPosition="0">
        <references count="2">
          <reference field="5" count="1" selected="0">
            <x v="1"/>
          </reference>
          <reference field="7" count="1">
            <x v="61"/>
          </reference>
        </references>
      </pivotArea>
    </format>
    <format dxfId="2118">
      <pivotArea dataOnly="0" labelOnly="1" outline="0" fieldPosition="0">
        <references count="2">
          <reference field="5" count="1" selected="0">
            <x v="2"/>
          </reference>
          <reference field="7" count="1">
            <x v="67"/>
          </reference>
        </references>
      </pivotArea>
    </format>
    <format dxfId="2117">
      <pivotArea outline="0" collapsedLevelsAreSubtotals="1" fieldPosition="0">
        <references count="2">
          <reference field="5" count="1" selected="0">
            <x v="2"/>
          </reference>
          <reference field="7" count="1" selected="0">
            <x v="67"/>
          </reference>
        </references>
      </pivotArea>
    </format>
    <format dxfId="2116">
      <pivotArea dataOnly="0" labelOnly="1" outline="0" fieldPosition="0">
        <references count="2">
          <reference field="5" count="1" selected="0">
            <x v="2"/>
          </reference>
          <reference field="7" count="1">
            <x v="67"/>
          </reference>
        </references>
      </pivotArea>
    </format>
    <format dxfId="2115">
      <pivotArea outline="0" collapsedLevelsAreSubtotals="1" fieldPosition="0">
        <references count="3">
          <reference field="4294967294" count="5" selected="0">
            <x v="1"/>
            <x v="2"/>
            <x v="6"/>
            <x v="7"/>
            <x v="8"/>
          </reference>
          <reference field="5" count="10" selected="0">
            <x v="0"/>
            <x v="1"/>
            <x v="2"/>
            <x v="3"/>
            <x v="4"/>
            <x v="5"/>
            <x v="6"/>
            <x v="7"/>
            <x v="8"/>
            <x v="10"/>
          </reference>
          <reference field="7" count="49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4"/>
            <x v="15"/>
            <x v="16"/>
            <x v="17"/>
            <x v="18"/>
            <x v="19"/>
            <x v="20"/>
            <x v="21"/>
            <x v="28"/>
            <x v="29"/>
            <x v="33"/>
            <x v="35"/>
            <x v="36"/>
            <x v="37"/>
            <x v="38"/>
            <x v="40"/>
            <x v="41"/>
            <x v="42"/>
            <x v="45"/>
            <x v="46"/>
            <x v="51"/>
            <x v="53"/>
            <x v="55"/>
            <x v="56"/>
            <x v="57"/>
            <x v="58"/>
            <x v="59"/>
            <x v="60"/>
            <x v="61"/>
            <x v="62"/>
            <x v="63"/>
            <x v="65"/>
            <x v="67"/>
            <x v="68"/>
            <x v="71"/>
            <x v="73"/>
          </reference>
        </references>
      </pivotArea>
    </format>
    <format dxfId="2114">
      <pivotArea dataOnly="0" labelOnly="1" outline="0" fieldPosition="0">
        <references count="1">
          <reference field="4294967294" count="5">
            <x v="1"/>
            <x v="2"/>
            <x v="6"/>
            <x v="7"/>
            <x v="8"/>
          </reference>
        </references>
      </pivotArea>
    </format>
    <format dxfId="2113">
      <pivotArea outline="0" collapsedLevelsAreSubtotals="1" fieldPosition="0">
        <references count="2">
          <reference field="5" count="1" selected="0">
            <x v="0"/>
          </reference>
          <reference field="7" count="8" selected="0">
            <x v="33"/>
            <x v="37"/>
            <x v="40"/>
            <x v="41"/>
            <x v="51"/>
            <x v="65"/>
            <x v="68"/>
            <x v="73"/>
          </reference>
        </references>
      </pivotArea>
    </format>
    <format dxfId="2112">
      <pivotArea outline="0" collapsedLevelsAreSubtotals="1" fieldPosition="0">
        <references count="2">
          <reference field="5" count="14" selected="0">
            <x v="1"/>
            <x v="2"/>
            <x v="3"/>
            <x v="4"/>
            <x v="5"/>
            <x v="6"/>
            <x v="7"/>
            <x v="8"/>
            <x v="10"/>
            <x v="15"/>
            <x v="16"/>
            <x v="17"/>
            <x v="18"/>
            <x v="19"/>
          </reference>
          <reference field="7" count="49" selected="0">
            <x v="0"/>
            <x v="1"/>
            <x v="4"/>
            <x v="5"/>
            <x v="6"/>
            <x v="7"/>
            <x v="9"/>
            <x v="10"/>
            <x v="11"/>
            <x v="12"/>
            <x v="15"/>
            <x v="16"/>
            <x v="17"/>
            <x v="18"/>
            <x v="19"/>
            <x v="20"/>
            <x v="21"/>
            <x v="28"/>
            <x v="29"/>
            <x v="30"/>
            <x v="31"/>
            <x v="32"/>
            <x v="34"/>
            <x v="35"/>
            <x v="36"/>
            <x v="38"/>
            <x v="39"/>
            <x v="42"/>
            <x v="43"/>
            <x v="44"/>
            <x v="45"/>
            <x v="46"/>
            <x v="48"/>
            <x v="52"/>
            <x v="53"/>
            <x v="55"/>
            <x v="56"/>
            <x v="57"/>
            <x v="58"/>
            <x v="59"/>
            <x v="60"/>
            <x v="61"/>
            <x v="62"/>
            <x v="63"/>
            <x v="66"/>
            <x v="67"/>
            <x v="69"/>
            <x v="70"/>
            <x v="71"/>
          </reference>
        </references>
      </pivotArea>
    </format>
    <format dxfId="2111">
      <pivotArea dataOnly="0" labelOnly="1" outline="0" fieldPosition="0">
        <references count="2">
          <reference field="5" count="1" selected="0">
            <x v="0"/>
          </reference>
          <reference field="7" count="8">
            <x v="33"/>
            <x v="37"/>
            <x v="40"/>
            <x v="41"/>
            <x v="51"/>
            <x v="65"/>
            <x v="68"/>
            <x v="73"/>
          </reference>
        </references>
      </pivotArea>
    </format>
    <format dxfId="2110">
      <pivotArea dataOnly="0" labelOnly="1" outline="0" fieldPosition="0">
        <references count="2">
          <reference field="5" count="1" selected="0">
            <x v="1"/>
          </reference>
          <reference field="7" count="5">
            <x v="9"/>
            <x v="53"/>
            <x v="59"/>
            <x v="60"/>
            <x v="61"/>
          </reference>
        </references>
      </pivotArea>
    </format>
    <format dxfId="2109">
      <pivotArea dataOnly="0" labelOnly="1" outline="0" fieldPosition="0">
        <references count="2">
          <reference field="5" count="1" selected="0">
            <x v="2"/>
          </reference>
          <reference field="7" count="6">
            <x v="6"/>
            <x v="7"/>
            <x v="15"/>
            <x v="19"/>
            <x v="20"/>
            <x v="67"/>
          </reference>
        </references>
      </pivotArea>
    </format>
    <format dxfId="2108">
      <pivotArea dataOnly="0" labelOnly="1" outline="0" fieldPosition="0">
        <references count="2">
          <reference field="5" count="1" selected="0">
            <x v="3"/>
          </reference>
          <reference field="7" count="2">
            <x v="4"/>
            <x v="16"/>
          </reference>
        </references>
      </pivotArea>
    </format>
    <format dxfId="2107">
      <pivotArea dataOnly="0" labelOnly="1" outline="0" fieldPosition="0">
        <references count="2">
          <reference field="5" count="1" selected="0">
            <x v="4"/>
          </reference>
          <reference field="7" count="9">
            <x v="0"/>
            <x v="1"/>
            <x v="5"/>
            <x v="17"/>
            <x v="28"/>
            <x v="35"/>
            <x v="38"/>
            <x v="45"/>
            <x v="57"/>
          </reference>
        </references>
      </pivotArea>
    </format>
    <format dxfId="2106">
      <pivotArea dataOnly="0" labelOnly="1" outline="0" fieldPosition="0">
        <references count="2">
          <reference field="5" count="1" selected="0">
            <x v="5"/>
          </reference>
          <reference field="7" count="4">
            <x v="18"/>
            <x v="21"/>
            <x v="36"/>
            <x v="63"/>
          </reference>
        </references>
      </pivotArea>
    </format>
    <format dxfId="2105">
      <pivotArea dataOnly="0" labelOnly="1" outline="0" fieldPosition="0">
        <references count="2">
          <reference field="5" count="1" selected="0">
            <x v="6"/>
          </reference>
          <reference field="7" count="5">
            <x v="11"/>
            <x v="42"/>
            <x v="55"/>
            <x v="56"/>
            <x v="71"/>
          </reference>
        </references>
      </pivotArea>
    </format>
    <format dxfId="2104">
      <pivotArea dataOnly="0" labelOnly="1" outline="0" fieldPosition="0">
        <references count="2">
          <reference field="5" count="1" selected="0">
            <x v="7"/>
          </reference>
          <reference field="7" count="2">
            <x v="12"/>
            <x v="58"/>
          </reference>
        </references>
      </pivotArea>
    </format>
    <format dxfId="2103">
      <pivotArea dataOnly="0" labelOnly="1" outline="0" fieldPosition="0">
        <references count="2">
          <reference field="5" count="1" selected="0">
            <x v="8"/>
          </reference>
          <reference field="7" count="1">
            <x v="10"/>
          </reference>
        </references>
      </pivotArea>
    </format>
    <format dxfId="2102">
      <pivotArea dataOnly="0" labelOnly="1" outline="0" fieldPosition="0">
        <references count="2">
          <reference field="5" count="1" selected="0">
            <x v="10"/>
          </reference>
          <reference field="7" count="3">
            <x v="29"/>
            <x v="46"/>
            <x v="62"/>
          </reference>
        </references>
      </pivotArea>
    </format>
    <format dxfId="2101">
      <pivotArea dataOnly="0" labelOnly="1" outline="0" fieldPosition="0">
        <references count="2">
          <reference field="5" count="1" selected="0">
            <x v="15"/>
          </reference>
          <reference field="7" count="1">
            <x v="30"/>
          </reference>
        </references>
      </pivotArea>
    </format>
    <format dxfId="2100">
      <pivotArea dataOnly="0" labelOnly="1" outline="0" fieldPosition="0">
        <references count="2">
          <reference field="5" count="1" selected="0">
            <x v="16"/>
          </reference>
          <reference field="7" count="4">
            <x v="31"/>
            <x v="43"/>
            <x v="66"/>
            <x v="69"/>
          </reference>
        </references>
      </pivotArea>
    </format>
    <format dxfId="2099">
      <pivotArea dataOnly="0" labelOnly="1" outline="0" fieldPosition="0">
        <references count="2">
          <reference field="5" count="1" selected="0">
            <x v="17"/>
          </reference>
          <reference field="7" count="5">
            <x v="32"/>
            <x v="34"/>
            <x v="48"/>
            <x v="52"/>
            <x v="70"/>
          </reference>
        </references>
      </pivotArea>
    </format>
    <format dxfId="2098">
      <pivotArea dataOnly="0" labelOnly="1" outline="0" fieldPosition="0">
        <references count="2">
          <reference field="5" count="1" selected="0">
            <x v="18"/>
          </reference>
          <reference field="7" count="1">
            <x v="39"/>
          </reference>
        </references>
      </pivotArea>
    </format>
    <format dxfId="2097">
      <pivotArea dataOnly="0" labelOnly="1" outline="0" fieldPosition="0">
        <references count="2">
          <reference field="5" count="1" selected="0">
            <x v="19"/>
          </reference>
          <reference field="7" count="1">
            <x v="44"/>
          </reference>
        </references>
      </pivotArea>
    </format>
    <format dxfId="2096">
      <pivotArea outline="0" collapsedLevelsAreSubtotals="1" fieldPosition="0">
        <references count="2">
          <reference field="5" count="1" selected="0">
            <x v="0"/>
          </reference>
          <reference field="7" count="1" selected="0">
            <x v="40"/>
          </reference>
        </references>
      </pivotArea>
    </format>
    <format dxfId="2095">
      <pivotArea dataOnly="0" labelOnly="1" outline="0" fieldPosition="0">
        <references count="2">
          <reference field="5" count="1" selected="0">
            <x v="0"/>
          </reference>
          <reference field="7" count="1">
            <x v="40"/>
          </reference>
        </references>
      </pivotArea>
    </format>
    <format dxfId="2094">
      <pivotArea outline="0" collapsedLevelsAreSubtotals="1" fieldPosition="0">
        <references count="2">
          <reference field="5" count="1" selected="0">
            <x v="5"/>
          </reference>
          <reference field="7" count="1" selected="0">
            <x v="63"/>
          </reference>
        </references>
      </pivotArea>
    </format>
    <format dxfId="2093">
      <pivotArea dataOnly="0" labelOnly="1" outline="0" fieldPosition="0">
        <references count="2">
          <reference field="5" count="1" selected="0">
            <x v="5"/>
          </reference>
          <reference field="7" count="1">
            <x v="63"/>
          </reference>
        </references>
      </pivotArea>
    </format>
    <format dxfId="2092">
      <pivotArea outline="0" collapsedLevelsAreSubtotals="1" fieldPosition="0">
        <references count="2">
          <reference field="5" count="1" selected="0">
            <x v="5"/>
          </reference>
          <reference field="7" count="1" selected="0">
            <x v="63"/>
          </reference>
        </references>
      </pivotArea>
    </format>
    <format dxfId="2091">
      <pivotArea dataOnly="0" labelOnly="1" outline="0" fieldPosition="0">
        <references count="2">
          <reference field="5" count="1" selected="0">
            <x v="5"/>
          </reference>
          <reference field="7" count="1">
            <x v="63"/>
          </reference>
        </references>
      </pivotArea>
    </format>
    <format dxfId="2090">
      <pivotArea outline="0" collapsedLevelsAreSubtotals="1" fieldPosition="0">
        <references count="2">
          <reference field="5" count="1" selected="0">
            <x v="10"/>
          </reference>
          <reference field="7" count="1" selected="0">
            <x v="62"/>
          </reference>
        </references>
      </pivotArea>
    </format>
    <format dxfId="2089">
      <pivotArea dataOnly="0" labelOnly="1" outline="0" fieldPosition="0">
        <references count="2">
          <reference field="5" count="1" selected="0">
            <x v="10"/>
          </reference>
          <reference field="7" count="1">
            <x v="62"/>
          </reference>
        </references>
      </pivotArea>
    </format>
    <format dxfId="2088">
      <pivotArea outline="0" collapsedLevelsAreSubtotals="1" fieldPosition="0">
        <references count="2">
          <reference field="5" count="1" selected="0">
            <x v="0"/>
          </reference>
          <reference field="7" count="9" selected="0">
            <x v="14"/>
            <x v="33"/>
            <x v="37"/>
            <x v="40"/>
            <x v="41"/>
            <x v="51"/>
            <x v="65"/>
            <x v="68"/>
            <x v="73"/>
          </reference>
        </references>
      </pivotArea>
    </format>
    <format dxfId="2087">
      <pivotArea outline="0" collapsedLevelsAreSubtotals="1" fieldPosition="0">
        <references count="2">
          <reference field="5" count="11" selected="0">
            <x v="1"/>
            <x v="2"/>
            <x v="3"/>
            <x v="4"/>
            <x v="5"/>
            <x v="6"/>
            <x v="7"/>
            <x v="8"/>
            <x v="10"/>
            <x v="15"/>
            <x v="16"/>
          </reference>
          <reference field="7" count="42" selected="0">
            <x v="0"/>
            <x v="1"/>
            <x v="4"/>
            <x v="5"/>
            <x v="6"/>
            <x v="7"/>
            <x v="9"/>
            <x v="10"/>
            <x v="11"/>
            <x v="12"/>
            <x v="15"/>
            <x v="16"/>
            <x v="17"/>
            <x v="18"/>
            <x v="19"/>
            <x v="20"/>
            <x v="21"/>
            <x v="28"/>
            <x v="29"/>
            <x v="30"/>
            <x v="31"/>
            <x v="35"/>
            <x v="36"/>
            <x v="38"/>
            <x v="42"/>
            <x v="43"/>
            <x v="45"/>
            <x v="46"/>
            <x v="53"/>
            <x v="55"/>
            <x v="56"/>
            <x v="57"/>
            <x v="58"/>
            <x v="59"/>
            <x v="60"/>
            <x v="61"/>
            <x v="62"/>
            <x v="63"/>
            <x v="66"/>
            <x v="67"/>
            <x v="69"/>
            <x v="71"/>
          </reference>
        </references>
      </pivotArea>
    </format>
    <format dxfId="2086">
      <pivotArea outline="0" collapsedLevelsAreSubtotals="1" fieldPosition="0">
        <references count="2">
          <reference field="5" count="1" selected="0">
            <x v="17"/>
          </reference>
          <reference field="7" count="2" selected="0">
            <x v="32"/>
            <x v="34"/>
          </reference>
        </references>
      </pivotArea>
    </format>
    <format dxfId="2085">
      <pivotArea dataOnly="0" labelOnly="1" outline="0" fieldPosition="0">
        <references count="2">
          <reference field="5" count="1" selected="0">
            <x v="0"/>
          </reference>
          <reference field="7" count="9">
            <x v="14"/>
            <x v="33"/>
            <x v="37"/>
            <x v="40"/>
            <x v="41"/>
            <x v="51"/>
            <x v="65"/>
            <x v="68"/>
            <x v="73"/>
          </reference>
        </references>
      </pivotArea>
    </format>
    <format dxfId="2084">
      <pivotArea dataOnly="0" labelOnly="1" outline="0" fieldPosition="0">
        <references count="2">
          <reference field="5" count="1" selected="0">
            <x v="1"/>
          </reference>
          <reference field="7" count="5">
            <x v="9"/>
            <x v="53"/>
            <x v="59"/>
            <x v="60"/>
            <x v="61"/>
          </reference>
        </references>
      </pivotArea>
    </format>
    <format dxfId="2083">
      <pivotArea dataOnly="0" labelOnly="1" outline="0" fieldPosition="0">
        <references count="2">
          <reference field="5" count="1" selected="0">
            <x v="2"/>
          </reference>
          <reference field="7" count="6">
            <x v="6"/>
            <x v="7"/>
            <x v="15"/>
            <x v="19"/>
            <x v="20"/>
            <x v="67"/>
          </reference>
        </references>
      </pivotArea>
    </format>
    <format dxfId="2082">
      <pivotArea dataOnly="0" labelOnly="1" outline="0" fieldPosition="0">
        <references count="2">
          <reference field="5" count="1" selected="0">
            <x v="3"/>
          </reference>
          <reference field="7" count="2">
            <x v="4"/>
            <x v="16"/>
          </reference>
        </references>
      </pivotArea>
    </format>
    <format dxfId="2081">
      <pivotArea dataOnly="0" labelOnly="1" outline="0" fieldPosition="0">
        <references count="2">
          <reference field="5" count="1" selected="0">
            <x v="4"/>
          </reference>
          <reference field="7" count="9">
            <x v="0"/>
            <x v="1"/>
            <x v="5"/>
            <x v="17"/>
            <x v="28"/>
            <x v="35"/>
            <x v="38"/>
            <x v="45"/>
            <x v="57"/>
          </reference>
        </references>
      </pivotArea>
    </format>
    <format dxfId="2080">
      <pivotArea dataOnly="0" labelOnly="1" outline="0" fieldPosition="0">
        <references count="2">
          <reference field="5" count="1" selected="0">
            <x v="5"/>
          </reference>
          <reference field="7" count="4">
            <x v="18"/>
            <x v="21"/>
            <x v="36"/>
            <x v="63"/>
          </reference>
        </references>
      </pivotArea>
    </format>
    <format dxfId="2079">
      <pivotArea dataOnly="0" labelOnly="1" outline="0" fieldPosition="0">
        <references count="2">
          <reference field="5" count="1" selected="0">
            <x v="6"/>
          </reference>
          <reference field="7" count="5">
            <x v="11"/>
            <x v="42"/>
            <x v="55"/>
            <x v="56"/>
            <x v="71"/>
          </reference>
        </references>
      </pivotArea>
    </format>
    <format dxfId="2078">
      <pivotArea dataOnly="0" labelOnly="1" outline="0" fieldPosition="0">
        <references count="2">
          <reference field="5" count="1" selected="0">
            <x v="7"/>
          </reference>
          <reference field="7" count="2">
            <x v="12"/>
            <x v="58"/>
          </reference>
        </references>
      </pivotArea>
    </format>
    <format dxfId="2077">
      <pivotArea dataOnly="0" labelOnly="1" outline="0" fieldPosition="0">
        <references count="2">
          <reference field="5" count="1" selected="0">
            <x v="8"/>
          </reference>
          <reference field="7" count="1">
            <x v="10"/>
          </reference>
        </references>
      </pivotArea>
    </format>
    <format dxfId="2076">
      <pivotArea dataOnly="0" labelOnly="1" outline="0" fieldPosition="0">
        <references count="2">
          <reference field="5" count="1" selected="0">
            <x v="10"/>
          </reference>
          <reference field="7" count="3">
            <x v="29"/>
            <x v="46"/>
            <x v="62"/>
          </reference>
        </references>
      </pivotArea>
    </format>
    <format dxfId="2075">
      <pivotArea dataOnly="0" labelOnly="1" outline="0" fieldPosition="0">
        <references count="2">
          <reference field="5" count="1" selected="0">
            <x v="15"/>
          </reference>
          <reference field="7" count="1">
            <x v="30"/>
          </reference>
        </references>
      </pivotArea>
    </format>
    <format dxfId="2074">
      <pivotArea dataOnly="0" labelOnly="1" outline="0" fieldPosition="0">
        <references count="2">
          <reference field="5" count="1" selected="0">
            <x v="16"/>
          </reference>
          <reference field="7" count="4">
            <x v="31"/>
            <x v="43"/>
            <x v="66"/>
            <x v="69"/>
          </reference>
        </references>
      </pivotArea>
    </format>
    <format dxfId="2073">
      <pivotArea dataOnly="0" labelOnly="1" outline="0" fieldPosition="0">
        <references count="2">
          <reference field="5" count="1" selected="0">
            <x v="17"/>
          </reference>
          <reference field="7" count="2">
            <x v="32"/>
            <x v="34"/>
          </reference>
        </references>
      </pivotArea>
    </format>
    <format dxfId="2072">
      <pivotArea outline="0" collapsedLevelsAreSubtotals="1" fieldPosition="0">
        <references count="2">
          <reference field="5" count="1" selected="0">
            <x v="4"/>
          </reference>
          <reference field="7" count="1" selected="0">
            <x v="74"/>
          </reference>
        </references>
      </pivotArea>
    </format>
    <format dxfId="2071">
      <pivotArea dataOnly="0" labelOnly="1" outline="0" fieldPosition="0">
        <references count="2">
          <reference field="5" count="1" selected="0">
            <x v="4"/>
          </reference>
          <reference field="7" count="1">
            <x v="74"/>
          </reference>
        </references>
      </pivotArea>
    </format>
    <format dxfId="2070">
      <pivotArea outline="0" collapsedLevelsAreSubtotals="1" fieldPosition="0">
        <references count="2">
          <reference field="5" count="1" selected="0">
            <x v="4"/>
          </reference>
          <reference field="7" count="1" selected="0">
            <x v="17"/>
          </reference>
        </references>
      </pivotArea>
    </format>
    <format dxfId="2069">
      <pivotArea dataOnly="0" labelOnly="1" outline="0" fieldPosition="0">
        <references count="2">
          <reference field="5" count="1" selected="0">
            <x v="4"/>
          </reference>
          <reference field="7" count="1">
            <x v="17"/>
          </reference>
        </references>
      </pivotArea>
    </format>
    <format dxfId="2068">
      <pivotArea outline="0" collapsedLevelsAreSubtotals="1" fieldPosition="0">
        <references count="2">
          <reference field="5" count="1" selected="0">
            <x v="4"/>
          </reference>
          <reference field="7" count="1" selected="0">
            <x v="17"/>
          </reference>
        </references>
      </pivotArea>
    </format>
    <format dxfId="2067">
      <pivotArea dataOnly="0" labelOnly="1" outline="0" fieldPosition="0">
        <references count="2">
          <reference field="5" count="1" selected="0">
            <x v="4"/>
          </reference>
          <reference field="7" count="1">
            <x v="17"/>
          </reference>
        </references>
      </pivotArea>
    </format>
    <format dxfId="2066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2065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2064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2063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2062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2061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2060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2059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2058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2057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2056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055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054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053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052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051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050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049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048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047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046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045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044">
      <pivotArea grandRow="1" outline="0" collapsedLevelsAreSubtotals="1" fieldPosition="0"/>
    </format>
    <format dxfId="2043">
      <pivotArea dataOnly="0" labelOnly="1" grandRow="1" outline="0" fieldPosition="0"/>
    </format>
    <format dxfId="2042">
      <pivotArea grandRow="1" outline="0" collapsedLevelsAreSubtotals="1" fieldPosition="0"/>
    </format>
    <format dxfId="2041">
      <pivotArea dataOnly="0" labelOnly="1" grandRow="1" outline="0" fieldPosition="0"/>
    </format>
    <format dxfId="204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3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3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3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3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3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3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3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3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3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3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2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28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2027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2026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2025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2024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2023">
      <pivotArea outline="0" collapsedLevelsAreSubtotals="1" fieldPosition="0">
        <references count="3">
          <reference field="4294967294" count="1" selected="0">
            <x v="5"/>
          </reference>
          <reference field="5" count="1" selected="0">
            <x v="20"/>
          </reference>
          <reference field="7" count="1" selected="0">
            <x v="47"/>
          </reference>
        </references>
      </pivotArea>
    </format>
    <format dxfId="2022">
      <pivotArea outline="0" collapsedLevelsAreSubtotals="1" fieldPosition="0">
        <references count="3">
          <reference field="4294967294" count="1" selected="0">
            <x v="5"/>
          </reference>
          <reference field="5" count="1" selected="0">
            <x v="20"/>
          </reference>
          <reference field="7" count="1" selected="0">
            <x v="47"/>
          </reference>
        </references>
      </pivotArea>
    </format>
    <format dxfId="2021">
      <pivotArea outline="0" collapsedLevelsAreSubtotals="1" fieldPosition="0">
        <references count="3">
          <reference field="4294967294" count="1" selected="0">
            <x v="5"/>
          </reference>
          <reference field="5" count="1" selected="0">
            <x v="20"/>
          </reference>
          <reference field="7" count="1" selected="0">
            <x v="47"/>
          </reference>
        </references>
      </pivotArea>
    </format>
    <format dxfId="2020">
      <pivotArea outline="0" collapsedLevelsAreSubtotals="1" fieldPosition="0">
        <references count="3">
          <reference field="4294967294" count="1" selected="0">
            <x v="5"/>
          </reference>
          <reference field="5" count="1" selected="0">
            <x v="20"/>
          </reference>
          <reference field="7" count="1" selected="0">
            <x v="47"/>
          </reference>
        </references>
      </pivotArea>
    </format>
    <format dxfId="2019">
      <pivotArea outline="0" collapsedLevelsAreSubtotals="1" fieldPosition="0">
        <references count="2">
          <reference field="5" count="1" selected="0">
            <x v="7"/>
          </reference>
          <reference field="7" count="0" selected="0"/>
        </references>
      </pivotArea>
    </format>
    <format dxfId="2018">
      <pivotArea outline="0" collapsedLevelsAreSubtotals="1" fieldPosition="0">
        <references count="2">
          <reference field="5" count="1" selected="0">
            <x v="21"/>
          </reference>
          <reference field="7" count="1" selected="0">
            <x v="49"/>
          </reference>
        </references>
      </pivotArea>
    </format>
    <format dxfId="2017">
      <pivotArea dataOnly="0" labelOnly="1" outline="0" fieldPosition="0">
        <references count="2">
          <reference field="5" count="1" selected="0">
            <x v="21"/>
          </reference>
          <reference field="7" count="1">
            <x v="49"/>
          </reference>
        </references>
      </pivotArea>
    </format>
    <format dxfId="2016">
      <pivotArea outline="0" collapsedLevelsAreSubtotals="1" fieldPosition="0">
        <references count="3">
          <reference field="4294967294" count="1" selected="0">
            <x v="9"/>
          </reference>
          <reference field="5" count="1" selected="0">
            <x v="20"/>
          </reference>
          <reference field="7" count="0" selected="0"/>
        </references>
      </pivotArea>
    </format>
    <format dxfId="2015">
      <pivotArea outline="0" collapsedLevelsAreSubtotals="1" fieldPosition="0">
        <references count="2">
          <reference field="5" count="1" selected="0">
            <x v="7"/>
          </reference>
          <reference field="7" count="2" selected="0">
            <x v="12"/>
            <x v="58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3E337-C3D9-4509-AA7A-11EFAFE3D34F}" name="TablaDinámica2" cacheId="8" applyNumberFormats="0" applyBorderFormats="0" applyFontFormats="0" applyPatternFormats="0" applyAlignmentFormats="0" applyWidthHeightFormats="1" dataCaption="Valores" updatedVersion="7" minRefreshableVersion="3" itemPrintTitles="1" createdVersion="6" indent="0" compact="0" compactData="0" multipleFieldFilters="0">
  <location ref="A11:N71" firstHeaderRow="0" firstDataRow="1" firstDataCol="2" rowPageCount="3" colPageCount="1"/>
  <pivotFields count="42">
    <pivotField compact="0" outline="0" showAll="0"/>
    <pivotField compact="0" outline="0" showAll="0"/>
    <pivotField axis="axisPage" compact="0" numFmtId="1" outline="0" multipleItemSelectionAllowed="1" showAll="0">
      <items count="51">
        <item h="1" m="1" x="47"/>
        <item m="1" x="7"/>
        <item m="1" x="31"/>
        <item m="1" x="29"/>
        <item m="1" x="8"/>
        <item m="1" x="34"/>
        <item m="1" x="10"/>
        <item m="1" x="36"/>
        <item m="1" x="12"/>
        <item m="1" x="39"/>
        <item m="1" x="15"/>
        <item m="1" x="41"/>
        <item m="1" x="17"/>
        <item m="1" x="25"/>
        <item m="1" x="44"/>
        <item m="1" x="19"/>
        <item m="1" x="46"/>
        <item m="1" x="11"/>
        <item m="1" x="27"/>
        <item m="1" x="48"/>
        <item m="1" x="5"/>
        <item m="1" x="13"/>
        <item m="1" x="20"/>
        <item m="1" x="28"/>
        <item m="1" x="33"/>
        <item m="1" x="38"/>
        <item m="1" x="43"/>
        <item h="1" m="1" x="3"/>
        <item m="1" x="6"/>
        <item m="1" x="9"/>
        <item m="1" x="14"/>
        <item m="1" x="16"/>
        <item m="1" x="18"/>
        <item x="0"/>
        <item x="1"/>
        <item h="1" m="1" x="22"/>
        <item h="1" m="1" x="24"/>
        <item h="1" m="1" x="26"/>
        <item h="1" m="1" x="30"/>
        <item h="1" m="1" x="32"/>
        <item h="1" m="1" x="35"/>
        <item h="1" m="1" x="37"/>
        <item h="1" m="1" x="40"/>
        <item h="1" m="1" x="42"/>
        <item h="1" m="1" x="45"/>
        <item h="1" m="1" x="49"/>
        <item h="1" m="1" x="21"/>
        <item h="1" m="1" x="2"/>
        <item h="1" m="1" x="23"/>
        <item h="1" m="1" x="4"/>
        <item t="default"/>
      </items>
    </pivotField>
    <pivotField compact="0" outline="0" showAll="0"/>
    <pivotField axis="axisPage" compact="0" outline="0" multipleItemSelectionAllowed="1" showAll="0">
      <items count="5">
        <item x="1"/>
        <item x="0"/>
        <item x="2"/>
        <item x="3"/>
        <item t="default"/>
      </items>
    </pivotField>
    <pivotField axis="axisRow" compact="0" outline="0" showAll="0" defaultSubtotal="0">
      <items count="25">
        <item x="13"/>
        <item x="3"/>
        <item x="2"/>
        <item x="1"/>
        <item x="0"/>
        <item x="8"/>
        <item x="5"/>
        <item x="6"/>
        <item x="4"/>
        <item m="1" x="21"/>
        <item x="9"/>
        <item m="1" x="19"/>
        <item m="1" x="22"/>
        <item m="1" x="20"/>
        <item m="1" x="24"/>
        <item x="11"/>
        <item x="10"/>
        <item x="12"/>
        <item m="1" x="23"/>
        <item x="14"/>
        <item x="15"/>
        <item x="16"/>
        <item x="17"/>
        <item x="7"/>
        <item x="18"/>
      </items>
    </pivotField>
    <pivotField compact="0" outline="0" showAll="0"/>
    <pivotField axis="axisRow" compact="0" outline="0" showAll="0">
      <items count="111">
        <item x="0"/>
        <item m="1" x="71"/>
        <item m="1" x="72"/>
        <item m="1" x="100"/>
        <item x="1"/>
        <item m="1" x="62"/>
        <item x="3"/>
        <item x="4"/>
        <item m="1" x="92"/>
        <item x="5"/>
        <item x="6"/>
        <item x="7"/>
        <item x="8"/>
        <item m="1" x="91"/>
        <item m="1" x="103"/>
        <item x="10"/>
        <item m="1" x="88"/>
        <item x="11"/>
        <item x="12"/>
        <item x="16"/>
        <item m="1" x="94"/>
        <item x="21"/>
        <item m="1" x="105"/>
        <item m="1" x="93"/>
        <item m="1" x="108"/>
        <item m="1" x="95"/>
        <item m="1" x="66"/>
        <item m="1" x="63"/>
        <item m="1" x="75"/>
        <item x="17"/>
        <item x="20"/>
        <item m="1" x="83"/>
        <item x="23"/>
        <item x="24"/>
        <item m="1" x="102"/>
        <item x="25"/>
        <item x="26"/>
        <item x="27"/>
        <item m="1" x="99"/>
        <item m="1" x="59"/>
        <item m="1" x="86"/>
        <item m="1" x="97"/>
        <item x="32"/>
        <item x="33"/>
        <item x="35"/>
        <item x="36"/>
        <item x="37"/>
        <item x="39"/>
        <item x="40"/>
        <item x="41"/>
        <item x="42"/>
        <item m="1" x="104"/>
        <item m="1" x="84"/>
        <item x="44"/>
        <item m="1" x="77"/>
        <item m="1" x="101"/>
        <item m="1" x="67"/>
        <item x="47"/>
        <item x="48"/>
        <item x="49"/>
        <item x="50"/>
        <item x="52"/>
        <item m="1" x="90"/>
        <item x="53"/>
        <item x="54"/>
        <item m="1" x="78"/>
        <item x="19"/>
        <item m="1" x="96"/>
        <item m="1" x="89"/>
        <item x="30"/>
        <item x="38"/>
        <item x="55"/>
        <item m="1" x="68"/>
        <item m="1" x="61"/>
        <item m="1" x="107"/>
        <item m="1" x="60"/>
        <item m="1" x="70"/>
        <item x="2"/>
        <item m="1" x="81"/>
        <item m="1" x="73"/>
        <item m="1" x="98"/>
        <item m="1" x="87"/>
        <item m="1" x="109"/>
        <item x="13"/>
        <item m="1" x="64"/>
        <item m="1" x="106"/>
        <item m="1" x="82"/>
        <item m="1" x="76"/>
        <item m="1" x="79"/>
        <item m="1" x="80"/>
        <item m="1" x="69"/>
        <item x="45"/>
        <item m="1" x="85"/>
        <item x="51"/>
        <item m="1" x="65"/>
        <item m="1" x="74"/>
        <item x="9"/>
        <item x="14"/>
        <item x="15"/>
        <item x="18"/>
        <item x="22"/>
        <item x="28"/>
        <item x="29"/>
        <item x="31"/>
        <item x="34"/>
        <item x="43"/>
        <item x="46"/>
        <item x="56"/>
        <item x="57"/>
        <item x="58"/>
        <item t="default"/>
      </items>
    </pivotField>
    <pivotField axis="axisPage" compact="0" numFmtId="14" outline="0" multipleItemSelectionAllowed="1" showAll="0">
      <items count="240">
        <item h="1" m="1" x="185"/>
        <item h="1" m="1" x="126"/>
        <item h="1" m="1" x="8"/>
        <item h="1" m="1" x="180"/>
        <item h="1" m="1" x="120"/>
        <item h="1" m="1" x="61"/>
        <item h="1" m="1" x="234"/>
        <item h="1" m="1" x="174"/>
        <item h="1" m="1" x="114"/>
        <item h="1" m="1" x="55"/>
        <item h="1" m="1" x="228"/>
        <item h="1" m="1" x="168"/>
        <item h="1" m="1" x="109"/>
        <item h="1" m="1" x="51"/>
        <item h="1" m="1" x="224"/>
        <item h="1" m="1" x="164"/>
        <item h="1" m="1" x="123"/>
        <item h="1" m="1" x="64"/>
        <item m="1" x="237"/>
        <item m="1" x="177"/>
        <item m="1" x="117"/>
        <item m="1" x="58"/>
        <item m="1" x="231"/>
        <item m="1" x="171"/>
        <item m="1" x="112"/>
        <item m="1" x="53"/>
        <item m="1" x="226"/>
        <item m="1" x="166"/>
        <item m="1" x="107"/>
        <item m="1" x="49"/>
        <item m="1" x="222"/>
        <item m="1" x="162"/>
        <item m="1" x="104"/>
        <item m="1" x="45"/>
        <item m="1" x="218"/>
        <item m="1" x="157"/>
        <item m="1" x="99"/>
        <item m="1" x="40"/>
        <item m="1" x="213"/>
        <item m="1" x="153"/>
        <item m="1" x="95"/>
        <item m="1" x="36"/>
        <item h="1" m="1" x="209"/>
        <item h="1" m="1" x="149"/>
        <item h="1" m="1" x="90"/>
        <item h="1" m="1" x="159"/>
        <item h="1" m="1" x="101"/>
        <item h="1" m="1" x="42"/>
        <item h="1" m="1" x="215"/>
        <item h="1" m="1" x="155"/>
        <item m="1" x="97"/>
        <item m="1" x="38"/>
        <item m="1" x="211"/>
        <item m="1" x="151"/>
        <item m="1" x="93"/>
        <item m="1" x="34"/>
        <item m="1" x="206"/>
        <item h="1" m="1" x="147"/>
        <item h="1" m="1" x="88"/>
        <item h="1" m="1" x="31"/>
        <item h="1" m="1" x="23"/>
        <item h="1" m="1" x="195"/>
        <item h="1" m="1" x="136"/>
        <item h="1" m="1" x="76"/>
        <item h="1" m="1" x="19"/>
        <item h="1" m="1" x="191"/>
        <item h="1" m="1" x="133"/>
        <item h="1" m="1" x="73"/>
        <item h="1" m="1" x="16"/>
        <item h="1" m="1" x="201"/>
        <item h="1" m="1" x="142"/>
        <item h="1" m="1" x="82"/>
        <item h="1" m="1" x="25"/>
        <item h="1" m="1" x="197"/>
        <item h="1" m="1" x="138"/>
        <item h="1" m="1" x="78"/>
        <item h="1" m="1" x="21"/>
        <item h="1" m="1" x="193"/>
        <item h="1" m="1" x="134"/>
        <item h="1" m="1" x="74"/>
        <item h="1" m="1" x="17"/>
        <item h="1" m="1" x="189"/>
        <item h="1" m="1" x="131"/>
        <item h="1" m="1" x="71"/>
        <item h="1" m="1" x="14"/>
        <item h="1" m="1" x="187"/>
        <item h="1" m="1" x="128"/>
        <item h="1" m="1" x="68"/>
        <item h="1" m="1" x="10"/>
        <item h="1" m="1" x="182"/>
        <item h="1" m="1" x="122"/>
        <item h="1" m="1" x="63"/>
        <item m="1" x="236"/>
        <item m="1" x="176"/>
        <item m="1" x="116"/>
        <item m="1" x="57"/>
        <item m="1" x="230"/>
        <item m="1" x="170"/>
        <item m="1" x="111"/>
        <item h="1" m="1" x="12"/>
        <item h="1" m="1" x="184"/>
        <item h="1" m="1" x="125"/>
        <item h="1" m="1" x="66"/>
        <item h="1" m="1" x="7"/>
        <item h="1" m="1" x="179"/>
        <item h="1" m="1" x="119"/>
        <item m="1" x="60"/>
        <item m="1" x="233"/>
        <item m="1" x="173"/>
        <item m="1" x="113"/>
        <item m="1" x="54"/>
        <item m="1" x="227"/>
        <item m="1" x="167"/>
        <item h="1" m="1" x="108"/>
        <item h="1" m="1" x="50"/>
        <item h="1" m="1" x="223"/>
        <item h="1" m="1" x="163"/>
        <item h="1" m="1" x="105"/>
        <item h="1" m="1" x="46"/>
        <item h="1" m="1" x="219"/>
        <item h="1" m="1" x="158"/>
        <item h="1" m="1" x="100"/>
        <item h="1" m="1" x="41"/>
        <item h="1" m="1" x="214"/>
        <item h="1" m="1" x="154"/>
        <item h="1" m="1" x="96"/>
        <item h="1" m="1" x="37"/>
        <item h="1" m="1" x="210"/>
        <item h="1" m="1" x="150"/>
        <item h="1" m="1" x="92"/>
        <item h="1" m="1" x="48"/>
        <item h="1" m="1" x="221"/>
        <item h="1" m="1" x="161"/>
        <item h="1" m="1" x="103"/>
        <item h="1" m="1" x="44"/>
        <item h="1" m="1" x="217"/>
        <item h="1" m="1" x="156"/>
        <item h="1" m="1" x="98"/>
        <item h="1" m="1" x="39"/>
        <item h="1" m="1" x="212"/>
        <item h="1" m="1" x="152"/>
        <item h="1" m="1" x="94"/>
        <item h="1" m="1" x="35"/>
        <item h="1" m="1" x="208"/>
        <item h="1" m="1" x="148"/>
        <item h="1" m="1" x="89"/>
        <item h="1" m="1" x="32"/>
        <item h="1" m="1" x="204"/>
        <item h="1" m="1" x="145"/>
        <item h="1" m="1" x="85"/>
        <item h="1" m="1" x="28"/>
        <item h="1" m="1" x="200"/>
        <item h="1" m="1" x="141"/>
        <item h="1" m="1" x="81"/>
        <item h="1" m="1" x="24"/>
        <item h="1" m="1" x="196"/>
        <item h="1" m="1" x="137"/>
        <item h="1" m="1" x="77"/>
        <item h="1" m="1" x="20"/>
        <item h="1" m="1" x="192"/>
        <item h="1" m="1" x="87"/>
        <item h="1" m="1" x="30"/>
        <item h="1" m="1" x="203"/>
        <item h="1" m="1" x="144"/>
        <item h="1" m="1" x="84"/>
        <item h="1" m="1" x="27"/>
        <item h="1" m="1" x="199"/>
        <item h="1" m="1" x="140"/>
        <item h="1" m="1" x="80"/>
        <item h="1" m="1" x="22"/>
        <item h="1" m="1" x="194"/>
        <item h="1" m="1" x="135"/>
        <item h="1" m="1" x="75"/>
        <item h="1" m="1" x="18"/>
        <item h="1" m="1" x="190"/>
        <item h="1" m="1" x="132"/>
        <item h="1" m="1" x="72"/>
        <item h="1" m="1" x="15"/>
        <item h="1" m="1" x="188"/>
        <item h="1" m="1" x="129"/>
        <item h="1" m="1" x="69"/>
        <item h="1" m="1" x="11"/>
        <item h="1" m="1" x="183"/>
        <item h="1" m="1" x="124"/>
        <item h="1" m="1" x="65"/>
        <item h="1" m="1" x="238"/>
        <item h="1" m="1" x="178"/>
        <item h="1" m="1" x="118"/>
        <item h="1" m="1" x="59"/>
        <item h="1" m="1" x="232"/>
        <item h="1" m="1" x="172"/>
        <item h="1" m="1" x="130"/>
        <item h="1" m="1" x="70"/>
        <item h="1" m="1" x="13"/>
        <item h="1" m="1" x="186"/>
        <item h="1" m="1" x="127"/>
        <item h="1" m="1" x="67"/>
        <item h="1" m="1" x="9"/>
        <item h="1" m="1" x="181"/>
        <item h="1" m="1" x="121"/>
        <item h="1" m="1" x="62"/>
        <item h="1" m="1" x="235"/>
        <item h="1" m="1" x="175"/>
        <item h="1" m="1" x="115"/>
        <item h="1" m="1" x="56"/>
        <item h="1" m="1" x="229"/>
        <item h="1" m="1" x="169"/>
        <item h="1" m="1" x="110"/>
        <item h="1" m="1" x="52"/>
        <item h="1" m="1" x="225"/>
        <item h="1" m="1" x="165"/>
        <item h="1" m="1" x="106"/>
        <item h="1" m="1" x="47"/>
        <item h="1" m="1" x="220"/>
        <item h="1" m="1" x="160"/>
        <item h="1" m="1" x="102"/>
        <item h="1" m="1" x="43"/>
        <item h="1" m="1" x="216"/>
        <item h="1" m="1" x="91"/>
        <item h="1" m="1" x="33"/>
        <item h="1" m="1" x="205"/>
        <item h="1" m="1" x="146"/>
        <item h="1" m="1" x="86"/>
        <item h="1" m="1" x="29"/>
        <item h="1" m="1" x="202"/>
        <item h="1" m="1" x="143"/>
        <item h="1" m="1" x="83"/>
        <item h="1" m="1" x="26"/>
        <item h="1" m="1" x="198"/>
        <item h="1" m="1" x="139"/>
        <item h="1" m="1" x="79"/>
        <item h="1" m="1" x="207"/>
        <item x="0"/>
        <item x="1"/>
        <item x="2"/>
        <item x="3"/>
        <item x="4"/>
        <item x="5"/>
        <item x="6"/>
        <item t="default"/>
      </items>
    </pivotField>
    <pivotField compact="0" numFmtId="1" outline="0" showAll="0"/>
    <pivotField compact="0" outline="0" showAll="0" defaultSubtotal="0"/>
    <pivotField compact="0" numFmtId="2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5" outline="0" showAll="0"/>
    <pivotField compact="0" numFmtId="46" outline="0" showAll="0"/>
    <pivotField compact="0" numFmtId="165" outline="0" showAll="0"/>
    <pivotField compact="0" outline="0" showAll="0" defaultSubtotal="0"/>
    <pivotField compact="0" outline="0" showAll="0" defaultSubtotal="0"/>
    <pivotField compact="0" numFmtId="2" outline="0" showAll="0"/>
    <pivotField compact="0" numFmtId="2" outline="0" showAll="0"/>
    <pivotField dataField="1" compact="0" numFmtId="2" outline="0" showAll="0"/>
    <pivotField compact="0" outline="0" showAll="0" defaultSubtotal="0"/>
    <pivotField dataField="1" compact="0" numFmtId="1" outline="0" showAll="0" defaultSubtotal="0"/>
    <pivotField dataField="1" compact="0" numFmtId="2" outline="0" showAll="0" defaultSubtotal="0"/>
    <pivotField dataField="1" compact="0" numFmtId="1" outline="0" showAll="0" defaultSubtotal="0"/>
    <pivotField dataField="1" compact="0" numFmtId="2" outline="0" showAll="0" defaultSubtotal="0"/>
    <pivotField compact="0" numFmtId="2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numFmtId="2" outline="0" showAll="0" defaultSubtotal="0"/>
    <pivotField compact="0" numFmtId="2" outline="0" showAll="0" defaultSubtotal="0"/>
    <pivotField dataField="1" compact="0" numFmtId="2" outline="0" showAll="0" defaultSubtotal="0"/>
    <pivotField dataField="1" compact="0" numFmtId="2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numFmtId="2" outline="0" showAll="0" defaultSubtotal="0"/>
    <pivotField dataField="1" compact="0" numFmtId="2" outline="0" showAll="0" defaultSubtotal="0"/>
  </pivotFields>
  <rowFields count="2">
    <field x="5"/>
    <field x="7"/>
  </rowFields>
  <rowItems count="60">
    <i>
      <x/>
      <x v="33"/>
    </i>
    <i r="1">
      <x v="37"/>
    </i>
    <i>
      <x v="1"/>
      <x v="9"/>
    </i>
    <i r="1">
      <x v="53"/>
    </i>
    <i r="1">
      <x v="59"/>
    </i>
    <i r="1">
      <x v="60"/>
    </i>
    <i r="1">
      <x v="61"/>
    </i>
    <i>
      <x v="2"/>
      <x v="6"/>
    </i>
    <i r="1">
      <x v="7"/>
    </i>
    <i r="1">
      <x v="15"/>
    </i>
    <i r="1">
      <x v="19"/>
    </i>
    <i>
      <x v="3"/>
      <x v="4"/>
    </i>
    <i r="1">
      <x v="77"/>
    </i>
    <i>
      <x v="4"/>
      <x/>
    </i>
    <i r="1">
      <x v="17"/>
    </i>
    <i r="1">
      <x v="35"/>
    </i>
    <i r="1">
      <x v="45"/>
    </i>
    <i r="1">
      <x v="57"/>
    </i>
    <i>
      <x v="5"/>
      <x v="18"/>
    </i>
    <i r="1">
      <x v="21"/>
    </i>
    <i r="1">
      <x v="36"/>
    </i>
    <i r="1">
      <x v="63"/>
    </i>
    <i>
      <x v="6"/>
      <x v="11"/>
    </i>
    <i r="1">
      <x v="42"/>
    </i>
    <i r="1">
      <x v="71"/>
    </i>
    <i>
      <x v="7"/>
      <x v="12"/>
    </i>
    <i r="1">
      <x v="58"/>
    </i>
    <i>
      <x v="8"/>
      <x v="10"/>
    </i>
    <i>
      <x v="10"/>
      <x v="29"/>
    </i>
    <i r="1">
      <x v="46"/>
    </i>
    <i>
      <x v="15"/>
      <x v="30"/>
    </i>
    <i>
      <x v="16"/>
      <x v="43"/>
    </i>
    <i r="1">
      <x v="66"/>
    </i>
    <i r="1">
      <x v="69"/>
    </i>
    <i>
      <x v="17"/>
      <x v="32"/>
    </i>
    <i r="1">
      <x v="48"/>
    </i>
    <i r="1">
      <x v="70"/>
    </i>
    <i>
      <x v="19"/>
      <x v="44"/>
    </i>
    <i>
      <x v="20"/>
      <x v="47"/>
    </i>
    <i r="1">
      <x v="64"/>
    </i>
    <i>
      <x v="21"/>
      <x v="49"/>
    </i>
    <i>
      <x v="22"/>
      <x v="50"/>
    </i>
    <i>
      <x v="23"/>
      <x v="83"/>
    </i>
    <i r="1">
      <x v="91"/>
    </i>
    <i r="1">
      <x v="93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8"/>
    </i>
    <i r="1">
      <x v="109"/>
    </i>
    <i>
      <x v="24"/>
      <x v="107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3">
    <pageField fld="2" hier="-1"/>
    <pageField fld="4" hier="-1"/>
    <pageField fld="8" hier="-1"/>
  </pageFields>
  <dataFields count="12">
    <dataField name="H.NORMAL" fld="26" baseField="0" baseItem="0" numFmtId="3"/>
    <dataField name="H.EXTRA" fld="27" baseField="0" baseItem="0" numFmtId="3"/>
    <dataField name="H.TOTAL" fld="25" baseField="0" baseItem="0" numFmtId="3"/>
    <dataField name="Suma de COS.BASE 2" fld="28" baseField="0" baseItem="0" numFmtId="2"/>
    <dataField name="Suma de CST_H_E" fld="23" baseField="0" baseItem="0"/>
    <dataField name="Suma de COS.B+E" fld="30" baseField="0" baseItem="0"/>
    <dataField name="Suma de COS F2" fld="35" baseField="0" baseItem="0"/>
    <dataField name="Suma de COS D2" fld="36" baseField="0" baseItem="0"/>
    <dataField name="ALIMENT" fld="37" baseField="7" baseItem="40"/>
    <dataField name="PRESTAMOS" fld="38" baseField="7" baseItem="40"/>
    <dataField name="PASAJE" fld="39" baseField="7" baseItem="40"/>
    <dataField name="Suma de MONTO 5TA" fld="41" baseField="0" baseItem="0" numFmtId="2"/>
  </dataFields>
  <formats count="150">
    <format dxfId="169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96">
      <pivotArea grandRow="1" outline="0" collapsedLevelsAreSubtotals="1" fieldPosition="0"/>
    </format>
    <format dxfId="1697">
      <pivotArea dataOnly="0" labelOnly="1" grandRow="1" outline="0" fieldPosition="0"/>
    </format>
    <format dxfId="1698">
      <pivotArea grandRow="1" outline="0" collapsedLevelsAreSubtotals="1" fieldPosition="0"/>
    </format>
    <format dxfId="1699">
      <pivotArea dataOnly="0" labelOnly="1" grandRow="1" outline="0" fieldPosition="0"/>
    </format>
    <format dxfId="1700">
      <pivotArea outline="0" collapsedLevelsAreSubtotals="1" fieldPosition="0"/>
    </format>
    <format dxfId="17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02">
      <pivotArea dataOnly="0" labelOnly="1" outline="0" fieldPosition="0">
        <references count="2">
          <reference field="5" count="1" selected="0">
            <x v="4"/>
          </reference>
          <reference field="7" count="1">
            <x v="0"/>
          </reference>
        </references>
      </pivotArea>
    </format>
    <format dxfId="1703">
      <pivotArea dataOnly="0" labelOnly="1" outline="0" fieldPosition="0">
        <references count="2">
          <reference field="5" count="1" selected="0">
            <x v="4"/>
          </reference>
          <reference field="7" count="1">
            <x v="17"/>
          </reference>
        </references>
      </pivotArea>
    </format>
    <format dxfId="1704">
      <pivotArea outline="0" collapsedLevelsAreSubtotals="1" fieldPosition="0">
        <references count="2">
          <reference field="5" count="1" selected="0">
            <x v="2"/>
          </reference>
          <reference field="7" count="1" selected="0">
            <x v="19"/>
          </reference>
        </references>
      </pivotArea>
    </format>
    <format dxfId="1705">
      <pivotArea dataOnly="0" labelOnly="1" outline="0" fieldPosition="0">
        <references count="2">
          <reference field="5" count="1" selected="0">
            <x v="2"/>
          </reference>
          <reference field="7" count="1">
            <x v="19"/>
          </reference>
        </references>
      </pivotArea>
    </format>
    <format dxfId="1706">
      <pivotArea outline="0" collapsedLevelsAreSubtotals="1" fieldPosition="0">
        <references count="2">
          <reference field="5" count="1" selected="0">
            <x v="3"/>
          </reference>
          <reference field="7" count="1" selected="0">
            <x v="16"/>
          </reference>
        </references>
      </pivotArea>
    </format>
    <format dxfId="1707">
      <pivotArea dataOnly="0" labelOnly="1" outline="0" fieldPosition="0">
        <references count="2">
          <reference field="5" count="1" selected="0">
            <x v="3"/>
          </reference>
          <reference field="7" count="1">
            <x v="16"/>
          </reference>
        </references>
      </pivotArea>
    </format>
    <format dxfId="1708">
      <pivotArea outline="0" collapsedLevelsAreSubtotals="1" fieldPosition="0">
        <references count="3">
          <reference field="4294967294" count="1" selected="0">
            <x v="10"/>
          </reference>
          <reference field="5" count="1" selected="0">
            <x v="0"/>
          </reference>
          <reference field="7" count="10" selected="0">
            <x v="8"/>
            <x v="14"/>
            <x v="33"/>
            <x v="37"/>
            <x v="40"/>
            <x v="41"/>
            <x v="51"/>
            <x v="65"/>
            <x v="68"/>
            <x v="73"/>
          </reference>
        </references>
      </pivotArea>
    </format>
    <format dxfId="1709">
      <pivotArea outline="0" collapsedLevelsAreSubtotals="1" fieldPosition="0">
        <references count="3">
          <reference field="4294967294" count="1" selected="0">
            <x v="10"/>
          </reference>
          <reference field="5" count="17" selected="0">
            <x v="1"/>
            <x v="2"/>
            <x v="3"/>
            <x v="4"/>
            <x v="5"/>
            <x v="6"/>
            <x v="7"/>
            <x v="8"/>
            <x v="10"/>
            <x v="15"/>
            <x v="16"/>
            <x v="17"/>
            <x v="18"/>
            <x v="19"/>
            <x v="20"/>
            <x v="21"/>
            <x v="22"/>
          </reference>
          <reference field="7" count="53" selected="0">
            <x v="0"/>
            <x v="1"/>
            <x v="4"/>
            <x v="5"/>
            <x v="6"/>
            <x v="7"/>
            <x v="9"/>
            <x v="10"/>
            <x v="11"/>
            <x v="12"/>
            <x v="15"/>
            <x v="16"/>
            <x v="17"/>
            <x v="18"/>
            <x v="19"/>
            <x v="20"/>
            <x v="21"/>
            <x v="28"/>
            <x v="29"/>
            <x v="30"/>
            <x v="31"/>
            <x v="32"/>
            <x v="34"/>
            <x v="35"/>
            <x v="36"/>
            <x v="38"/>
            <x v="39"/>
            <x v="42"/>
            <x v="43"/>
            <x v="44"/>
            <x v="45"/>
            <x v="46"/>
            <x v="48"/>
            <x v="49"/>
            <x v="50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6"/>
            <x v="67"/>
            <x v="69"/>
            <x v="70"/>
            <x v="71"/>
          </reference>
        </references>
      </pivotArea>
    </format>
    <format dxfId="1710">
      <pivotArea outline="0" collapsedLevelsAreSubtotals="1" fieldPosition="0">
        <references count="2">
          <reference field="5" count="1" selected="0">
            <x v="0"/>
          </reference>
          <reference field="7" count="1" selected="0">
            <x v="73"/>
          </reference>
        </references>
      </pivotArea>
    </format>
    <format dxfId="1711">
      <pivotArea outline="0" collapsedLevelsAreSubtotals="1" fieldPosition="0">
        <references count="2">
          <reference field="5" count="4" selected="0">
            <x v="1"/>
            <x v="2"/>
            <x v="3"/>
            <x v="4"/>
          </reference>
          <reference field="7" count="22" selected="0">
            <x v="0"/>
            <x v="1"/>
            <x v="4"/>
            <x v="5"/>
            <x v="6"/>
            <x v="7"/>
            <x v="9"/>
            <x v="15"/>
            <x v="16"/>
            <x v="17"/>
            <x v="19"/>
            <x v="20"/>
            <x v="28"/>
            <x v="35"/>
            <x v="38"/>
            <x v="45"/>
            <x v="53"/>
            <x v="57"/>
            <x v="59"/>
            <x v="60"/>
            <x v="61"/>
            <x v="67"/>
          </reference>
        </references>
      </pivotArea>
    </format>
    <format dxfId="1712">
      <pivotArea outline="0" collapsedLevelsAreSubtotals="1" fieldPosition="0">
        <references count="2">
          <reference field="5" count="1" selected="0">
            <x v="5"/>
          </reference>
          <reference field="7" count="2" selected="0">
            <x v="18"/>
            <x v="21"/>
          </reference>
        </references>
      </pivotArea>
    </format>
    <format dxfId="1713">
      <pivotArea dataOnly="0" labelOnly="1" outline="0" fieldPosition="0">
        <references count="2">
          <reference field="5" count="1" selected="0">
            <x v="0"/>
          </reference>
          <reference field="7" count="1">
            <x v="73"/>
          </reference>
        </references>
      </pivotArea>
    </format>
    <format dxfId="1714">
      <pivotArea dataOnly="0" labelOnly="1" outline="0" fieldPosition="0">
        <references count="2">
          <reference field="5" count="1" selected="0">
            <x v="1"/>
          </reference>
          <reference field="7" count="5">
            <x v="9"/>
            <x v="53"/>
            <x v="59"/>
            <x v="60"/>
            <x v="61"/>
          </reference>
        </references>
      </pivotArea>
    </format>
    <format dxfId="1715">
      <pivotArea dataOnly="0" labelOnly="1" outline="0" fieldPosition="0">
        <references count="2">
          <reference field="5" count="1" selected="0">
            <x v="2"/>
          </reference>
          <reference field="7" count="6">
            <x v="6"/>
            <x v="7"/>
            <x v="15"/>
            <x v="19"/>
            <x v="20"/>
            <x v="67"/>
          </reference>
        </references>
      </pivotArea>
    </format>
    <format dxfId="1716">
      <pivotArea dataOnly="0" labelOnly="1" outline="0" fieldPosition="0">
        <references count="2">
          <reference field="5" count="1" selected="0">
            <x v="3"/>
          </reference>
          <reference field="7" count="2">
            <x v="4"/>
            <x v="16"/>
          </reference>
        </references>
      </pivotArea>
    </format>
    <format dxfId="1717">
      <pivotArea dataOnly="0" labelOnly="1" outline="0" fieldPosition="0">
        <references count="2">
          <reference field="5" count="1" selected="0">
            <x v="4"/>
          </reference>
          <reference field="7" count="9">
            <x v="0"/>
            <x v="1"/>
            <x v="5"/>
            <x v="17"/>
            <x v="28"/>
            <x v="35"/>
            <x v="38"/>
            <x v="45"/>
            <x v="57"/>
          </reference>
        </references>
      </pivotArea>
    </format>
    <format dxfId="1718">
      <pivotArea dataOnly="0" labelOnly="1" outline="0" fieldPosition="0">
        <references count="2">
          <reference field="5" count="1" selected="0">
            <x v="5"/>
          </reference>
          <reference field="7" count="2">
            <x v="18"/>
            <x v="21"/>
          </reference>
        </references>
      </pivotArea>
    </format>
    <format dxfId="1719">
      <pivotArea outline="0" collapsedLevelsAreSubtotals="1" fieldPosition="0">
        <references count="2">
          <reference field="5" count="1" selected="0">
            <x v="17"/>
          </reference>
          <reference field="7" count="1" selected="0">
            <x v="32"/>
          </reference>
        </references>
      </pivotArea>
    </format>
    <format dxfId="1720">
      <pivotArea dataOnly="0" labelOnly="1" outline="0" fieldPosition="0">
        <references count="2">
          <reference field="5" count="1" selected="0">
            <x v="17"/>
          </reference>
          <reference field="7" count="1">
            <x v="32"/>
          </reference>
        </references>
      </pivotArea>
    </format>
    <format dxfId="1721">
      <pivotArea outline="0" collapsedLevelsAreSubtotals="1" fieldPosition="0">
        <references count="2">
          <reference field="5" count="1" selected="0">
            <x v="16"/>
          </reference>
          <reference field="7" count="1" selected="0">
            <x v="69"/>
          </reference>
        </references>
      </pivotArea>
    </format>
    <format dxfId="1722">
      <pivotArea outline="0" collapsedLevelsAreSubtotals="1" fieldPosition="0">
        <references count="2">
          <reference field="5" count="1" selected="0">
            <x v="17"/>
          </reference>
          <reference field="7" count="1" selected="0">
            <x v="32"/>
          </reference>
        </references>
      </pivotArea>
    </format>
    <format dxfId="1723">
      <pivotArea dataOnly="0" labelOnly="1" outline="0" fieldPosition="0">
        <references count="2">
          <reference field="5" count="1" selected="0">
            <x v="16"/>
          </reference>
          <reference field="7" count="1">
            <x v="69"/>
          </reference>
        </references>
      </pivotArea>
    </format>
    <format dxfId="1724">
      <pivotArea dataOnly="0" labelOnly="1" outline="0" fieldPosition="0">
        <references count="2">
          <reference field="5" count="1" selected="0">
            <x v="17"/>
          </reference>
          <reference field="7" count="1">
            <x v="32"/>
          </reference>
        </references>
      </pivotArea>
    </format>
    <format dxfId="1725">
      <pivotArea dataOnly="0" labelOnly="1" outline="0" fieldPosition="0">
        <references count="2">
          <reference field="5" count="1" selected="0">
            <x v="0"/>
          </reference>
          <reference field="7" count="1">
            <x v="41"/>
          </reference>
        </references>
      </pivotArea>
    </format>
    <format dxfId="1726">
      <pivotArea dataOnly="0" labelOnly="1" outline="0" fieldPosition="0">
        <references count="2">
          <reference field="5" count="1" selected="0">
            <x v="8"/>
          </reference>
          <reference field="7" count="0"/>
        </references>
      </pivotArea>
    </format>
    <format dxfId="1727">
      <pivotArea dataOnly="0" labelOnly="1" outline="0" fieldPosition="0">
        <references count="2">
          <reference field="5" count="1" selected="0">
            <x v="3"/>
          </reference>
          <reference field="7" count="1">
            <x v="16"/>
          </reference>
        </references>
      </pivotArea>
    </format>
    <format dxfId="1728">
      <pivotArea outline="0" collapsedLevelsAreSubtotals="1" fieldPosition="0">
        <references count="2">
          <reference field="5" count="1" selected="0">
            <x v="17"/>
          </reference>
          <reference field="7" count="1" selected="0">
            <x v="52"/>
          </reference>
        </references>
      </pivotArea>
    </format>
    <format dxfId="1729">
      <pivotArea dataOnly="0" labelOnly="1" outline="0" fieldPosition="0">
        <references count="2">
          <reference field="5" count="1" selected="0">
            <x v="17"/>
          </reference>
          <reference field="7" count="1">
            <x v="52"/>
          </reference>
        </references>
      </pivotArea>
    </format>
    <format dxfId="1730">
      <pivotArea outline="0" collapsedLevelsAreSubtotals="1" fieldPosition="0">
        <references count="2">
          <reference field="5" count="1" selected="0">
            <x v="4"/>
          </reference>
          <reference field="7" count="1" selected="0">
            <x v="1"/>
          </reference>
        </references>
      </pivotArea>
    </format>
    <format dxfId="1731">
      <pivotArea dataOnly="0" labelOnly="1" outline="0" fieldPosition="0">
        <references count="2">
          <reference field="5" count="1" selected="0">
            <x v="4"/>
          </reference>
          <reference field="7" count="1">
            <x v="1"/>
          </reference>
        </references>
      </pivotArea>
    </format>
    <format dxfId="1732">
      <pivotArea dataOnly="0" labelOnly="1" outline="0" fieldPosition="0">
        <references count="2">
          <reference field="5" count="1" selected="0">
            <x v="1"/>
          </reference>
          <reference field="7" count="1">
            <x v="59"/>
          </reference>
        </references>
      </pivotArea>
    </format>
    <format dxfId="1733">
      <pivotArea dataOnly="0" labelOnly="1" outline="0" fieldPosition="0">
        <references count="2">
          <reference field="5" count="1" selected="0">
            <x v="6"/>
          </reference>
          <reference field="7" count="1">
            <x v="55"/>
          </reference>
        </references>
      </pivotArea>
    </format>
    <format dxfId="1734">
      <pivotArea dataOnly="0" labelOnly="1" outline="0" fieldPosition="0">
        <references count="2">
          <reference field="5" count="1" selected="0">
            <x v="0"/>
          </reference>
          <reference field="7" count="1">
            <x v="51"/>
          </reference>
        </references>
      </pivotArea>
    </format>
    <format dxfId="1735">
      <pivotArea dataOnly="0" labelOnly="1" outline="0" fieldPosition="0">
        <references count="2">
          <reference field="5" count="1" selected="0">
            <x v="1"/>
          </reference>
          <reference field="7" count="1">
            <x v="61"/>
          </reference>
        </references>
      </pivotArea>
    </format>
    <format dxfId="1736">
      <pivotArea dataOnly="0" labelOnly="1" outline="0" fieldPosition="0">
        <references count="2">
          <reference field="5" count="1" selected="0">
            <x v="2"/>
          </reference>
          <reference field="7" count="1">
            <x v="67"/>
          </reference>
        </references>
      </pivotArea>
    </format>
    <format dxfId="1737">
      <pivotArea outline="0" collapsedLevelsAreSubtotals="1" fieldPosition="0">
        <references count="2">
          <reference field="5" count="1" selected="0">
            <x v="2"/>
          </reference>
          <reference field="7" count="1" selected="0">
            <x v="67"/>
          </reference>
        </references>
      </pivotArea>
    </format>
    <format dxfId="1738">
      <pivotArea dataOnly="0" labelOnly="1" outline="0" fieldPosition="0">
        <references count="2">
          <reference field="5" count="1" selected="0">
            <x v="2"/>
          </reference>
          <reference field="7" count="1">
            <x v="67"/>
          </reference>
        </references>
      </pivotArea>
    </format>
    <format dxfId="1739">
      <pivotArea outline="0" collapsedLevelsAreSubtotals="1" fieldPosition="0">
        <references count="3">
          <reference field="4294967294" count="5" selected="0">
            <x v="1"/>
            <x v="2"/>
            <x v="8"/>
            <x v="9"/>
            <x v="10"/>
          </reference>
          <reference field="5" count="10" selected="0">
            <x v="0"/>
            <x v="1"/>
            <x v="2"/>
            <x v="3"/>
            <x v="4"/>
            <x v="5"/>
            <x v="6"/>
            <x v="7"/>
            <x v="8"/>
            <x v="10"/>
          </reference>
          <reference field="7" count="49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4"/>
            <x v="15"/>
            <x v="16"/>
            <x v="17"/>
            <x v="18"/>
            <x v="19"/>
            <x v="20"/>
            <x v="21"/>
            <x v="28"/>
            <x v="29"/>
            <x v="33"/>
            <x v="35"/>
            <x v="36"/>
            <x v="37"/>
            <x v="38"/>
            <x v="40"/>
            <x v="41"/>
            <x v="42"/>
            <x v="45"/>
            <x v="46"/>
            <x v="51"/>
            <x v="53"/>
            <x v="55"/>
            <x v="56"/>
            <x v="57"/>
            <x v="58"/>
            <x v="59"/>
            <x v="60"/>
            <x v="61"/>
            <x v="62"/>
            <x v="63"/>
            <x v="65"/>
            <x v="67"/>
            <x v="68"/>
            <x v="71"/>
            <x v="73"/>
          </reference>
        </references>
      </pivotArea>
    </format>
    <format dxfId="1740">
      <pivotArea dataOnly="0" labelOnly="1" outline="0" fieldPosition="0">
        <references count="1">
          <reference field="4294967294" count="5">
            <x v="1"/>
            <x v="2"/>
            <x v="8"/>
            <x v="9"/>
            <x v="10"/>
          </reference>
        </references>
      </pivotArea>
    </format>
    <format dxfId="1741">
      <pivotArea outline="0" collapsedLevelsAreSubtotals="1" fieldPosition="0">
        <references count="2">
          <reference field="5" count="1" selected="0">
            <x v="0"/>
          </reference>
          <reference field="7" count="8" selected="0">
            <x v="33"/>
            <x v="37"/>
            <x v="40"/>
            <x v="41"/>
            <x v="51"/>
            <x v="65"/>
            <x v="68"/>
            <x v="73"/>
          </reference>
        </references>
      </pivotArea>
    </format>
    <format dxfId="1742">
      <pivotArea outline="0" collapsedLevelsAreSubtotals="1" fieldPosition="0">
        <references count="2">
          <reference field="5" count="14" selected="0">
            <x v="1"/>
            <x v="2"/>
            <x v="3"/>
            <x v="4"/>
            <x v="5"/>
            <x v="6"/>
            <x v="7"/>
            <x v="8"/>
            <x v="10"/>
            <x v="15"/>
            <x v="16"/>
            <x v="17"/>
            <x v="18"/>
            <x v="19"/>
          </reference>
          <reference field="7" count="49" selected="0">
            <x v="0"/>
            <x v="1"/>
            <x v="4"/>
            <x v="5"/>
            <x v="6"/>
            <x v="7"/>
            <x v="9"/>
            <x v="10"/>
            <x v="11"/>
            <x v="12"/>
            <x v="15"/>
            <x v="16"/>
            <x v="17"/>
            <x v="18"/>
            <x v="19"/>
            <x v="20"/>
            <x v="21"/>
            <x v="28"/>
            <x v="29"/>
            <x v="30"/>
            <x v="31"/>
            <x v="32"/>
            <x v="34"/>
            <x v="35"/>
            <x v="36"/>
            <x v="38"/>
            <x v="39"/>
            <x v="42"/>
            <x v="43"/>
            <x v="44"/>
            <x v="45"/>
            <x v="46"/>
            <x v="48"/>
            <x v="52"/>
            <x v="53"/>
            <x v="55"/>
            <x v="56"/>
            <x v="57"/>
            <x v="58"/>
            <x v="59"/>
            <x v="60"/>
            <x v="61"/>
            <x v="62"/>
            <x v="63"/>
            <x v="66"/>
            <x v="67"/>
            <x v="69"/>
            <x v="70"/>
            <x v="71"/>
          </reference>
        </references>
      </pivotArea>
    </format>
    <format dxfId="1743">
      <pivotArea dataOnly="0" labelOnly="1" outline="0" fieldPosition="0">
        <references count="2">
          <reference field="5" count="1" selected="0">
            <x v="0"/>
          </reference>
          <reference field="7" count="8">
            <x v="33"/>
            <x v="37"/>
            <x v="40"/>
            <x v="41"/>
            <x v="51"/>
            <x v="65"/>
            <x v="68"/>
            <x v="73"/>
          </reference>
        </references>
      </pivotArea>
    </format>
    <format dxfId="1744">
      <pivotArea dataOnly="0" labelOnly="1" outline="0" fieldPosition="0">
        <references count="2">
          <reference field="5" count="1" selected="0">
            <x v="1"/>
          </reference>
          <reference field="7" count="5">
            <x v="9"/>
            <x v="53"/>
            <x v="59"/>
            <x v="60"/>
            <x v="61"/>
          </reference>
        </references>
      </pivotArea>
    </format>
    <format dxfId="1745">
      <pivotArea dataOnly="0" labelOnly="1" outline="0" fieldPosition="0">
        <references count="2">
          <reference field="5" count="1" selected="0">
            <x v="2"/>
          </reference>
          <reference field="7" count="6">
            <x v="6"/>
            <x v="7"/>
            <x v="15"/>
            <x v="19"/>
            <x v="20"/>
            <x v="67"/>
          </reference>
        </references>
      </pivotArea>
    </format>
    <format dxfId="1746">
      <pivotArea dataOnly="0" labelOnly="1" outline="0" fieldPosition="0">
        <references count="2">
          <reference field="5" count="1" selected="0">
            <x v="3"/>
          </reference>
          <reference field="7" count="2">
            <x v="4"/>
            <x v="16"/>
          </reference>
        </references>
      </pivotArea>
    </format>
    <format dxfId="1747">
      <pivotArea dataOnly="0" labelOnly="1" outline="0" fieldPosition="0">
        <references count="2">
          <reference field="5" count="1" selected="0">
            <x v="4"/>
          </reference>
          <reference field="7" count="9">
            <x v="0"/>
            <x v="1"/>
            <x v="5"/>
            <x v="17"/>
            <x v="28"/>
            <x v="35"/>
            <x v="38"/>
            <x v="45"/>
            <x v="57"/>
          </reference>
        </references>
      </pivotArea>
    </format>
    <format dxfId="1748">
      <pivotArea dataOnly="0" labelOnly="1" outline="0" fieldPosition="0">
        <references count="2">
          <reference field="5" count="1" selected="0">
            <x v="5"/>
          </reference>
          <reference field="7" count="4">
            <x v="18"/>
            <x v="21"/>
            <x v="36"/>
            <x v="63"/>
          </reference>
        </references>
      </pivotArea>
    </format>
    <format dxfId="1749">
      <pivotArea dataOnly="0" labelOnly="1" outline="0" fieldPosition="0">
        <references count="2">
          <reference field="5" count="1" selected="0">
            <x v="6"/>
          </reference>
          <reference field="7" count="5">
            <x v="11"/>
            <x v="42"/>
            <x v="55"/>
            <x v="56"/>
            <x v="71"/>
          </reference>
        </references>
      </pivotArea>
    </format>
    <format dxfId="1750">
      <pivotArea dataOnly="0" labelOnly="1" outline="0" fieldPosition="0">
        <references count="2">
          <reference field="5" count="1" selected="0">
            <x v="7"/>
          </reference>
          <reference field="7" count="2">
            <x v="12"/>
            <x v="58"/>
          </reference>
        </references>
      </pivotArea>
    </format>
    <format dxfId="1751">
      <pivotArea dataOnly="0" labelOnly="1" outline="0" fieldPosition="0">
        <references count="2">
          <reference field="5" count="1" selected="0">
            <x v="8"/>
          </reference>
          <reference field="7" count="1">
            <x v="10"/>
          </reference>
        </references>
      </pivotArea>
    </format>
    <format dxfId="1752">
      <pivotArea dataOnly="0" labelOnly="1" outline="0" fieldPosition="0">
        <references count="2">
          <reference field="5" count="1" selected="0">
            <x v="10"/>
          </reference>
          <reference field="7" count="3">
            <x v="29"/>
            <x v="46"/>
            <x v="62"/>
          </reference>
        </references>
      </pivotArea>
    </format>
    <format dxfId="1753">
      <pivotArea dataOnly="0" labelOnly="1" outline="0" fieldPosition="0">
        <references count="2">
          <reference field="5" count="1" selected="0">
            <x v="15"/>
          </reference>
          <reference field="7" count="1">
            <x v="30"/>
          </reference>
        </references>
      </pivotArea>
    </format>
    <format dxfId="1754">
      <pivotArea dataOnly="0" labelOnly="1" outline="0" fieldPosition="0">
        <references count="2">
          <reference field="5" count="1" selected="0">
            <x v="16"/>
          </reference>
          <reference field="7" count="4">
            <x v="31"/>
            <x v="43"/>
            <x v="66"/>
            <x v="69"/>
          </reference>
        </references>
      </pivotArea>
    </format>
    <format dxfId="1755">
      <pivotArea dataOnly="0" labelOnly="1" outline="0" fieldPosition="0">
        <references count="2">
          <reference field="5" count="1" selected="0">
            <x v="17"/>
          </reference>
          <reference field="7" count="5">
            <x v="32"/>
            <x v="34"/>
            <x v="48"/>
            <x v="52"/>
            <x v="70"/>
          </reference>
        </references>
      </pivotArea>
    </format>
    <format dxfId="1756">
      <pivotArea dataOnly="0" labelOnly="1" outline="0" fieldPosition="0">
        <references count="2">
          <reference field="5" count="1" selected="0">
            <x v="18"/>
          </reference>
          <reference field="7" count="1">
            <x v="39"/>
          </reference>
        </references>
      </pivotArea>
    </format>
    <format dxfId="1757">
      <pivotArea dataOnly="0" labelOnly="1" outline="0" fieldPosition="0">
        <references count="2">
          <reference field="5" count="1" selected="0">
            <x v="19"/>
          </reference>
          <reference field="7" count="1">
            <x v="44"/>
          </reference>
        </references>
      </pivotArea>
    </format>
    <format dxfId="1758">
      <pivotArea outline="0" collapsedLevelsAreSubtotals="1" fieldPosition="0">
        <references count="2">
          <reference field="5" count="1" selected="0">
            <x v="0"/>
          </reference>
          <reference field="7" count="1" selected="0">
            <x v="40"/>
          </reference>
        </references>
      </pivotArea>
    </format>
    <format dxfId="1759">
      <pivotArea dataOnly="0" labelOnly="1" outline="0" fieldPosition="0">
        <references count="2">
          <reference field="5" count="1" selected="0">
            <x v="0"/>
          </reference>
          <reference field="7" count="1">
            <x v="40"/>
          </reference>
        </references>
      </pivotArea>
    </format>
    <format dxfId="1760">
      <pivotArea outline="0" collapsedLevelsAreSubtotals="1" fieldPosition="0">
        <references count="2">
          <reference field="5" count="1" selected="0">
            <x v="5"/>
          </reference>
          <reference field="7" count="1" selected="0">
            <x v="63"/>
          </reference>
        </references>
      </pivotArea>
    </format>
    <format dxfId="1761">
      <pivotArea dataOnly="0" labelOnly="1" outline="0" fieldPosition="0">
        <references count="2">
          <reference field="5" count="1" selected="0">
            <x v="5"/>
          </reference>
          <reference field="7" count="1">
            <x v="63"/>
          </reference>
        </references>
      </pivotArea>
    </format>
    <format dxfId="1762">
      <pivotArea outline="0" collapsedLevelsAreSubtotals="1" fieldPosition="0">
        <references count="2">
          <reference field="5" count="1" selected="0">
            <x v="5"/>
          </reference>
          <reference field="7" count="1" selected="0">
            <x v="63"/>
          </reference>
        </references>
      </pivotArea>
    </format>
    <format dxfId="1763">
      <pivotArea dataOnly="0" labelOnly="1" outline="0" fieldPosition="0">
        <references count="2">
          <reference field="5" count="1" selected="0">
            <x v="5"/>
          </reference>
          <reference field="7" count="1">
            <x v="63"/>
          </reference>
        </references>
      </pivotArea>
    </format>
    <format dxfId="1764">
      <pivotArea outline="0" collapsedLevelsAreSubtotals="1" fieldPosition="0">
        <references count="2">
          <reference field="5" count="1" selected="0">
            <x v="10"/>
          </reference>
          <reference field="7" count="1" selected="0">
            <x v="62"/>
          </reference>
        </references>
      </pivotArea>
    </format>
    <format dxfId="1765">
      <pivotArea dataOnly="0" labelOnly="1" outline="0" fieldPosition="0">
        <references count="2">
          <reference field="5" count="1" selected="0">
            <x v="10"/>
          </reference>
          <reference field="7" count="1">
            <x v="62"/>
          </reference>
        </references>
      </pivotArea>
    </format>
    <format dxfId="1766">
      <pivotArea outline="0" collapsedLevelsAreSubtotals="1" fieldPosition="0">
        <references count="2">
          <reference field="5" count="1" selected="0">
            <x v="0"/>
          </reference>
          <reference field="7" count="9" selected="0">
            <x v="14"/>
            <x v="33"/>
            <x v="37"/>
            <x v="40"/>
            <x v="41"/>
            <x v="51"/>
            <x v="65"/>
            <x v="68"/>
            <x v="73"/>
          </reference>
        </references>
      </pivotArea>
    </format>
    <format dxfId="1767">
      <pivotArea outline="0" collapsedLevelsAreSubtotals="1" fieldPosition="0">
        <references count="2">
          <reference field="5" count="11" selected="0">
            <x v="1"/>
            <x v="2"/>
            <x v="3"/>
            <x v="4"/>
            <x v="5"/>
            <x v="6"/>
            <x v="7"/>
            <x v="8"/>
            <x v="10"/>
            <x v="15"/>
            <x v="16"/>
          </reference>
          <reference field="7" count="42" selected="0">
            <x v="0"/>
            <x v="1"/>
            <x v="4"/>
            <x v="5"/>
            <x v="6"/>
            <x v="7"/>
            <x v="9"/>
            <x v="10"/>
            <x v="11"/>
            <x v="12"/>
            <x v="15"/>
            <x v="16"/>
            <x v="17"/>
            <x v="18"/>
            <x v="19"/>
            <x v="20"/>
            <x v="21"/>
            <x v="28"/>
            <x v="29"/>
            <x v="30"/>
            <x v="31"/>
            <x v="35"/>
            <x v="36"/>
            <x v="38"/>
            <x v="42"/>
            <x v="43"/>
            <x v="45"/>
            <x v="46"/>
            <x v="53"/>
            <x v="55"/>
            <x v="56"/>
            <x v="57"/>
            <x v="58"/>
            <x v="59"/>
            <x v="60"/>
            <x v="61"/>
            <x v="62"/>
            <x v="63"/>
            <x v="66"/>
            <x v="67"/>
            <x v="69"/>
            <x v="71"/>
          </reference>
        </references>
      </pivotArea>
    </format>
    <format dxfId="1768">
      <pivotArea outline="0" collapsedLevelsAreSubtotals="1" fieldPosition="0">
        <references count="2">
          <reference field="5" count="1" selected="0">
            <x v="17"/>
          </reference>
          <reference field="7" count="2" selected="0">
            <x v="32"/>
            <x v="34"/>
          </reference>
        </references>
      </pivotArea>
    </format>
    <format dxfId="1769">
      <pivotArea dataOnly="0" labelOnly="1" outline="0" fieldPosition="0">
        <references count="2">
          <reference field="5" count="1" selected="0">
            <x v="0"/>
          </reference>
          <reference field="7" count="9">
            <x v="14"/>
            <x v="33"/>
            <x v="37"/>
            <x v="40"/>
            <x v="41"/>
            <x v="51"/>
            <x v="65"/>
            <x v="68"/>
            <x v="73"/>
          </reference>
        </references>
      </pivotArea>
    </format>
    <format dxfId="1770">
      <pivotArea dataOnly="0" labelOnly="1" outline="0" fieldPosition="0">
        <references count="2">
          <reference field="5" count="1" selected="0">
            <x v="1"/>
          </reference>
          <reference field="7" count="5">
            <x v="9"/>
            <x v="53"/>
            <x v="59"/>
            <x v="60"/>
            <x v="61"/>
          </reference>
        </references>
      </pivotArea>
    </format>
    <format dxfId="1771">
      <pivotArea dataOnly="0" labelOnly="1" outline="0" fieldPosition="0">
        <references count="2">
          <reference field="5" count="1" selected="0">
            <x v="2"/>
          </reference>
          <reference field="7" count="6">
            <x v="6"/>
            <x v="7"/>
            <x v="15"/>
            <x v="19"/>
            <x v="20"/>
            <x v="67"/>
          </reference>
        </references>
      </pivotArea>
    </format>
    <format dxfId="1772">
      <pivotArea dataOnly="0" labelOnly="1" outline="0" fieldPosition="0">
        <references count="2">
          <reference field="5" count="1" selected="0">
            <x v="3"/>
          </reference>
          <reference field="7" count="2">
            <x v="4"/>
            <x v="16"/>
          </reference>
        </references>
      </pivotArea>
    </format>
    <format dxfId="1773">
      <pivotArea dataOnly="0" labelOnly="1" outline="0" fieldPosition="0">
        <references count="2">
          <reference field="5" count="1" selected="0">
            <x v="4"/>
          </reference>
          <reference field="7" count="9">
            <x v="0"/>
            <x v="1"/>
            <x v="5"/>
            <x v="17"/>
            <x v="28"/>
            <x v="35"/>
            <x v="38"/>
            <x v="45"/>
            <x v="57"/>
          </reference>
        </references>
      </pivotArea>
    </format>
    <format dxfId="1774">
      <pivotArea dataOnly="0" labelOnly="1" outline="0" fieldPosition="0">
        <references count="2">
          <reference field="5" count="1" selected="0">
            <x v="5"/>
          </reference>
          <reference field="7" count="4">
            <x v="18"/>
            <x v="21"/>
            <x v="36"/>
            <x v="63"/>
          </reference>
        </references>
      </pivotArea>
    </format>
    <format dxfId="1775">
      <pivotArea dataOnly="0" labelOnly="1" outline="0" fieldPosition="0">
        <references count="2">
          <reference field="5" count="1" selected="0">
            <x v="6"/>
          </reference>
          <reference field="7" count="5">
            <x v="11"/>
            <x v="42"/>
            <x v="55"/>
            <x v="56"/>
            <x v="71"/>
          </reference>
        </references>
      </pivotArea>
    </format>
    <format dxfId="1776">
      <pivotArea dataOnly="0" labelOnly="1" outline="0" fieldPosition="0">
        <references count="2">
          <reference field="5" count="1" selected="0">
            <x v="7"/>
          </reference>
          <reference field="7" count="2">
            <x v="12"/>
            <x v="58"/>
          </reference>
        </references>
      </pivotArea>
    </format>
    <format dxfId="1777">
      <pivotArea dataOnly="0" labelOnly="1" outline="0" fieldPosition="0">
        <references count="2">
          <reference field="5" count="1" selected="0">
            <x v="8"/>
          </reference>
          <reference field="7" count="1">
            <x v="10"/>
          </reference>
        </references>
      </pivotArea>
    </format>
    <format dxfId="1778">
      <pivotArea dataOnly="0" labelOnly="1" outline="0" fieldPosition="0">
        <references count="2">
          <reference field="5" count="1" selected="0">
            <x v="10"/>
          </reference>
          <reference field="7" count="3">
            <x v="29"/>
            <x v="46"/>
            <x v="62"/>
          </reference>
        </references>
      </pivotArea>
    </format>
    <format dxfId="1779">
      <pivotArea dataOnly="0" labelOnly="1" outline="0" fieldPosition="0">
        <references count="2">
          <reference field="5" count="1" selected="0">
            <x v="15"/>
          </reference>
          <reference field="7" count="1">
            <x v="30"/>
          </reference>
        </references>
      </pivotArea>
    </format>
    <format dxfId="1780">
      <pivotArea dataOnly="0" labelOnly="1" outline="0" fieldPosition="0">
        <references count="2">
          <reference field="5" count="1" selected="0">
            <x v="16"/>
          </reference>
          <reference field="7" count="4">
            <x v="31"/>
            <x v="43"/>
            <x v="66"/>
            <x v="69"/>
          </reference>
        </references>
      </pivotArea>
    </format>
    <format dxfId="1781">
      <pivotArea dataOnly="0" labelOnly="1" outline="0" fieldPosition="0">
        <references count="2">
          <reference field="5" count="1" selected="0">
            <x v="17"/>
          </reference>
          <reference field="7" count="2">
            <x v="32"/>
            <x v="34"/>
          </reference>
        </references>
      </pivotArea>
    </format>
    <format dxfId="1782">
      <pivotArea outline="0" collapsedLevelsAreSubtotals="1" fieldPosition="0">
        <references count="2">
          <reference field="5" count="1" selected="0">
            <x v="4"/>
          </reference>
          <reference field="7" count="1" selected="0">
            <x v="74"/>
          </reference>
        </references>
      </pivotArea>
    </format>
    <format dxfId="1783">
      <pivotArea dataOnly="0" labelOnly="1" outline="0" fieldPosition="0">
        <references count="2">
          <reference field="5" count="1" selected="0">
            <x v="4"/>
          </reference>
          <reference field="7" count="1">
            <x v="74"/>
          </reference>
        </references>
      </pivotArea>
    </format>
    <format dxfId="1784">
      <pivotArea outline="0" collapsedLevelsAreSubtotals="1" fieldPosition="0">
        <references count="2">
          <reference field="5" count="1" selected="0">
            <x v="4"/>
          </reference>
          <reference field="7" count="1" selected="0">
            <x v="17"/>
          </reference>
        </references>
      </pivotArea>
    </format>
    <format dxfId="1785">
      <pivotArea dataOnly="0" labelOnly="1" outline="0" fieldPosition="0">
        <references count="2">
          <reference field="5" count="1" selected="0">
            <x v="4"/>
          </reference>
          <reference field="7" count="1">
            <x v="17"/>
          </reference>
        </references>
      </pivotArea>
    </format>
    <format dxfId="1786">
      <pivotArea outline="0" collapsedLevelsAreSubtotals="1" fieldPosition="0">
        <references count="2">
          <reference field="5" count="1" selected="0">
            <x v="4"/>
          </reference>
          <reference field="7" count="1" selected="0">
            <x v="17"/>
          </reference>
        </references>
      </pivotArea>
    </format>
    <format dxfId="1787">
      <pivotArea dataOnly="0" labelOnly="1" outline="0" fieldPosition="0">
        <references count="2">
          <reference field="5" count="1" selected="0">
            <x v="4"/>
          </reference>
          <reference field="7" count="1">
            <x v="17"/>
          </reference>
        </references>
      </pivotArea>
    </format>
    <format dxfId="1788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789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790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791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792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793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794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795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796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797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798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799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800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801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802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803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804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805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806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807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808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809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810">
      <pivotArea grandRow="1" outline="0" collapsedLevelsAreSubtotals="1" fieldPosition="0"/>
    </format>
    <format dxfId="1811">
      <pivotArea dataOnly="0" labelOnly="1" grandRow="1" outline="0" fieldPosition="0"/>
    </format>
    <format dxfId="1812">
      <pivotArea grandRow="1" outline="0" collapsedLevelsAreSubtotals="1" fieldPosition="0"/>
    </format>
    <format dxfId="1813">
      <pivotArea dataOnly="0" labelOnly="1" grandRow="1" outline="0" fieldPosition="0"/>
    </format>
    <format dxfId="181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1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1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1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1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1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2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2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2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2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2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2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26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1827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1828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1829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1830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1831">
      <pivotArea outline="0" collapsedLevelsAreSubtotals="1" fieldPosition="0">
        <references count="3">
          <reference field="4294967294" count="1" selected="0">
            <x v="7"/>
          </reference>
          <reference field="5" count="1" selected="0">
            <x v="20"/>
          </reference>
          <reference field="7" count="1" selected="0">
            <x v="47"/>
          </reference>
        </references>
      </pivotArea>
    </format>
    <format dxfId="1832">
      <pivotArea outline="0" collapsedLevelsAreSubtotals="1" fieldPosition="0">
        <references count="3">
          <reference field="4294967294" count="1" selected="0">
            <x v="7"/>
          </reference>
          <reference field="5" count="1" selected="0">
            <x v="20"/>
          </reference>
          <reference field="7" count="1" selected="0">
            <x v="47"/>
          </reference>
        </references>
      </pivotArea>
    </format>
    <format dxfId="1833">
      <pivotArea outline="0" collapsedLevelsAreSubtotals="1" fieldPosition="0">
        <references count="3">
          <reference field="4294967294" count="1" selected="0">
            <x v="7"/>
          </reference>
          <reference field="5" count="1" selected="0">
            <x v="20"/>
          </reference>
          <reference field="7" count="1" selected="0">
            <x v="47"/>
          </reference>
        </references>
      </pivotArea>
    </format>
    <format dxfId="1834">
      <pivotArea outline="0" collapsedLevelsAreSubtotals="1" fieldPosition="0">
        <references count="3">
          <reference field="4294967294" count="1" selected="0">
            <x v="7"/>
          </reference>
          <reference field="5" count="1" selected="0">
            <x v="20"/>
          </reference>
          <reference field="7" count="1" selected="0">
            <x v="47"/>
          </reference>
        </references>
      </pivotArea>
    </format>
    <format dxfId="1835">
      <pivotArea outline="0" collapsedLevelsAreSubtotals="1" fieldPosition="0">
        <references count="2">
          <reference field="5" count="1" selected="0">
            <x v="7"/>
          </reference>
          <reference field="7" count="0" selected="0"/>
        </references>
      </pivotArea>
    </format>
    <format dxfId="1836">
      <pivotArea outline="0" collapsedLevelsAreSubtotals="1" fieldPosition="0">
        <references count="2">
          <reference field="5" count="1" selected="0">
            <x v="21"/>
          </reference>
          <reference field="7" count="1" selected="0">
            <x v="49"/>
          </reference>
        </references>
      </pivotArea>
    </format>
    <format dxfId="1837">
      <pivotArea dataOnly="0" labelOnly="1" outline="0" fieldPosition="0">
        <references count="2">
          <reference field="5" count="1" selected="0">
            <x v="21"/>
          </reference>
          <reference field="7" count="1">
            <x v="49"/>
          </reference>
        </references>
      </pivotArea>
    </format>
    <format dxfId="1838">
      <pivotArea outline="0" collapsedLevelsAreSubtotals="1" fieldPosition="0">
        <references count="3">
          <reference field="4294967294" count="1" selected="0">
            <x v="11"/>
          </reference>
          <reference field="5" count="1" selected="0">
            <x v="20"/>
          </reference>
          <reference field="7" count="0" selected="0"/>
        </references>
      </pivotArea>
    </format>
    <format dxfId="1839">
      <pivotArea outline="0" collapsedLevelsAreSubtotals="1" fieldPosition="0">
        <references count="2">
          <reference field="5" count="1" selected="0">
            <x v="7"/>
          </reference>
          <reference field="7" count="2" selected="0">
            <x v="12"/>
            <x v="58"/>
          </reference>
        </references>
      </pivotArea>
    </format>
    <format dxfId="1545">
      <pivotArea outline="0" fieldPosition="0">
        <references count="2">
          <reference field="5" count="1" selected="0">
            <x v="7"/>
          </reference>
          <reference field="7" count="1" selected="0">
            <x v="58"/>
          </reference>
        </references>
      </pivotArea>
    </format>
    <format dxfId="1544">
      <pivotArea dataOnly="0" labelOnly="1" outline="0" offset="IV256" fieldPosition="0">
        <references count="1">
          <reference field="5" count="1">
            <x v="7"/>
          </reference>
        </references>
      </pivotArea>
    </format>
    <format dxfId="1543">
      <pivotArea dataOnly="0" labelOnly="1" outline="0" fieldPosition="0">
        <references count="2">
          <reference field="5" count="1" selected="0">
            <x v="7"/>
          </reference>
          <reference field="7" count="1">
            <x v="58"/>
          </reference>
        </references>
      </pivotArea>
    </format>
    <format dxfId="302">
      <pivotArea outline="0" fieldPosition="0">
        <references count="3">
          <reference field="4294967294" count="1" selected="0">
            <x v="4"/>
          </reference>
          <reference field="5" count="1" selected="0">
            <x v="7"/>
          </reference>
          <reference field="7" count="1" selected="0">
            <x v="58"/>
          </reference>
        </references>
      </pivotArea>
    </format>
    <format dxfId="146">
      <pivotArea outline="0" fieldPosition="0">
        <references count="3">
          <reference field="4294967294" count="1" selected="0">
            <x v="5"/>
          </reference>
          <reference field="5" count="0" selected="0"/>
          <reference field="7" count="0" selected="0"/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2" cacheId="8" applyNumberFormats="0" applyBorderFormats="0" applyFontFormats="0" applyPatternFormats="0" applyAlignmentFormats="0" applyWidthHeightFormats="1" dataCaption="Valores" updatedVersion="7" minRefreshableVersion="3" itemPrintTitles="1" createdVersion="6" indent="0" compact="0" compactData="0" multipleFieldFilters="0">
  <location ref="A11:L12" firstHeaderRow="0" firstDataRow="1" firstDataCol="2" rowPageCount="3" colPageCount="1"/>
  <pivotFields count="42">
    <pivotField compact="0" outline="0" showAll="0"/>
    <pivotField compact="0" outline="0" showAll="0"/>
    <pivotField axis="axisPage" compact="0" numFmtId="1" outline="0" multipleItemSelectionAllowed="1" showAll="0">
      <items count="51">
        <item m="1" x="47"/>
        <item m="1" x="7"/>
        <item m="1" x="31"/>
        <item m="1" x="29"/>
        <item m="1" x="8"/>
        <item m="1" x="34"/>
        <item m="1" x="10"/>
        <item m="1" x="36"/>
        <item m="1" x="12"/>
        <item m="1" x="39"/>
        <item m="1" x="15"/>
        <item m="1" x="41"/>
        <item m="1" x="17"/>
        <item m="1" x="25"/>
        <item m="1" x="44"/>
        <item m="1" x="19"/>
        <item m="1" x="46"/>
        <item m="1" x="11"/>
        <item m="1" x="27"/>
        <item m="1" x="48"/>
        <item m="1" x="5"/>
        <item m="1" x="13"/>
        <item m="1" x="20"/>
        <item m="1" x="28"/>
        <item m="1" x="33"/>
        <item m="1" x="38"/>
        <item m="1" x="43"/>
        <item m="1" x="3"/>
        <item m="1" x="6"/>
        <item m="1" x="9"/>
        <item m="1" x="14"/>
        <item m="1" x="16"/>
        <item m="1" x="18"/>
        <item x="0"/>
        <item x="1"/>
        <item m="1" x="22"/>
        <item m="1" x="24"/>
        <item m="1" x="26"/>
        <item m="1" x="30"/>
        <item m="1" x="32"/>
        <item m="1" x="35"/>
        <item m="1" x="37"/>
        <item m="1" x="40"/>
        <item m="1" x="42"/>
        <item m="1" x="45"/>
        <item m="1" x="49"/>
        <item m="1" x="21"/>
        <item m="1" x="2"/>
        <item m="1" x="23"/>
        <item m="1" x="4"/>
        <item t="default"/>
      </items>
    </pivotField>
    <pivotField compact="0" outline="0" showAll="0"/>
    <pivotField axis="axisPage" compact="0" outline="0" multipleItemSelectionAllowed="1" showAll="0">
      <items count="5">
        <item x="1"/>
        <item h="1" x="0"/>
        <item h="1" x="2"/>
        <item h="1" x="3"/>
        <item t="default"/>
      </items>
    </pivotField>
    <pivotField axis="axisRow" compact="0" outline="0" showAll="0" defaultSubtotal="0">
      <items count="25">
        <item x="13"/>
        <item x="3"/>
        <item x="2"/>
        <item x="1"/>
        <item x="0"/>
        <item x="8"/>
        <item x="5"/>
        <item x="6"/>
        <item x="4"/>
        <item m="1" x="21"/>
        <item x="9"/>
        <item m="1" x="19"/>
        <item m="1" x="22"/>
        <item m="1" x="20"/>
        <item m="1" x="24"/>
        <item x="11"/>
        <item x="10"/>
        <item x="12"/>
        <item m="1" x="23"/>
        <item x="14"/>
        <item x="15"/>
        <item x="16"/>
        <item x="17"/>
        <item x="7"/>
        <item x="18"/>
      </items>
    </pivotField>
    <pivotField compact="0" outline="0" showAll="0"/>
    <pivotField axis="axisRow" compact="0" outline="0" showAll="0">
      <items count="111">
        <item x="0"/>
        <item m="1" x="71"/>
        <item m="1" x="72"/>
        <item m="1" x="100"/>
        <item x="1"/>
        <item m="1" x="62"/>
        <item x="3"/>
        <item x="4"/>
        <item m="1" x="92"/>
        <item x="5"/>
        <item x="6"/>
        <item x="7"/>
        <item x="8"/>
        <item m="1" x="91"/>
        <item m="1" x="103"/>
        <item x="10"/>
        <item m="1" x="88"/>
        <item x="11"/>
        <item x="12"/>
        <item x="16"/>
        <item m="1" x="94"/>
        <item x="21"/>
        <item m="1" x="105"/>
        <item m="1" x="93"/>
        <item m="1" x="108"/>
        <item m="1" x="95"/>
        <item m="1" x="66"/>
        <item m="1" x="63"/>
        <item m="1" x="75"/>
        <item x="17"/>
        <item x="20"/>
        <item m="1" x="83"/>
        <item x="23"/>
        <item x="24"/>
        <item m="1" x="102"/>
        <item x="25"/>
        <item x="26"/>
        <item x="27"/>
        <item m="1" x="99"/>
        <item m="1" x="59"/>
        <item m="1" x="86"/>
        <item m="1" x="97"/>
        <item x="32"/>
        <item x="33"/>
        <item x="35"/>
        <item x="36"/>
        <item x="37"/>
        <item x="39"/>
        <item x="40"/>
        <item x="41"/>
        <item x="42"/>
        <item m="1" x="104"/>
        <item m="1" x="84"/>
        <item x="44"/>
        <item m="1" x="77"/>
        <item m="1" x="101"/>
        <item m="1" x="67"/>
        <item x="47"/>
        <item x="48"/>
        <item x="49"/>
        <item x="50"/>
        <item x="52"/>
        <item m="1" x="90"/>
        <item x="53"/>
        <item x="54"/>
        <item m="1" x="78"/>
        <item x="19"/>
        <item m="1" x="96"/>
        <item m="1" x="89"/>
        <item x="30"/>
        <item x="38"/>
        <item x="55"/>
        <item m="1" x="68"/>
        <item m="1" x="61"/>
        <item m="1" x="107"/>
        <item m="1" x="60"/>
        <item m="1" x="70"/>
        <item x="2"/>
        <item m="1" x="81"/>
        <item m="1" x="73"/>
        <item m="1" x="98"/>
        <item m="1" x="87"/>
        <item m="1" x="109"/>
        <item x="13"/>
        <item m="1" x="64"/>
        <item m="1" x="106"/>
        <item m="1" x="82"/>
        <item m="1" x="76"/>
        <item m="1" x="79"/>
        <item m="1" x="80"/>
        <item m="1" x="69"/>
        <item x="45"/>
        <item m="1" x="85"/>
        <item x="51"/>
        <item m="1" x="65"/>
        <item m="1" x="74"/>
        <item x="9"/>
        <item x="14"/>
        <item x="15"/>
        <item x="18"/>
        <item x="22"/>
        <item x="28"/>
        <item x="29"/>
        <item x="31"/>
        <item x="34"/>
        <item x="43"/>
        <item x="46"/>
        <item x="56"/>
        <item x="57"/>
        <item x="58"/>
        <item t="default"/>
      </items>
    </pivotField>
    <pivotField axis="axisPage" compact="0" numFmtId="14" outline="0" multipleItemSelectionAllowed="1" showAll="0">
      <items count="240">
        <item h="1" m="1" x="185"/>
        <item h="1" m="1" x="126"/>
        <item h="1" m="1" x="8"/>
        <item h="1" m="1" x="180"/>
        <item h="1" m="1" x="120"/>
        <item h="1" m="1" x="61"/>
        <item h="1" m="1" x="234"/>
        <item h="1" m="1" x="174"/>
        <item h="1" m="1" x="114"/>
        <item h="1" m="1" x="55"/>
        <item h="1" m="1" x="228"/>
        <item h="1" m="1" x="168"/>
        <item h="1" m="1" x="109"/>
        <item h="1" m="1" x="51"/>
        <item h="1" m="1" x="224"/>
        <item h="1" m="1" x="164"/>
        <item h="1" m="1" x="123"/>
        <item h="1" m="1" x="64"/>
        <item h="1" m="1" x="237"/>
        <item h="1" m="1" x="177"/>
        <item h="1" m="1" x="117"/>
        <item h="1" m="1" x="58"/>
        <item h="1" m="1" x="231"/>
        <item h="1" m="1" x="171"/>
        <item h="1" m="1" x="112"/>
        <item h="1" m="1" x="53"/>
        <item h="1" m="1" x="226"/>
        <item h="1" m="1" x="166"/>
        <item h="1" m="1" x="107"/>
        <item h="1" m="1" x="49"/>
        <item h="1" m="1" x="222"/>
        <item h="1" m="1" x="162"/>
        <item h="1" m="1" x="104"/>
        <item h="1" m="1" x="45"/>
        <item h="1" m="1" x="218"/>
        <item h="1" m="1" x="157"/>
        <item m="1" x="99"/>
        <item m="1" x="40"/>
        <item m="1" x="213"/>
        <item m="1" x="153"/>
        <item m="1" x="95"/>
        <item m="1" x="36"/>
        <item h="1" m="1" x="209"/>
        <item h="1" m="1" x="149"/>
        <item h="1" m="1" x="90"/>
        <item h="1" m="1" x="159"/>
        <item h="1" m="1" x="101"/>
        <item h="1" m="1" x="42"/>
        <item h="1" m="1" x="215"/>
        <item h="1" m="1" x="155"/>
        <item h="1" m="1" x="97"/>
        <item h="1" m="1" x="38"/>
        <item h="1" m="1" x="211"/>
        <item h="1" m="1" x="151"/>
        <item h="1" m="1" x="93"/>
        <item h="1" m="1" x="34"/>
        <item h="1" m="1" x="206"/>
        <item h="1" m="1" x="147"/>
        <item h="1" m="1" x="88"/>
        <item h="1" m="1" x="31"/>
        <item h="1" m="1" x="23"/>
        <item h="1" m="1" x="195"/>
        <item h="1" m="1" x="136"/>
        <item h="1" m="1" x="76"/>
        <item m="1" x="19"/>
        <item m="1" x="191"/>
        <item m="1" x="133"/>
        <item m="1" x="73"/>
        <item m="1" x="16"/>
        <item m="1" x="201"/>
        <item m="1" x="142"/>
        <item h="1" m="1" x="82"/>
        <item h="1" m="1" x="25"/>
        <item h="1" m="1" x="197"/>
        <item h="1" m="1" x="138"/>
        <item h="1" m="1" x="78"/>
        <item h="1" m="1" x="21"/>
        <item h="1" m="1" x="193"/>
        <item h="1" m="1" x="134"/>
        <item h="1" m="1" x="74"/>
        <item h="1" m="1" x="17"/>
        <item h="1" m="1" x="189"/>
        <item h="1" m="1" x="131"/>
        <item h="1" m="1" x="71"/>
        <item h="1" m="1" x="14"/>
        <item h="1" m="1" x="187"/>
        <item h="1" m="1" x="128"/>
        <item h="1" m="1" x="68"/>
        <item h="1" m="1" x="10"/>
        <item h="1" m="1" x="182"/>
        <item h="1" m="1" x="122"/>
        <item h="1" m="1" x="63"/>
        <item h="1" m="1" x="236"/>
        <item h="1" m="1" x="176"/>
        <item h="1" m="1" x="116"/>
        <item h="1" m="1" x="57"/>
        <item h="1" m="1" x="230"/>
        <item h="1" m="1" x="170"/>
        <item h="1" m="1" x="111"/>
        <item m="1" x="12"/>
        <item m="1" x="184"/>
        <item m="1" x="125"/>
        <item m="1" x="66"/>
        <item m="1" x="7"/>
        <item m="1" x="179"/>
        <item m="1" x="119"/>
        <item m="1" x="60"/>
        <item m="1" x="233"/>
        <item m="1" x="173"/>
        <item m="1" x="113"/>
        <item m="1" x="54"/>
        <item m="1" x="227"/>
        <item m="1" x="167"/>
        <item m="1" x="108"/>
        <item m="1" x="50"/>
        <item m="1" x="223"/>
        <item m="1" x="163"/>
        <item m="1" x="105"/>
        <item m="1" x="46"/>
        <item m="1" x="219"/>
        <item m="1" x="158"/>
        <item m="1" x="100"/>
        <item m="1" x="41"/>
        <item m="1" x="214"/>
        <item m="1" x="154"/>
        <item m="1" x="96"/>
        <item m="1" x="37"/>
        <item m="1" x="210"/>
        <item m="1" x="150"/>
        <item m="1" x="92"/>
        <item m="1" x="48"/>
        <item m="1" x="221"/>
        <item m="1" x="161"/>
        <item m="1" x="103"/>
        <item m="1" x="44"/>
        <item m="1" x="217"/>
        <item m="1" x="156"/>
        <item m="1" x="98"/>
        <item m="1" x="39"/>
        <item m="1" x="212"/>
        <item m="1" x="152"/>
        <item m="1" x="94"/>
        <item m="1" x="35"/>
        <item m="1" x="208"/>
        <item m="1" x="148"/>
        <item m="1" x="89"/>
        <item m="1" x="32"/>
        <item m="1" x="204"/>
        <item m="1" x="145"/>
        <item m="1" x="85"/>
        <item m="1" x="28"/>
        <item m="1" x="200"/>
        <item m="1" x="141"/>
        <item m="1" x="81"/>
        <item m="1" x="24"/>
        <item m="1" x="196"/>
        <item m="1" x="137"/>
        <item m="1" x="77"/>
        <item m="1" x="20"/>
        <item m="1" x="192"/>
        <item m="1" x="87"/>
        <item m="1" x="30"/>
        <item m="1" x="203"/>
        <item m="1" x="144"/>
        <item m="1" x="84"/>
        <item m="1" x="27"/>
        <item m="1" x="199"/>
        <item m="1" x="140"/>
        <item m="1" x="80"/>
        <item m="1" x="22"/>
        <item m="1" x="194"/>
        <item m="1" x="135"/>
        <item m="1" x="75"/>
        <item m="1" x="18"/>
        <item m="1" x="190"/>
        <item m="1" x="132"/>
        <item m="1" x="72"/>
        <item m="1" x="15"/>
        <item m="1" x="188"/>
        <item m="1" x="129"/>
        <item m="1" x="69"/>
        <item m="1" x="11"/>
        <item m="1" x="183"/>
        <item m="1" x="124"/>
        <item m="1" x="65"/>
        <item m="1" x="238"/>
        <item m="1" x="178"/>
        <item m="1" x="118"/>
        <item m="1" x="59"/>
        <item m="1" x="232"/>
        <item m="1" x="172"/>
        <item m="1" x="130"/>
        <item m="1" x="70"/>
        <item m="1" x="13"/>
        <item m="1" x="186"/>
        <item m="1" x="127"/>
        <item m="1" x="67"/>
        <item m="1" x="9"/>
        <item m="1" x="181"/>
        <item m="1" x="121"/>
        <item m="1" x="62"/>
        <item m="1" x="235"/>
        <item m="1" x="175"/>
        <item m="1" x="115"/>
        <item m="1" x="56"/>
        <item m="1" x="229"/>
        <item m="1" x="169"/>
        <item m="1" x="110"/>
        <item m="1" x="52"/>
        <item m="1" x="225"/>
        <item m="1" x="165"/>
        <item m="1" x="106"/>
        <item m="1" x="47"/>
        <item m="1" x="220"/>
        <item m="1" x="160"/>
        <item m="1" x="102"/>
        <item m="1" x="43"/>
        <item m="1" x="216"/>
        <item m="1" x="91"/>
        <item m="1" x="33"/>
        <item m="1" x="205"/>
        <item m="1" x="146"/>
        <item m="1" x="86"/>
        <item m="1" x="29"/>
        <item m="1" x="202"/>
        <item m="1" x="143"/>
        <item m="1" x="83"/>
        <item m="1" x="26"/>
        <item m="1" x="198"/>
        <item m="1" x="139"/>
        <item m="1" x="79"/>
        <item h="1" m="1" x="207"/>
        <item h="1" x="0"/>
        <item h="1" x="1"/>
        <item h="1" x="2"/>
        <item h="1" x="3"/>
        <item h="1" x="4"/>
        <item h="1" x="5"/>
        <item h="1" x="6"/>
        <item t="default"/>
      </items>
    </pivotField>
    <pivotField compact="0" numFmtId="1" outline="0" showAll="0"/>
    <pivotField compact="0" outline="0" showAll="0" defaultSubtotal="0"/>
    <pivotField compact="0" numFmtId="2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5" outline="0" showAll="0"/>
    <pivotField compact="0" numFmtId="46" outline="0" showAll="0"/>
    <pivotField compact="0" numFmtId="165" outline="0" showAll="0"/>
    <pivotField compact="0" outline="0" showAll="0" defaultSubtotal="0"/>
    <pivotField compact="0" outline="0" showAll="0" defaultSubtotal="0"/>
    <pivotField compact="0" numFmtId="2" outline="0" showAll="0"/>
    <pivotField compact="0" numFmtId="2" outline="0" showAll="0"/>
    <pivotField compact="0" numFmtId="2" outline="0" showAll="0"/>
    <pivotField compact="0" outline="0" showAll="0" defaultSubtotal="0"/>
    <pivotField dataField="1" compact="0" numFmtId="1" outline="0" showAll="0" defaultSubtotal="0"/>
    <pivotField dataField="1" compact="0" numFmtId="2" outline="0" showAll="0" defaultSubtotal="0"/>
    <pivotField dataField="1" compact="0" numFmtId="1" outline="0" showAll="0" defaultSubtotal="0"/>
    <pivotField dataField="1" compact="0" numFmtId="2" outline="0" showAll="0" defaultSubtotal="0"/>
    <pivotField compact="0" numFmtId="2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2" outline="0" showAll="0" defaultSubtotal="0"/>
    <pivotField dataField="1" compact="0" numFmtId="2" outline="0" showAll="0" defaultSubtotal="0"/>
    <pivotField compact="0" numFmtId="2" outline="0" showAll="0" defaultSubtotal="0"/>
    <pivotField compact="0" numFmtId="2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numFmtId="2" outline="0" showAll="0" defaultSubtotal="0"/>
    <pivotField compact="0" numFmtId="2" outline="0" showAll="0" defaultSubtotal="0"/>
  </pivotFields>
  <rowFields count="2">
    <field x="5"/>
    <field x="7"/>
  </rowFields>
  <rowItems count="1"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3">
    <pageField fld="2" hier="-1"/>
    <pageField fld="8" hier="-1"/>
    <pageField fld="4" hier="-1"/>
  </pageFields>
  <dataFields count="10">
    <dataField name="H.NORMAL" fld="26" baseField="0" baseItem="0" numFmtId="3"/>
    <dataField name="H.EXTRA" fld="27" baseField="0" baseItem="0" numFmtId="3"/>
    <dataField name="H.TOTAL" fld="25" baseField="0" baseItem="0" numFmtId="3"/>
    <dataField name="Suma de COS.BASE 2" fld="28" baseField="0" baseItem="0" numFmtId="2"/>
    <dataField name="Suma de COS.F1" fld="33" baseField="0" baseItem="0"/>
    <dataField name="Suma de COS.D1" fld="34" baseField="0" baseItem="0"/>
    <dataField name="ALIMENT" fld="37" baseField="7" baseItem="40"/>
    <dataField name="PRESTAMOS" fld="38" baseField="7" baseItem="40"/>
    <dataField name="PASAJE" fld="39" baseField="7" baseItem="40"/>
    <dataField name="Suma de MONTO 4 TA" fld="40" baseField="0" baseItem="0" numFmtId="1"/>
  </dataFields>
  <formats count="169">
    <format dxfId="20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13">
      <pivotArea grandRow="1" outline="0" collapsedLevelsAreSubtotals="1" fieldPosition="0"/>
    </format>
    <format dxfId="2012">
      <pivotArea dataOnly="0" labelOnly="1" grandRow="1" outline="0" fieldPosition="0"/>
    </format>
    <format dxfId="2011">
      <pivotArea grandRow="1" outline="0" collapsedLevelsAreSubtotals="1" fieldPosition="0"/>
    </format>
    <format dxfId="2010">
      <pivotArea dataOnly="0" labelOnly="1" grandRow="1" outline="0" fieldPosition="0"/>
    </format>
    <format dxfId="2009">
      <pivotArea outline="0" collapsedLevelsAreSubtotals="1" fieldPosition="0"/>
    </format>
    <format dxfId="200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07">
      <pivotArea dataOnly="0" labelOnly="1" outline="0" fieldPosition="0">
        <references count="2">
          <reference field="5" count="1" selected="0">
            <x v="4"/>
          </reference>
          <reference field="7" count="1">
            <x v="0"/>
          </reference>
        </references>
      </pivotArea>
    </format>
    <format dxfId="2006">
      <pivotArea dataOnly="0" labelOnly="1" outline="0" fieldPosition="0">
        <references count="2">
          <reference field="5" count="1" selected="0">
            <x v="4"/>
          </reference>
          <reference field="7" count="1">
            <x v="17"/>
          </reference>
        </references>
      </pivotArea>
    </format>
    <format dxfId="2005">
      <pivotArea outline="0" collapsedLevelsAreSubtotals="1" fieldPosition="0">
        <references count="2">
          <reference field="5" count="1" selected="0">
            <x v="2"/>
          </reference>
          <reference field="7" count="1" selected="0">
            <x v="19"/>
          </reference>
        </references>
      </pivotArea>
    </format>
    <format dxfId="2004">
      <pivotArea dataOnly="0" labelOnly="1" outline="0" fieldPosition="0">
        <references count="2">
          <reference field="5" count="1" selected="0">
            <x v="2"/>
          </reference>
          <reference field="7" count="1">
            <x v="19"/>
          </reference>
        </references>
      </pivotArea>
    </format>
    <format dxfId="2003">
      <pivotArea outline="0" collapsedLevelsAreSubtotals="1" fieldPosition="0">
        <references count="2">
          <reference field="5" count="1" selected="0">
            <x v="3"/>
          </reference>
          <reference field="7" count="1" selected="0">
            <x v="16"/>
          </reference>
        </references>
      </pivotArea>
    </format>
    <format dxfId="2002">
      <pivotArea dataOnly="0" labelOnly="1" outline="0" fieldPosition="0">
        <references count="2">
          <reference field="5" count="1" selected="0">
            <x v="3"/>
          </reference>
          <reference field="7" count="1">
            <x v="16"/>
          </reference>
        </references>
      </pivotArea>
    </format>
    <format dxfId="2001">
      <pivotArea outline="0" collapsedLevelsAreSubtotals="1" fieldPosition="0">
        <references count="3">
          <reference field="4294967294" count="1" selected="0">
            <x v="8"/>
          </reference>
          <reference field="5" count="1" selected="0">
            <x v="0"/>
          </reference>
          <reference field="7" count="10" selected="0">
            <x v="8"/>
            <x v="14"/>
            <x v="33"/>
            <x v="37"/>
            <x v="40"/>
            <x v="41"/>
            <x v="51"/>
            <x v="65"/>
            <x v="68"/>
            <x v="73"/>
          </reference>
        </references>
      </pivotArea>
    </format>
    <format dxfId="2000">
      <pivotArea outline="0" collapsedLevelsAreSubtotals="1" fieldPosition="0">
        <references count="3">
          <reference field="4294967294" count="1" selected="0">
            <x v="8"/>
          </reference>
          <reference field="5" count="17" selected="0">
            <x v="1"/>
            <x v="2"/>
            <x v="3"/>
            <x v="4"/>
            <x v="5"/>
            <x v="6"/>
            <x v="7"/>
            <x v="8"/>
            <x v="10"/>
            <x v="15"/>
            <x v="16"/>
            <x v="17"/>
            <x v="18"/>
            <x v="19"/>
            <x v="20"/>
            <x v="21"/>
            <x v="22"/>
          </reference>
          <reference field="7" count="53" selected="0">
            <x v="0"/>
            <x v="1"/>
            <x v="4"/>
            <x v="5"/>
            <x v="6"/>
            <x v="7"/>
            <x v="9"/>
            <x v="10"/>
            <x v="11"/>
            <x v="12"/>
            <x v="15"/>
            <x v="16"/>
            <x v="17"/>
            <x v="18"/>
            <x v="19"/>
            <x v="20"/>
            <x v="21"/>
            <x v="28"/>
            <x v="29"/>
            <x v="30"/>
            <x v="31"/>
            <x v="32"/>
            <x v="34"/>
            <x v="35"/>
            <x v="36"/>
            <x v="38"/>
            <x v="39"/>
            <x v="42"/>
            <x v="43"/>
            <x v="44"/>
            <x v="45"/>
            <x v="46"/>
            <x v="48"/>
            <x v="49"/>
            <x v="50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6"/>
            <x v="67"/>
            <x v="69"/>
            <x v="70"/>
            <x v="71"/>
          </reference>
        </references>
      </pivotArea>
    </format>
    <format dxfId="1999">
      <pivotArea outline="0" collapsedLevelsAreSubtotals="1" fieldPosition="0">
        <references count="2">
          <reference field="5" count="1" selected="0">
            <x v="0"/>
          </reference>
          <reference field="7" count="1" selected="0">
            <x v="73"/>
          </reference>
        </references>
      </pivotArea>
    </format>
    <format dxfId="1998">
      <pivotArea outline="0" collapsedLevelsAreSubtotals="1" fieldPosition="0">
        <references count="2">
          <reference field="5" count="4" selected="0">
            <x v="1"/>
            <x v="2"/>
            <x v="3"/>
            <x v="4"/>
          </reference>
          <reference field="7" count="22" selected="0">
            <x v="0"/>
            <x v="1"/>
            <x v="4"/>
            <x v="5"/>
            <x v="6"/>
            <x v="7"/>
            <x v="9"/>
            <x v="15"/>
            <x v="16"/>
            <x v="17"/>
            <x v="19"/>
            <x v="20"/>
            <x v="28"/>
            <x v="35"/>
            <x v="38"/>
            <x v="45"/>
            <x v="53"/>
            <x v="57"/>
            <x v="59"/>
            <x v="60"/>
            <x v="61"/>
            <x v="67"/>
          </reference>
        </references>
      </pivotArea>
    </format>
    <format dxfId="1997">
      <pivotArea outline="0" collapsedLevelsAreSubtotals="1" fieldPosition="0">
        <references count="2">
          <reference field="5" count="1" selected="0">
            <x v="5"/>
          </reference>
          <reference field="7" count="2" selected="0">
            <x v="18"/>
            <x v="21"/>
          </reference>
        </references>
      </pivotArea>
    </format>
    <format dxfId="1996">
      <pivotArea dataOnly="0" labelOnly="1" outline="0" fieldPosition="0">
        <references count="2">
          <reference field="5" count="1" selected="0">
            <x v="0"/>
          </reference>
          <reference field="7" count="1">
            <x v="73"/>
          </reference>
        </references>
      </pivotArea>
    </format>
    <format dxfId="1995">
      <pivotArea dataOnly="0" labelOnly="1" outline="0" fieldPosition="0">
        <references count="2">
          <reference field="5" count="1" selected="0">
            <x v="1"/>
          </reference>
          <reference field="7" count="5">
            <x v="9"/>
            <x v="53"/>
            <x v="59"/>
            <x v="60"/>
            <x v="61"/>
          </reference>
        </references>
      </pivotArea>
    </format>
    <format dxfId="1994">
      <pivotArea dataOnly="0" labelOnly="1" outline="0" fieldPosition="0">
        <references count="2">
          <reference field="5" count="1" selected="0">
            <x v="2"/>
          </reference>
          <reference field="7" count="6">
            <x v="6"/>
            <x v="7"/>
            <x v="15"/>
            <x v="19"/>
            <x v="20"/>
            <x v="67"/>
          </reference>
        </references>
      </pivotArea>
    </format>
    <format dxfId="1993">
      <pivotArea dataOnly="0" labelOnly="1" outline="0" fieldPosition="0">
        <references count="2">
          <reference field="5" count="1" selected="0">
            <x v="3"/>
          </reference>
          <reference field="7" count="2">
            <x v="4"/>
            <x v="16"/>
          </reference>
        </references>
      </pivotArea>
    </format>
    <format dxfId="1992">
      <pivotArea dataOnly="0" labelOnly="1" outline="0" fieldPosition="0">
        <references count="2">
          <reference field="5" count="1" selected="0">
            <x v="4"/>
          </reference>
          <reference field="7" count="9">
            <x v="0"/>
            <x v="1"/>
            <x v="5"/>
            <x v="17"/>
            <x v="28"/>
            <x v="35"/>
            <x v="38"/>
            <x v="45"/>
            <x v="57"/>
          </reference>
        </references>
      </pivotArea>
    </format>
    <format dxfId="1991">
      <pivotArea dataOnly="0" labelOnly="1" outline="0" fieldPosition="0">
        <references count="2">
          <reference field="5" count="1" selected="0">
            <x v="5"/>
          </reference>
          <reference field="7" count="2">
            <x v="18"/>
            <x v="21"/>
          </reference>
        </references>
      </pivotArea>
    </format>
    <format dxfId="1990">
      <pivotArea outline="0" collapsedLevelsAreSubtotals="1" fieldPosition="0">
        <references count="2">
          <reference field="5" count="1" selected="0">
            <x v="17"/>
          </reference>
          <reference field="7" count="1" selected="0">
            <x v="32"/>
          </reference>
        </references>
      </pivotArea>
    </format>
    <format dxfId="1989">
      <pivotArea dataOnly="0" labelOnly="1" outline="0" fieldPosition="0">
        <references count="2">
          <reference field="5" count="1" selected="0">
            <x v="17"/>
          </reference>
          <reference field="7" count="1">
            <x v="32"/>
          </reference>
        </references>
      </pivotArea>
    </format>
    <format dxfId="1988">
      <pivotArea outline="0" collapsedLevelsAreSubtotals="1" fieldPosition="0">
        <references count="2">
          <reference field="5" count="1" selected="0">
            <x v="16"/>
          </reference>
          <reference field="7" count="1" selected="0">
            <x v="69"/>
          </reference>
        </references>
      </pivotArea>
    </format>
    <format dxfId="1987">
      <pivotArea outline="0" collapsedLevelsAreSubtotals="1" fieldPosition="0">
        <references count="2">
          <reference field="5" count="1" selected="0">
            <x v="17"/>
          </reference>
          <reference field="7" count="1" selected="0">
            <x v="32"/>
          </reference>
        </references>
      </pivotArea>
    </format>
    <format dxfId="1986">
      <pivotArea dataOnly="0" labelOnly="1" outline="0" fieldPosition="0">
        <references count="2">
          <reference field="5" count="1" selected="0">
            <x v="16"/>
          </reference>
          <reference field="7" count="1">
            <x v="69"/>
          </reference>
        </references>
      </pivotArea>
    </format>
    <format dxfId="1985">
      <pivotArea dataOnly="0" labelOnly="1" outline="0" fieldPosition="0">
        <references count="2">
          <reference field="5" count="1" selected="0">
            <x v="17"/>
          </reference>
          <reference field="7" count="1">
            <x v="32"/>
          </reference>
        </references>
      </pivotArea>
    </format>
    <format dxfId="1984">
      <pivotArea dataOnly="0" labelOnly="1" outline="0" fieldPosition="0">
        <references count="2">
          <reference field="5" count="1" selected="0">
            <x v="0"/>
          </reference>
          <reference field="7" count="1">
            <x v="41"/>
          </reference>
        </references>
      </pivotArea>
    </format>
    <format dxfId="1983">
      <pivotArea dataOnly="0" labelOnly="1" outline="0" fieldPosition="0">
        <references count="2">
          <reference field="5" count="1" selected="0">
            <x v="8"/>
          </reference>
          <reference field="7" count="0"/>
        </references>
      </pivotArea>
    </format>
    <format dxfId="1982">
      <pivotArea dataOnly="0" labelOnly="1" outline="0" fieldPosition="0">
        <references count="2">
          <reference field="5" count="1" selected="0">
            <x v="3"/>
          </reference>
          <reference field="7" count="1">
            <x v="16"/>
          </reference>
        </references>
      </pivotArea>
    </format>
    <format dxfId="1981">
      <pivotArea outline="0" collapsedLevelsAreSubtotals="1" fieldPosition="0">
        <references count="2">
          <reference field="5" count="1" selected="0">
            <x v="17"/>
          </reference>
          <reference field="7" count="1" selected="0">
            <x v="52"/>
          </reference>
        </references>
      </pivotArea>
    </format>
    <format dxfId="1980">
      <pivotArea dataOnly="0" labelOnly="1" outline="0" fieldPosition="0">
        <references count="2">
          <reference field="5" count="1" selected="0">
            <x v="17"/>
          </reference>
          <reference field="7" count="1">
            <x v="52"/>
          </reference>
        </references>
      </pivotArea>
    </format>
    <format dxfId="1979">
      <pivotArea outline="0" collapsedLevelsAreSubtotals="1" fieldPosition="0">
        <references count="2">
          <reference field="5" count="1" selected="0">
            <x v="4"/>
          </reference>
          <reference field="7" count="1" selected="0">
            <x v="1"/>
          </reference>
        </references>
      </pivotArea>
    </format>
    <format dxfId="1978">
      <pivotArea dataOnly="0" labelOnly="1" outline="0" fieldPosition="0">
        <references count="2">
          <reference field="5" count="1" selected="0">
            <x v="4"/>
          </reference>
          <reference field="7" count="1">
            <x v="1"/>
          </reference>
        </references>
      </pivotArea>
    </format>
    <format dxfId="1977">
      <pivotArea dataOnly="0" labelOnly="1" outline="0" fieldPosition="0">
        <references count="2">
          <reference field="5" count="1" selected="0">
            <x v="1"/>
          </reference>
          <reference field="7" count="1">
            <x v="59"/>
          </reference>
        </references>
      </pivotArea>
    </format>
    <format dxfId="1976">
      <pivotArea dataOnly="0" labelOnly="1" outline="0" fieldPosition="0">
        <references count="2">
          <reference field="5" count="1" selected="0">
            <x v="6"/>
          </reference>
          <reference field="7" count="1">
            <x v="55"/>
          </reference>
        </references>
      </pivotArea>
    </format>
    <format dxfId="1975">
      <pivotArea dataOnly="0" labelOnly="1" outline="0" fieldPosition="0">
        <references count="2">
          <reference field="5" count="1" selected="0">
            <x v="0"/>
          </reference>
          <reference field="7" count="1">
            <x v="51"/>
          </reference>
        </references>
      </pivotArea>
    </format>
    <format dxfId="1974">
      <pivotArea dataOnly="0" labelOnly="1" outline="0" fieldPosition="0">
        <references count="2">
          <reference field="5" count="1" selected="0">
            <x v="1"/>
          </reference>
          <reference field="7" count="1">
            <x v="61"/>
          </reference>
        </references>
      </pivotArea>
    </format>
    <format dxfId="1973">
      <pivotArea dataOnly="0" labelOnly="1" outline="0" fieldPosition="0">
        <references count="2">
          <reference field="5" count="1" selected="0">
            <x v="2"/>
          </reference>
          <reference field="7" count="1">
            <x v="67"/>
          </reference>
        </references>
      </pivotArea>
    </format>
    <format dxfId="1972">
      <pivotArea outline="0" collapsedLevelsAreSubtotals="1" fieldPosition="0">
        <references count="2">
          <reference field="5" count="1" selected="0">
            <x v="2"/>
          </reference>
          <reference field="7" count="1" selected="0">
            <x v="67"/>
          </reference>
        </references>
      </pivotArea>
    </format>
    <format dxfId="1971">
      <pivotArea dataOnly="0" labelOnly="1" outline="0" fieldPosition="0">
        <references count="2">
          <reference field="5" count="1" selected="0">
            <x v="2"/>
          </reference>
          <reference field="7" count="1">
            <x v="67"/>
          </reference>
        </references>
      </pivotArea>
    </format>
    <format dxfId="1970">
      <pivotArea outline="0" collapsedLevelsAreSubtotals="1" fieldPosition="0">
        <references count="3">
          <reference field="4294967294" count="5" selected="0">
            <x v="1"/>
            <x v="2"/>
            <x v="6"/>
            <x v="7"/>
            <x v="8"/>
          </reference>
          <reference field="5" count="10" selected="0">
            <x v="0"/>
            <x v="1"/>
            <x v="2"/>
            <x v="3"/>
            <x v="4"/>
            <x v="5"/>
            <x v="6"/>
            <x v="7"/>
            <x v="8"/>
            <x v="10"/>
          </reference>
          <reference field="7" count="49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4"/>
            <x v="15"/>
            <x v="16"/>
            <x v="17"/>
            <x v="18"/>
            <x v="19"/>
            <x v="20"/>
            <x v="21"/>
            <x v="28"/>
            <x v="29"/>
            <x v="33"/>
            <x v="35"/>
            <x v="36"/>
            <x v="37"/>
            <x v="38"/>
            <x v="40"/>
            <x v="41"/>
            <x v="42"/>
            <x v="45"/>
            <x v="46"/>
            <x v="51"/>
            <x v="53"/>
            <x v="55"/>
            <x v="56"/>
            <x v="57"/>
            <x v="58"/>
            <x v="59"/>
            <x v="60"/>
            <x v="61"/>
            <x v="62"/>
            <x v="63"/>
            <x v="65"/>
            <x v="67"/>
            <x v="68"/>
            <x v="71"/>
            <x v="73"/>
          </reference>
        </references>
      </pivotArea>
    </format>
    <format dxfId="1969">
      <pivotArea dataOnly="0" labelOnly="1" outline="0" fieldPosition="0">
        <references count="1">
          <reference field="4294967294" count="5">
            <x v="1"/>
            <x v="2"/>
            <x v="6"/>
            <x v="7"/>
            <x v="8"/>
          </reference>
        </references>
      </pivotArea>
    </format>
    <format dxfId="1968">
      <pivotArea outline="0" collapsedLevelsAreSubtotals="1" fieldPosition="0">
        <references count="2">
          <reference field="5" count="1" selected="0">
            <x v="0"/>
          </reference>
          <reference field="7" count="8" selected="0">
            <x v="33"/>
            <x v="37"/>
            <x v="40"/>
            <x v="41"/>
            <x v="51"/>
            <x v="65"/>
            <x v="68"/>
            <x v="73"/>
          </reference>
        </references>
      </pivotArea>
    </format>
    <format dxfId="1967">
      <pivotArea outline="0" collapsedLevelsAreSubtotals="1" fieldPosition="0">
        <references count="2">
          <reference field="5" count="14" selected="0">
            <x v="1"/>
            <x v="2"/>
            <x v="3"/>
            <x v="4"/>
            <x v="5"/>
            <x v="6"/>
            <x v="7"/>
            <x v="8"/>
            <x v="10"/>
            <x v="15"/>
            <x v="16"/>
            <x v="17"/>
            <x v="18"/>
            <x v="19"/>
          </reference>
          <reference field="7" count="49" selected="0">
            <x v="0"/>
            <x v="1"/>
            <x v="4"/>
            <x v="5"/>
            <x v="6"/>
            <x v="7"/>
            <x v="9"/>
            <x v="10"/>
            <x v="11"/>
            <x v="12"/>
            <x v="15"/>
            <x v="16"/>
            <x v="17"/>
            <x v="18"/>
            <x v="19"/>
            <x v="20"/>
            <x v="21"/>
            <x v="28"/>
            <x v="29"/>
            <x v="30"/>
            <x v="31"/>
            <x v="32"/>
            <x v="34"/>
            <x v="35"/>
            <x v="36"/>
            <x v="38"/>
            <x v="39"/>
            <x v="42"/>
            <x v="43"/>
            <x v="44"/>
            <x v="45"/>
            <x v="46"/>
            <x v="48"/>
            <x v="52"/>
            <x v="53"/>
            <x v="55"/>
            <x v="56"/>
            <x v="57"/>
            <x v="58"/>
            <x v="59"/>
            <x v="60"/>
            <x v="61"/>
            <x v="62"/>
            <x v="63"/>
            <x v="66"/>
            <x v="67"/>
            <x v="69"/>
            <x v="70"/>
            <x v="71"/>
          </reference>
        </references>
      </pivotArea>
    </format>
    <format dxfId="1966">
      <pivotArea dataOnly="0" labelOnly="1" outline="0" fieldPosition="0">
        <references count="2">
          <reference field="5" count="1" selected="0">
            <x v="0"/>
          </reference>
          <reference field="7" count="8">
            <x v="33"/>
            <x v="37"/>
            <x v="40"/>
            <x v="41"/>
            <x v="51"/>
            <x v="65"/>
            <x v="68"/>
            <x v="73"/>
          </reference>
        </references>
      </pivotArea>
    </format>
    <format dxfId="1965">
      <pivotArea dataOnly="0" labelOnly="1" outline="0" fieldPosition="0">
        <references count="2">
          <reference field="5" count="1" selected="0">
            <x v="1"/>
          </reference>
          <reference field="7" count="5">
            <x v="9"/>
            <x v="53"/>
            <x v="59"/>
            <x v="60"/>
            <x v="61"/>
          </reference>
        </references>
      </pivotArea>
    </format>
    <format dxfId="1964">
      <pivotArea dataOnly="0" labelOnly="1" outline="0" fieldPosition="0">
        <references count="2">
          <reference field="5" count="1" selected="0">
            <x v="2"/>
          </reference>
          <reference field="7" count="6">
            <x v="6"/>
            <x v="7"/>
            <x v="15"/>
            <x v="19"/>
            <x v="20"/>
            <x v="67"/>
          </reference>
        </references>
      </pivotArea>
    </format>
    <format dxfId="1963">
      <pivotArea dataOnly="0" labelOnly="1" outline="0" fieldPosition="0">
        <references count="2">
          <reference field="5" count="1" selected="0">
            <x v="3"/>
          </reference>
          <reference field="7" count="2">
            <x v="4"/>
            <x v="16"/>
          </reference>
        </references>
      </pivotArea>
    </format>
    <format dxfId="1962">
      <pivotArea dataOnly="0" labelOnly="1" outline="0" fieldPosition="0">
        <references count="2">
          <reference field="5" count="1" selected="0">
            <x v="4"/>
          </reference>
          <reference field="7" count="9">
            <x v="0"/>
            <x v="1"/>
            <x v="5"/>
            <x v="17"/>
            <x v="28"/>
            <x v="35"/>
            <x v="38"/>
            <x v="45"/>
            <x v="57"/>
          </reference>
        </references>
      </pivotArea>
    </format>
    <format dxfId="1961">
      <pivotArea dataOnly="0" labelOnly="1" outline="0" fieldPosition="0">
        <references count="2">
          <reference field="5" count="1" selected="0">
            <x v="5"/>
          </reference>
          <reference field="7" count="4">
            <x v="18"/>
            <x v="21"/>
            <x v="36"/>
            <x v="63"/>
          </reference>
        </references>
      </pivotArea>
    </format>
    <format dxfId="1960">
      <pivotArea dataOnly="0" labelOnly="1" outline="0" fieldPosition="0">
        <references count="2">
          <reference field="5" count="1" selected="0">
            <x v="6"/>
          </reference>
          <reference field="7" count="5">
            <x v="11"/>
            <x v="42"/>
            <x v="55"/>
            <x v="56"/>
            <x v="71"/>
          </reference>
        </references>
      </pivotArea>
    </format>
    <format dxfId="1959">
      <pivotArea dataOnly="0" labelOnly="1" outline="0" fieldPosition="0">
        <references count="2">
          <reference field="5" count="1" selected="0">
            <x v="7"/>
          </reference>
          <reference field="7" count="2">
            <x v="12"/>
            <x v="58"/>
          </reference>
        </references>
      </pivotArea>
    </format>
    <format dxfId="1958">
      <pivotArea dataOnly="0" labelOnly="1" outline="0" fieldPosition="0">
        <references count="2">
          <reference field="5" count="1" selected="0">
            <x v="8"/>
          </reference>
          <reference field="7" count="1">
            <x v="10"/>
          </reference>
        </references>
      </pivotArea>
    </format>
    <format dxfId="1957">
      <pivotArea dataOnly="0" labelOnly="1" outline="0" fieldPosition="0">
        <references count="2">
          <reference field="5" count="1" selected="0">
            <x v="10"/>
          </reference>
          <reference field="7" count="3">
            <x v="29"/>
            <x v="46"/>
            <x v="62"/>
          </reference>
        </references>
      </pivotArea>
    </format>
    <format dxfId="1956">
      <pivotArea dataOnly="0" labelOnly="1" outline="0" fieldPosition="0">
        <references count="2">
          <reference field="5" count="1" selected="0">
            <x v="15"/>
          </reference>
          <reference field="7" count="1">
            <x v="30"/>
          </reference>
        </references>
      </pivotArea>
    </format>
    <format dxfId="1955">
      <pivotArea dataOnly="0" labelOnly="1" outline="0" fieldPosition="0">
        <references count="2">
          <reference field="5" count="1" selected="0">
            <x v="16"/>
          </reference>
          <reference field="7" count="4">
            <x v="31"/>
            <x v="43"/>
            <x v="66"/>
            <x v="69"/>
          </reference>
        </references>
      </pivotArea>
    </format>
    <format dxfId="1954">
      <pivotArea dataOnly="0" labelOnly="1" outline="0" fieldPosition="0">
        <references count="2">
          <reference field="5" count="1" selected="0">
            <x v="17"/>
          </reference>
          <reference field="7" count="5">
            <x v="32"/>
            <x v="34"/>
            <x v="48"/>
            <x v="52"/>
            <x v="70"/>
          </reference>
        </references>
      </pivotArea>
    </format>
    <format dxfId="1953">
      <pivotArea dataOnly="0" labelOnly="1" outline="0" fieldPosition="0">
        <references count="2">
          <reference field="5" count="1" selected="0">
            <x v="18"/>
          </reference>
          <reference field="7" count="1">
            <x v="39"/>
          </reference>
        </references>
      </pivotArea>
    </format>
    <format dxfId="1952">
      <pivotArea dataOnly="0" labelOnly="1" outline="0" fieldPosition="0">
        <references count="2">
          <reference field="5" count="1" selected="0">
            <x v="19"/>
          </reference>
          <reference field="7" count="1">
            <x v="44"/>
          </reference>
        </references>
      </pivotArea>
    </format>
    <format dxfId="1951">
      <pivotArea outline="0" collapsedLevelsAreSubtotals="1" fieldPosition="0">
        <references count="2">
          <reference field="5" count="1" selected="0">
            <x v="0"/>
          </reference>
          <reference field="7" count="1" selected="0">
            <x v="40"/>
          </reference>
        </references>
      </pivotArea>
    </format>
    <format dxfId="1950">
      <pivotArea dataOnly="0" labelOnly="1" outline="0" fieldPosition="0">
        <references count="2">
          <reference field="5" count="1" selected="0">
            <x v="0"/>
          </reference>
          <reference field="7" count="1">
            <x v="40"/>
          </reference>
        </references>
      </pivotArea>
    </format>
    <format dxfId="1949">
      <pivotArea outline="0" collapsedLevelsAreSubtotals="1" fieldPosition="0">
        <references count="2">
          <reference field="5" count="1" selected="0">
            <x v="5"/>
          </reference>
          <reference field="7" count="1" selected="0">
            <x v="63"/>
          </reference>
        </references>
      </pivotArea>
    </format>
    <format dxfId="1948">
      <pivotArea dataOnly="0" labelOnly="1" outline="0" fieldPosition="0">
        <references count="2">
          <reference field="5" count="1" selected="0">
            <x v="5"/>
          </reference>
          <reference field="7" count="1">
            <x v="63"/>
          </reference>
        </references>
      </pivotArea>
    </format>
    <format dxfId="1947">
      <pivotArea outline="0" collapsedLevelsAreSubtotals="1" fieldPosition="0">
        <references count="2">
          <reference field="5" count="1" selected="0">
            <x v="5"/>
          </reference>
          <reference field="7" count="1" selected="0">
            <x v="63"/>
          </reference>
        </references>
      </pivotArea>
    </format>
    <format dxfId="1946">
      <pivotArea dataOnly="0" labelOnly="1" outline="0" fieldPosition="0">
        <references count="2">
          <reference field="5" count="1" selected="0">
            <x v="5"/>
          </reference>
          <reference field="7" count="1">
            <x v="63"/>
          </reference>
        </references>
      </pivotArea>
    </format>
    <format dxfId="1945">
      <pivotArea outline="0" collapsedLevelsAreSubtotals="1" fieldPosition="0">
        <references count="2">
          <reference field="5" count="1" selected="0">
            <x v="10"/>
          </reference>
          <reference field="7" count="1" selected="0">
            <x v="62"/>
          </reference>
        </references>
      </pivotArea>
    </format>
    <format dxfId="1944">
      <pivotArea dataOnly="0" labelOnly="1" outline="0" fieldPosition="0">
        <references count="2">
          <reference field="5" count="1" selected="0">
            <x v="10"/>
          </reference>
          <reference field="7" count="1">
            <x v="62"/>
          </reference>
        </references>
      </pivotArea>
    </format>
    <format dxfId="1943">
      <pivotArea outline="0" collapsedLevelsAreSubtotals="1" fieldPosition="0">
        <references count="2">
          <reference field="5" count="1" selected="0">
            <x v="0"/>
          </reference>
          <reference field="7" count="9" selected="0">
            <x v="14"/>
            <x v="33"/>
            <x v="37"/>
            <x v="40"/>
            <x v="41"/>
            <x v="51"/>
            <x v="65"/>
            <x v="68"/>
            <x v="73"/>
          </reference>
        </references>
      </pivotArea>
    </format>
    <format dxfId="1942">
      <pivotArea outline="0" collapsedLevelsAreSubtotals="1" fieldPosition="0">
        <references count="2">
          <reference field="5" count="11" selected="0">
            <x v="1"/>
            <x v="2"/>
            <x v="3"/>
            <x v="4"/>
            <x v="5"/>
            <x v="6"/>
            <x v="7"/>
            <x v="8"/>
            <x v="10"/>
            <x v="15"/>
            <x v="16"/>
          </reference>
          <reference field="7" count="42" selected="0">
            <x v="0"/>
            <x v="1"/>
            <x v="4"/>
            <x v="5"/>
            <x v="6"/>
            <x v="7"/>
            <x v="9"/>
            <x v="10"/>
            <x v="11"/>
            <x v="12"/>
            <x v="15"/>
            <x v="16"/>
            <x v="17"/>
            <x v="18"/>
            <x v="19"/>
            <x v="20"/>
            <x v="21"/>
            <x v="28"/>
            <x v="29"/>
            <x v="30"/>
            <x v="31"/>
            <x v="35"/>
            <x v="36"/>
            <x v="38"/>
            <x v="42"/>
            <x v="43"/>
            <x v="45"/>
            <x v="46"/>
            <x v="53"/>
            <x v="55"/>
            <x v="56"/>
            <x v="57"/>
            <x v="58"/>
            <x v="59"/>
            <x v="60"/>
            <x v="61"/>
            <x v="62"/>
            <x v="63"/>
            <x v="66"/>
            <x v="67"/>
            <x v="69"/>
            <x v="71"/>
          </reference>
        </references>
      </pivotArea>
    </format>
    <format dxfId="1941">
      <pivotArea outline="0" collapsedLevelsAreSubtotals="1" fieldPosition="0">
        <references count="2">
          <reference field="5" count="1" selected="0">
            <x v="17"/>
          </reference>
          <reference field="7" count="2" selected="0">
            <x v="32"/>
            <x v="34"/>
          </reference>
        </references>
      </pivotArea>
    </format>
    <format dxfId="1940">
      <pivotArea dataOnly="0" labelOnly="1" outline="0" fieldPosition="0">
        <references count="2">
          <reference field="5" count="1" selected="0">
            <x v="0"/>
          </reference>
          <reference field="7" count="9">
            <x v="14"/>
            <x v="33"/>
            <x v="37"/>
            <x v="40"/>
            <x v="41"/>
            <x v="51"/>
            <x v="65"/>
            <x v="68"/>
            <x v="73"/>
          </reference>
        </references>
      </pivotArea>
    </format>
    <format dxfId="1939">
      <pivotArea dataOnly="0" labelOnly="1" outline="0" fieldPosition="0">
        <references count="2">
          <reference field="5" count="1" selected="0">
            <x v="1"/>
          </reference>
          <reference field="7" count="5">
            <x v="9"/>
            <x v="53"/>
            <x v="59"/>
            <x v="60"/>
            <x v="61"/>
          </reference>
        </references>
      </pivotArea>
    </format>
    <format dxfId="1938">
      <pivotArea dataOnly="0" labelOnly="1" outline="0" fieldPosition="0">
        <references count="2">
          <reference field="5" count="1" selected="0">
            <x v="2"/>
          </reference>
          <reference field="7" count="6">
            <x v="6"/>
            <x v="7"/>
            <x v="15"/>
            <x v="19"/>
            <x v="20"/>
            <x v="67"/>
          </reference>
        </references>
      </pivotArea>
    </format>
    <format dxfId="1937">
      <pivotArea dataOnly="0" labelOnly="1" outline="0" fieldPosition="0">
        <references count="2">
          <reference field="5" count="1" selected="0">
            <x v="3"/>
          </reference>
          <reference field="7" count="2">
            <x v="4"/>
            <x v="16"/>
          </reference>
        </references>
      </pivotArea>
    </format>
    <format dxfId="1936">
      <pivotArea dataOnly="0" labelOnly="1" outline="0" fieldPosition="0">
        <references count="2">
          <reference field="5" count="1" selected="0">
            <x v="4"/>
          </reference>
          <reference field="7" count="9">
            <x v="0"/>
            <x v="1"/>
            <x v="5"/>
            <x v="17"/>
            <x v="28"/>
            <x v="35"/>
            <x v="38"/>
            <x v="45"/>
            <x v="57"/>
          </reference>
        </references>
      </pivotArea>
    </format>
    <format dxfId="1935">
      <pivotArea dataOnly="0" labelOnly="1" outline="0" fieldPosition="0">
        <references count="2">
          <reference field="5" count="1" selected="0">
            <x v="5"/>
          </reference>
          <reference field="7" count="4">
            <x v="18"/>
            <x v="21"/>
            <x v="36"/>
            <x v="63"/>
          </reference>
        </references>
      </pivotArea>
    </format>
    <format dxfId="1934">
      <pivotArea dataOnly="0" labelOnly="1" outline="0" fieldPosition="0">
        <references count="2">
          <reference field="5" count="1" selected="0">
            <x v="6"/>
          </reference>
          <reference field="7" count="5">
            <x v="11"/>
            <x v="42"/>
            <x v="55"/>
            <x v="56"/>
            <x v="71"/>
          </reference>
        </references>
      </pivotArea>
    </format>
    <format dxfId="1933">
      <pivotArea dataOnly="0" labelOnly="1" outline="0" fieldPosition="0">
        <references count="2">
          <reference field="5" count="1" selected="0">
            <x v="7"/>
          </reference>
          <reference field="7" count="2">
            <x v="12"/>
            <x v="58"/>
          </reference>
        </references>
      </pivotArea>
    </format>
    <format dxfId="1932">
      <pivotArea dataOnly="0" labelOnly="1" outline="0" fieldPosition="0">
        <references count="2">
          <reference field="5" count="1" selected="0">
            <x v="8"/>
          </reference>
          <reference field="7" count="1">
            <x v="10"/>
          </reference>
        </references>
      </pivotArea>
    </format>
    <format dxfId="1931">
      <pivotArea dataOnly="0" labelOnly="1" outline="0" fieldPosition="0">
        <references count="2">
          <reference field="5" count="1" selected="0">
            <x v="10"/>
          </reference>
          <reference field="7" count="3">
            <x v="29"/>
            <x v="46"/>
            <x v="62"/>
          </reference>
        </references>
      </pivotArea>
    </format>
    <format dxfId="1930">
      <pivotArea dataOnly="0" labelOnly="1" outline="0" fieldPosition="0">
        <references count="2">
          <reference field="5" count="1" selected="0">
            <x v="15"/>
          </reference>
          <reference field="7" count="1">
            <x v="30"/>
          </reference>
        </references>
      </pivotArea>
    </format>
    <format dxfId="1929">
      <pivotArea dataOnly="0" labelOnly="1" outline="0" fieldPosition="0">
        <references count="2">
          <reference field="5" count="1" selected="0">
            <x v="16"/>
          </reference>
          <reference field="7" count="4">
            <x v="31"/>
            <x v="43"/>
            <x v="66"/>
            <x v="69"/>
          </reference>
        </references>
      </pivotArea>
    </format>
    <format dxfId="1928">
      <pivotArea dataOnly="0" labelOnly="1" outline="0" fieldPosition="0">
        <references count="2">
          <reference field="5" count="1" selected="0">
            <x v="17"/>
          </reference>
          <reference field="7" count="2">
            <x v="32"/>
            <x v="34"/>
          </reference>
        </references>
      </pivotArea>
    </format>
    <format dxfId="1927">
      <pivotArea outline="0" collapsedLevelsAreSubtotals="1" fieldPosition="0">
        <references count="2">
          <reference field="5" count="1" selected="0">
            <x v="4"/>
          </reference>
          <reference field="7" count="1" selected="0">
            <x v="74"/>
          </reference>
        </references>
      </pivotArea>
    </format>
    <format dxfId="1926">
      <pivotArea dataOnly="0" labelOnly="1" outline="0" fieldPosition="0">
        <references count="2">
          <reference field="5" count="1" selected="0">
            <x v="4"/>
          </reference>
          <reference field="7" count="1">
            <x v="74"/>
          </reference>
        </references>
      </pivotArea>
    </format>
    <format dxfId="1925">
      <pivotArea outline="0" collapsedLevelsAreSubtotals="1" fieldPosition="0">
        <references count="2">
          <reference field="5" count="1" selected="0">
            <x v="4"/>
          </reference>
          <reference field="7" count="1" selected="0">
            <x v="17"/>
          </reference>
        </references>
      </pivotArea>
    </format>
    <format dxfId="1924">
      <pivotArea dataOnly="0" labelOnly="1" outline="0" fieldPosition="0">
        <references count="2">
          <reference field="5" count="1" selected="0">
            <x v="4"/>
          </reference>
          <reference field="7" count="1">
            <x v="17"/>
          </reference>
        </references>
      </pivotArea>
    </format>
    <format dxfId="1923">
      <pivotArea outline="0" collapsedLevelsAreSubtotals="1" fieldPosition="0">
        <references count="2">
          <reference field="5" count="1" selected="0">
            <x v="4"/>
          </reference>
          <reference field="7" count="1" selected="0">
            <x v="17"/>
          </reference>
        </references>
      </pivotArea>
    </format>
    <format dxfId="1922">
      <pivotArea dataOnly="0" labelOnly="1" outline="0" fieldPosition="0">
        <references count="2">
          <reference field="5" count="1" selected="0">
            <x v="4"/>
          </reference>
          <reference field="7" count="1">
            <x v="17"/>
          </reference>
        </references>
      </pivotArea>
    </format>
    <format dxfId="1921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920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919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918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917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916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915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914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913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912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0" selected="0">
            <x v="0"/>
            <x v="1"/>
            <x v="4"/>
            <x v="5"/>
            <x v="6"/>
            <x v="14"/>
            <x v="15"/>
            <x v="16"/>
            <x v="17"/>
            <x v="19"/>
            <x v="20"/>
            <x v="28"/>
            <x v="37"/>
            <x v="40"/>
            <x v="55"/>
            <x v="62"/>
            <x v="65"/>
            <x v="67"/>
            <x v="71"/>
            <x v="73"/>
          </reference>
        </references>
      </pivotArea>
    </format>
    <format dxfId="1911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910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909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908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907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906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905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904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903">
      <pivotArea field="5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902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901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900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899">
      <pivotArea grandRow="1" outline="0" collapsedLevelsAreSubtotals="1" fieldPosition="0"/>
    </format>
    <format dxfId="1898">
      <pivotArea dataOnly="0" labelOnly="1" grandRow="1" outline="0" fieldPosition="0"/>
    </format>
    <format dxfId="1897">
      <pivotArea grandRow="1" outline="0" collapsedLevelsAreSubtotals="1" fieldPosition="0"/>
    </format>
    <format dxfId="1896">
      <pivotArea dataOnly="0" labelOnly="1" grandRow="1" outline="0" fieldPosition="0"/>
    </format>
    <format dxfId="1895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1894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1893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1892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189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9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8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8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8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8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8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8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8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8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8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8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79">
      <pivotArea outline="0" collapsedLevelsAreSubtotals="1" fieldPosition="0">
        <references count="3">
          <reference field="4294967294" count="1" selected="0">
            <x v="9"/>
          </reference>
          <reference field="5" count="1" selected="0">
            <x v="0"/>
          </reference>
          <reference field="7" count="0" selected="0"/>
        </references>
      </pivotArea>
    </format>
    <format dxfId="1878">
      <pivotArea outline="0" collapsedLevelsAreSubtotals="1" fieldPosition="0">
        <references count="3">
          <reference field="4294967294" count="1" selected="0">
            <x v="9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2" selected="0">
            <x v="0"/>
            <x v="1"/>
            <x v="4"/>
            <x v="5"/>
            <x v="6"/>
            <x v="7"/>
            <x v="8"/>
            <x v="14"/>
            <x v="15"/>
            <x v="17"/>
            <x v="19"/>
            <x v="20"/>
            <x v="28"/>
            <x v="37"/>
            <x v="40"/>
            <x v="55"/>
            <x v="62"/>
            <x v="65"/>
            <x v="71"/>
            <x v="73"/>
            <x v="75"/>
            <x v="76"/>
          </reference>
        </references>
      </pivotArea>
    </format>
    <format dxfId="1877">
      <pivotArea outline="0" collapsedLevelsAreSubtotals="1" fieldPosition="0">
        <references count="3">
          <reference field="4294967294" count="1" selected="0">
            <x v="9"/>
          </reference>
          <reference field="5" count="6" selected="0">
            <x v="0"/>
            <x v="2"/>
            <x v="3"/>
            <x v="4"/>
            <x v="6"/>
            <x v="10"/>
          </reference>
          <reference field="7" count="22" selected="0">
            <x v="0"/>
            <x v="1"/>
            <x v="4"/>
            <x v="5"/>
            <x v="6"/>
            <x v="7"/>
            <x v="8"/>
            <x v="14"/>
            <x v="15"/>
            <x v="17"/>
            <x v="19"/>
            <x v="20"/>
            <x v="28"/>
            <x v="37"/>
            <x v="40"/>
            <x v="55"/>
            <x v="62"/>
            <x v="65"/>
            <x v="71"/>
            <x v="73"/>
            <x v="75"/>
            <x v="76"/>
          </reference>
        </references>
      </pivotArea>
    </format>
    <format dxfId="1876">
      <pivotArea outline="0" collapsedLevelsAreSubtotals="1" fieldPosition="0">
        <references count="3">
          <reference field="4294967294" count="1" selected="0">
            <x v="9"/>
          </reference>
          <reference field="5" count="1" selected="0">
            <x v="0"/>
          </reference>
          <reference field="7" count="6" selected="0">
            <x v="8"/>
            <x v="14"/>
            <x v="37"/>
            <x v="40"/>
            <x v="65"/>
            <x v="73"/>
          </reference>
        </references>
      </pivotArea>
    </format>
    <format dxfId="1875">
      <pivotArea outline="0" collapsedLevelsAreSubtotals="1" fieldPosition="0">
        <references count="3">
          <reference field="4294967294" count="1" selected="0">
            <x v="9"/>
          </reference>
          <reference field="5" count="1" selected="0">
            <x v="2"/>
          </reference>
          <reference field="7" count="1" selected="0">
            <x v="6"/>
          </reference>
        </references>
      </pivotArea>
    </format>
    <format dxfId="1874">
      <pivotArea outline="0" collapsedLevelsAreSubtotals="1" fieldPosition="0">
        <references count="2">
          <reference field="5" count="1" selected="0">
            <x v="6"/>
          </reference>
          <reference field="7" count="1" selected="0">
            <x v="71"/>
          </reference>
        </references>
      </pivotArea>
    </format>
    <format dxfId="1873">
      <pivotArea dataOnly="0" labelOnly="1" outline="0" fieldPosition="0">
        <references count="2">
          <reference field="5" count="1" selected="0">
            <x v="6"/>
          </reference>
          <reference field="7" count="1">
            <x v="71"/>
          </reference>
        </references>
      </pivotArea>
    </format>
    <format dxfId="1872">
      <pivotArea outline="0" collapsedLevelsAreSubtotals="1" fieldPosition="0">
        <references count="2">
          <reference field="5" count="1" selected="0">
            <x v="6"/>
          </reference>
          <reference field="7" count="1" selected="0">
            <x v="71"/>
          </reference>
        </references>
      </pivotArea>
    </format>
    <format dxfId="1871">
      <pivotArea dataOnly="0" labelOnly="1" outline="0" fieldPosition="0">
        <references count="2">
          <reference field="5" count="1" selected="0">
            <x v="6"/>
          </reference>
          <reference field="7" count="1">
            <x v="71"/>
          </reference>
        </references>
      </pivotArea>
    </format>
    <format dxfId="1870">
      <pivotArea outline="0" fieldPosition="0">
        <references count="3">
          <reference field="4294967294" count="1" selected="0">
            <x v="9"/>
          </reference>
          <reference field="5" count="1" selected="0">
            <x v="23"/>
          </reference>
          <reference field="7" count="1" selected="0">
            <x v="84"/>
          </reference>
        </references>
      </pivotArea>
    </format>
    <format dxfId="1869">
      <pivotArea outline="0" collapsedLevelsAreSubtotals="1" fieldPosition="0">
        <references count="2">
          <reference field="5" count="1" selected="0">
            <x v="2"/>
          </reference>
          <reference field="7" count="1" selected="0">
            <x v="13"/>
          </reference>
        </references>
      </pivotArea>
    </format>
    <format dxfId="1868">
      <pivotArea dataOnly="0" labelOnly="1" outline="0" fieldPosition="0">
        <references count="2">
          <reference field="5" count="1" selected="0">
            <x v="2"/>
          </reference>
          <reference field="7" count="1">
            <x v="13"/>
          </reference>
        </references>
      </pivotArea>
    </format>
    <format dxfId="1867">
      <pivotArea outline="0" collapsedLevelsAreSubtotals="1" fieldPosition="0">
        <references count="2">
          <reference field="5" count="1" selected="0">
            <x v="2"/>
          </reference>
          <reference field="7" count="1" selected="0">
            <x v="13"/>
          </reference>
        </references>
      </pivotArea>
    </format>
    <format dxfId="1866">
      <pivotArea dataOnly="0" labelOnly="1" outline="0" fieldPosition="0">
        <references count="2">
          <reference field="5" count="1" selected="0">
            <x v="2"/>
          </reference>
          <reference field="7" count="1">
            <x v="13"/>
          </reference>
        </references>
      </pivotArea>
    </format>
    <format dxfId="1865">
      <pivotArea outline="0" collapsedLevelsAreSubtotals="1" fieldPosition="0">
        <references count="2">
          <reference field="5" count="1" selected="0">
            <x v="4"/>
          </reference>
          <reference field="7" count="1" selected="0">
            <x v="95"/>
          </reference>
        </references>
      </pivotArea>
    </format>
    <format dxfId="1864">
      <pivotArea dataOnly="0" labelOnly="1" outline="0" fieldPosition="0">
        <references count="2">
          <reference field="5" count="1" selected="0">
            <x v="4"/>
          </reference>
          <reference field="7" count="1">
            <x v="95"/>
          </reference>
        </references>
      </pivotArea>
    </format>
    <format dxfId="1863">
      <pivotArea outline="0" collapsedLevelsAreSubtotals="1" fieldPosition="0">
        <references count="2">
          <reference field="5" count="1" selected="0">
            <x v="4"/>
          </reference>
          <reference field="7" count="1" selected="0">
            <x v="17"/>
          </reference>
        </references>
      </pivotArea>
    </format>
    <format dxfId="1862">
      <pivotArea dataOnly="0" labelOnly="1" outline="0" fieldPosition="0">
        <references count="2">
          <reference field="5" count="1" selected="0">
            <x v="4"/>
          </reference>
          <reference field="7" count="1">
            <x v="17"/>
          </reference>
        </references>
      </pivotArea>
    </format>
    <format dxfId="1861">
      <pivotArea outline="0" collapsedLevelsAreSubtotals="1" fieldPosition="0">
        <references count="2">
          <reference field="5" count="1" selected="0">
            <x v="23"/>
          </reference>
          <reference field="7" count="1" selected="0">
            <x v="92"/>
          </reference>
        </references>
      </pivotArea>
    </format>
    <format dxfId="1860">
      <pivotArea dataOnly="0" labelOnly="1" outline="0" fieldPosition="0">
        <references count="2">
          <reference field="5" count="1" selected="0">
            <x v="23"/>
          </reference>
          <reference field="7" count="1">
            <x v="92"/>
          </reference>
        </references>
      </pivotArea>
    </format>
    <format dxfId="1859">
      <pivotArea outline="0" collapsedLevelsAreSubtotals="1" fieldPosition="0">
        <references count="2">
          <reference field="5" count="1" selected="0">
            <x v="6"/>
          </reference>
          <reference field="7" count="1" selected="0">
            <x v="71"/>
          </reference>
        </references>
      </pivotArea>
    </format>
    <format dxfId="1858">
      <pivotArea dataOnly="0" labelOnly="1" outline="0" fieldPosition="0">
        <references count="2">
          <reference field="5" count="1" selected="0">
            <x v="6"/>
          </reference>
          <reference field="7" count="1">
            <x v="71"/>
          </reference>
        </references>
      </pivotArea>
    </format>
    <format dxfId="1857">
      <pivotArea outline="0" collapsedLevelsAreSubtotals="1" fieldPosition="0">
        <references count="2">
          <reference field="5" count="1" selected="0">
            <x v="2"/>
          </reference>
          <reference field="7" count="1" selected="0">
            <x v="13"/>
          </reference>
        </references>
      </pivotArea>
    </format>
    <format dxfId="1856">
      <pivotArea dataOnly="0" labelOnly="1" outline="0" fieldPosition="0">
        <references count="2">
          <reference field="5" count="1" selected="0">
            <x v="2"/>
          </reference>
          <reference field="7" count="1">
            <x v="13"/>
          </reference>
        </references>
      </pivotArea>
    </format>
    <format dxfId="1855">
      <pivotArea outline="0" collapsedLevelsAreSubtotals="1" fieldPosition="0">
        <references count="2">
          <reference field="5" count="5" selected="0">
            <x v="2"/>
            <x v="3"/>
            <x v="4"/>
            <x v="6"/>
            <x v="23"/>
          </reference>
          <reference field="7" count="14" selected="0">
            <x v="6"/>
            <x v="13"/>
            <x v="15"/>
            <x v="17"/>
            <x v="55"/>
            <x v="71"/>
            <x v="75"/>
            <x v="76"/>
            <x v="83"/>
            <x v="84"/>
            <x v="91"/>
            <x v="92"/>
            <x v="93"/>
            <x v="95"/>
          </reference>
        </references>
      </pivotArea>
    </format>
    <format dxfId="1854">
      <pivotArea dataOnly="0" labelOnly="1" outline="0" fieldPosition="0">
        <references count="2">
          <reference field="5" count="1" selected="0">
            <x v="2"/>
          </reference>
          <reference field="7" count="3">
            <x v="6"/>
            <x v="13"/>
            <x v="15"/>
          </reference>
        </references>
      </pivotArea>
    </format>
    <format dxfId="1853">
      <pivotArea dataOnly="0" labelOnly="1" outline="0" fieldPosition="0">
        <references count="2">
          <reference field="5" count="1" selected="0">
            <x v="3"/>
          </reference>
          <reference field="7" count="2">
            <x v="75"/>
            <x v="76"/>
          </reference>
        </references>
      </pivotArea>
    </format>
    <format dxfId="1852">
      <pivotArea dataOnly="0" labelOnly="1" outline="0" fieldPosition="0">
        <references count="2">
          <reference field="5" count="1" selected="0">
            <x v="4"/>
          </reference>
          <reference field="7" count="2">
            <x v="17"/>
            <x v="95"/>
          </reference>
        </references>
      </pivotArea>
    </format>
    <format dxfId="1851">
      <pivotArea dataOnly="0" labelOnly="1" outline="0" fieldPosition="0">
        <references count="2">
          <reference field="5" count="1" selected="0">
            <x v="6"/>
          </reference>
          <reference field="7" count="2">
            <x v="55"/>
            <x v="71"/>
          </reference>
        </references>
      </pivotArea>
    </format>
    <format dxfId="1850">
      <pivotArea dataOnly="0" labelOnly="1" outline="0" fieldPosition="0">
        <references count="2">
          <reference field="5" count="1" selected="0">
            <x v="23"/>
          </reference>
          <reference field="7" count="5">
            <x v="83"/>
            <x v="84"/>
            <x v="91"/>
            <x v="92"/>
            <x v="93"/>
          </reference>
        </references>
      </pivotArea>
    </format>
    <format dxfId="1849">
      <pivotArea outline="0" collapsedLevelsAreSubtotals="1" fieldPosition="0">
        <references count="2">
          <reference field="5" count="1" selected="0">
            <x v="23"/>
          </reference>
          <reference field="7" count="1" selected="0">
            <x v="83"/>
          </reference>
        </references>
      </pivotArea>
    </format>
    <format dxfId="1848">
      <pivotArea dataOnly="0" labelOnly="1" outline="0" fieldPosition="0">
        <references count="2">
          <reference field="5" count="1" selected="0">
            <x v="23"/>
          </reference>
          <reference field="7" count="1">
            <x v="83"/>
          </reference>
        </references>
      </pivotArea>
    </format>
    <format dxfId="1847">
      <pivotArea outline="0" collapsedLevelsAreSubtotals="1" fieldPosition="0">
        <references count="2">
          <reference field="5" count="1" selected="0">
            <x v="2"/>
          </reference>
          <reference field="7" count="1" selected="0">
            <x v="13"/>
          </reference>
        </references>
      </pivotArea>
    </format>
    <format dxfId="1846">
      <pivotArea dataOnly="0" labelOnly="1" outline="0" fieldPosition="0">
        <references count="2">
          <reference field="5" count="1" selected="0">
            <x v="2"/>
          </reference>
          <reference field="7" count="1">
            <x v="13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aDinámica1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compact="0" compactData="0" multipleFieldFilters="0">
  <location ref="A6:I56" firstHeaderRow="1" firstDataRow="2" firstDataCol="1" rowPageCount="2" colPageCount="1"/>
  <pivotFields count="42">
    <pivotField compact="0" outline="0" showAll="0"/>
    <pivotField compact="0" outline="0" showAll="0"/>
    <pivotField axis="axisPage" compact="0" numFmtId="1" outline="0" multipleItemSelectionAllowed="1" showAll="0">
      <items count="51">
        <item m="1" x="25"/>
        <item m="1" x="11"/>
        <item m="1" x="27"/>
        <item m="1" x="47"/>
        <item m="1" x="29"/>
        <item m="1" x="7"/>
        <item m="1" x="31"/>
        <item m="1" x="8"/>
        <item m="1" x="34"/>
        <item m="1" x="10"/>
        <item m="1" x="36"/>
        <item m="1" x="12"/>
        <item m="1" x="39"/>
        <item m="1" x="15"/>
        <item m="1" x="41"/>
        <item m="1" x="17"/>
        <item m="1" x="44"/>
        <item m="1" x="19"/>
        <item m="1" x="46"/>
        <item m="1" x="48"/>
        <item m="1" x="5"/>
        <item m="1" x="13"/>
        <item m="1" x="20"/>
        <item m="1" x="28"/>
        <item m="1" x="33"/>
        <item m="1" x="38"/>
        <item m="1" x="43"/>
        <item m="1" x="3"/>
        <item m="1" x="6"/>
        <item m="1" x="9"/>
        <item m="1" x="14"/>
        <item m="1" x="16"/>
        <item m="1" x="18"/>
        <item x="0"/>
        <item x="1"/>
        <item m="1" x="22"/>
        <item m="1" x="24"/>
        <item m="1" x="26"/>
        <item m="1" x="30"/>
        <item m="1" x="32"/>
        <item m="1" x="35"/>
        <item m="1" x="37"/>
        <item m="1" x="40"/>
        <item m="1" x="42"/>
        <item m="1" x="45"/>
        <item m="1" x="49"/>
        <item m="1" x="21"/>
        <item m="1" x="2"/>
        <item m="1" x="23"/>
        <item m="1" x="4"/>
        <item t="default"/>
      </items>
    </pivotField>
    <pivotField compact="0" outline="0" showAll="0"/>
    <pivotField axis="axisPage" compact="0" outline="0" multipleItemSelectionAllowed="1" showAll="0">
      <items count="5">
        <item h="1" x="1"/>
        <item x="0"/>
        <item h="1" x="2"/>
        <item h="1" x="3"/>
        <item t="default"/>
      </items>
    </pivotField>
    <pivotField compact="0" outline="0" showAll="0"/>
    <pivotField compact="0" outline="0" showAll="0"/>
    <pivotField name="PERSONAL TECNICO" axis="axisRow" compact="0" outline="0" showAll="0">
      <items count="111">
        <item x="0"/>
        <item m="1" x="71"/>
        <item m="1" x="72"/>
        <item m="1" x="100"/>
        <item x="1"/>
        <item m="1" x="62"/>
        <item x="3"/>
        <item x="4"/>
        <item m="1" x="92"/>
        <item x="5"/>
        <item x="6"/>
        <item x="7"/>
        <item x="8"/>
        <item m="1" x="91"/>
        <item m="1" x="103"/>
        <item m="1" x="105"/>
        <item x="10"/>
        <item m="1" x="88"/>
        <item m="1" x="107"/>
        <item x="11"/>
        <item x="12"/>
        <item m="1" x="93"/>
        <item x="16"/>
        <item m="1" x="96"/>
        <item m="1" x="94"/>
        <item m="1" x="75"/>
        <item x="17"/>
        <item x="19"/>
        <item x="20"/>
        <item m="1" x="83"/>
        <item x="21"/>
        <item x="23"/>
        <item m="1" x="66"/>
        <item x="24"/>
        <item m="1" x="102"/>
        <item x="25"/>
        <item x="26"/>
        <item x="27"/>
        <item m="1" x="99"/>
        <item x="30"/>
        <item m="1" x="59"/>
        <item m="1" x="86"/>
        <item m="1" x="97"/>
        <item x="32"/>
        <item x="33"/>
        <item m="1" x="108"/>
        <item x="35"/>
        <item x="36"/>
        <item x="37"/>
        <item m="1" x="61"/>
        <item x="38"/>
        <item x="39"/>
        <item x="40"/>
        <item x="41"/>
        <item m="1" x="89"/>
        <item x="42"/>
        <item m="1" x="104"/>
        <item m="1" x="84"/>
        <item x="44"/>
        <item m="1" x="63"/>
        <item m="1" x="77"/>
        <item m="1" x="101"/>
        <item m="1" x="67"/>
        <item x="47"/>
        <item x="48"/>
        <item x="49"/>
        <item x="50"/>
        <item x="52"/>
        <item m="1" x="90"/>
        <item x="53"/>
        <item x="54"/>
        <item x="55"/>
        <item m="1" x="78"/>
        <item m="1" x="95"/>
        <item m="1" x="68"/>
        <item m="1" x="60"/>
        <item m="1" x="70"/>
        <item x="2"/>
        <item m="1" x="81"/>
        <item m="1" x="73"/>
        <item m="1" x="98"/>
        <item m="1" x="87"/>
        <item m="1" x="109"/>
        <item x="13"/>
        <item m="1" x="64"/>
        <item m="1" x="106"/>
        <item m="1" x="82"/>
        <item m="1" x="76"/>
        <item m="1" x="79"/>
        <item m="1" x="80"/>
        <item m="1" x="69"/>
        <item x="45"/>
        <item m="1" x="85"/>
        <item x="51"/>
        <item m="1" x="65"/>
        <item m="1" x="74"/>
        <item x="9"/>
        <item x="14"/>
        <item x="15"/>
        <item x="18"/>
        <item x="22"/>
        <item x="28"/>
        <item x="29"/>
        <item x="31"/>
        <item x="34"/>
        <item x="43"/>
        <item x="46"/>
        <item x="56"/>
        <item x="57"/>
        <item x="58"/>
        <item t="default"/>
      </items>
    </pivotField>
    <pivotField axis="axisCol" compact="0" numFmtId="14" outline="0" showAll="0">
      <items count="240">
        <item m="1" x="8"/>
        <item m="1" x="185"/>
        <item m="1" x="126"/>
        <item m="1" x="180"/>
        <item m="1" x="120"/>
        <item m="1" x="61"/>
        <item m="1" x="234"/>
        <item m="1" x="174"/>
        <item m="1" x="114"/>
        <item m="1" x="55"/>
        <item m="1" x="228"/>
        <item m="1" x="168"/>
        <item m="1" x="109"/>
        <item m="1" x="51"/>
        <item m="1" x="224"/>
        <item m="1" x="164"/>
        <item m="1" x="123"/>
        <item m="1" x="64"/>
        <item m="1" x="237"/>
        <item m="1" x="177"/>
        <item m="1" x="117"/>
        <item m="1" x="58"/>
        <item m="1" x="231"/>
        <item m="1" x="171"/>
        <item m="1" x="112"/>
        <item m="1" x="53"/>
        <item m="1" x="226"/>
        <item m="1" x="166"/>
        <item m="1" x="107"/>
        <item m="1" x="49"/>
        <item m="1" x="222"/>
        <item m="1" x="162"/>
        <item m="1" x="104"/>
        <item m="1" x="45"/>
        <item m="1" x="218"/>
        <item m="1" x="157"/>
        <item m="1" x="99"/>
        <item m="1" x="40"/>
        <item m="1" x="213"/>
        <item m="1" x="153"/>
        <item m="1" x="95"/>
        <item m="1" x="36"/>
        <item m="1" x="209"/>
        <item m="1" x="149"/>
        <item m="1" x="90"/>
        <item m="1" x="159"/>
        <item m="1" x="101"/>
        <item m="1" x="42"/>
        <item m="1" x="215"/>
        <item m="1" x="155"/>
        <item m="1" x="97"/>
        <item m="1" x="38"/>
        <item m="1" x="211"/>
        <item m="1" x="151"/>
        <item m="1" x="93"/>
        <item m="1" x="34"/>
        <item m="1" x="206"/>
        <item m="1" x="147"/>
        <item m="1" x="88"/>
        <item m="1" x="31"/>
        <item m="1" x="23"/>
        <item m="1" x="195"/>
        <item m="1" x="136"/>
        <item m="1" x="76"/>
        <item m="1" x="19"/>
        <item m="1" x="191"/>
        <item m="1" x="133"/>
        <item m="1" x="73"/>
        <item m="1" x="16"/>
        <item m="1" x="201"/>
        <item m="1" x="142"/>
        <item m="1" x="82"/>
        <item m="1" x="25"/>
        <item m="1" x="197"/>
        <item m="1" x="138"/>
        <item m="1" x="78"/>
        <item m="1" x="21"/>
        <item m="1" x="193"/>
        <item m="1" x="134"/>
        <item m="1" x="74"/>
        <item m="1" x="17"/>
        <item m="1" x="189"/>
        <item m="1" x="131"/>
        <item m="1" x="71"/>
        <item m="1" x="14"/>
        <item m="1" x="187"/>
        <item m="1" x="128"/>
        <item m="1" x="68"/>
        <item m="1" x="10"/>
        <item m="1" x="182"/>
        <item m="1" x="122"/>
        <item m="1" x="63"/>
        <item m="1" x="236"/>
        <item m="1" x="176"/>
        <item m="1" x="116"/>
        <item m="1" x="57"/>
        <item m="1" x="230"/>
        <item m="1" x="170"/>
        <item m="1" x="111"/>
        <item m="1" x="12"/>
        <item m="1" x="184"/>
        <item m="1" x="125"/>
        <item m="1" x="66"/>
        <item m="1" x="7"/>
        <item m="1" x="179"/>
        <item m="1" x="119"/>
        <item m="1" x="60"/>
        <item m="1" x="233"/>
        <item m="1" x="173"/>
        <item m="1" x="113"/>
        <item m="1" x="54"/>
        <item m="1" x="227"/>
        <item m="1" x="167"/>
        <item m="1" x="108"/>
        <item m="1" x="50"/>
        <item m="1" x="223"/>
        <item m="1" x="163"/>
        <item m="1" x="105"/>
        <item m="1" x="46"/>
        <item m="1" x="219"/>
        <item m="1" x="158"/>
        <item m="1" x="100"/>
        <item m="1" x="41"/>
        <item m="1" x="214"/>
        <item m="1" x="154"/>
        <item m="1" x="96"/>
        <item m="1" x="37"/>
        <item m="1" x="210"/>
        <item m="1" x="150"/>
        <item m="1" x="92"/>
        <item m="1" x="48"/>
        <item m="1" x="221"/>
        <item m="1" x="161"/>
        <item m="1" x="103"/>
        <item m="1" x="44"/>
        <item m="1" x="217"/>
        <item m="1" x="156"/>
        <item m="1" x="98"/>
        <item m="1" x="39"/>
        <item m="1" x="212"/>
        <item m="1" x="152"/>
        <item m="1" x="94"/>
        <item m="1" x="35"/>
        <item m="1" x="208"/>
        <item m="1" x="148"/>
        <item m="1" x="89"/>
        <item m="1" x="32"/>
        <item m="1" x="204"/>
        <item m="1" x="145"/>
        <item m="1" x="85"/>
        <item m="1" x="28"/>
        <item m="1" x="200"/>
        <item m="1" x="141"/>
        <item m="1" x="81"/>
        <item m="1" x="24"/>
        <item m="1" x="196"/>
        <item m="1" x="137"/>
        <item m="1" x="77"/>
        <item m="1" x="20"/>
        <item m="1" x="192"/>
        <item m="1" x="87"/>
        <item m="1" x="30"/>
        <item m="1" x="203"/>
        <item m="1" x="144"/>
        <item m="1" x="84"/>
        <item m="1" x="27"/>
        <item m="1" x="199"/>
        <item m="1" x="140"/>
        <item m="1" x="80"/>
        <item m="1" x="22"/>
        <item m="1" x="194"/>
        <item m="1" x="135"/>
        <item m="1" x="75"/>
        <item m="1" x="18"/>
        <item m="1" x="190"/>
        <item m="1" x="132"/>
        <item m="1" x="72"/>
        <item m="1" x="15"/>
        <item m="1" x="188"/>
        <item m="1" x="129"/>
        <item m="1" x="69"/>
        <item m="1" x="11"/>
        <item m="1" x="183"/>
        <item m="1" x="124"/>
        <item m="1" x="65"/>
        <item m="1" x="238"/>
        <item m="1" x="178"/>
        <item m="1" x="118"/>
        <item m="1" x="59"/>
        <item m="1" x="232"/>
        <item m="1" x="172"/>
        <item m="1" x="130"/>
        <item m="1" x="70"/>
        <item m="1" x="13"/>
        <item m="1" x="186"/>
        <item m="1" x="127"/>
        <item m="1" x="67"/>
        <item m="1" x="9"/>
        <item m="1" x="181"/>
        <item m="1" x="121"/>
        <item m="1" x="62"/>
        <item m="1" x="235"/>
        <item m="1" x="175"/>
        <item m="1" x="115"/>
        <item m="1" x="56"/>
        <item m="1" x="229"/>
        <item m="1" x="169"/>
        <item m="1" x="110"/>
        <item m="1" x="52"/>
        <item m="1" x="225"/>
        <item m="1" x="165"/>
        <item m="1" x="106"/>
        <item m="1" x="47"/>
        <item m="1" x="220"/>
        <item m="1" x="160"/>
        <item m="1" x="102"/>
        <item m="1" x="43"/>
        <item m="1" x="216"/>
        <item m="1" x="91"/>
        <item m="1" x="33"/>
        <item m="1" x="205"/>
        <item m="1" x="146"/>
        <item m="1" x="86"/>
        <item m="1" x="29"/>
        <item m="1" x="202"/>
        <item m="1" x="143"/>
        <item m="1" x="83"/>
        <item m="1" x="26"/>
        <item m="1" x="198"/>
        <item m="1" x="139"/>
        <item m="1" x="79"/>
        <item m="1" x="207"/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 defaultSubtota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46" outline="0" showAll="0"/>
    <pivotField dataField="1" compact="0" numFmtId="165" outline="0" showAll="0"/>
    <pivotField compact="0" outline="0" showAll="0" defaultSubtotal="0"/>
    <pivotField compact="0" outline="0" showAll="0" defaultSubtotal="0"/>
    <pivotField compact="0" numFmtId="2" outline="0" showAll="0"/>
    <pivotField compact="0" numFmtId="2" outline="0" showAll="0"/>
    <pivotField compact="0" numFmtId="2" outline="0" showAll="0"/>
    <pivotField compact="0" outline="0" showAll="0" defaultSubtotal="0"/>
    <pivotField compact="0" numFmtId="1" outline="0" showAll="0"/>
    <pivotField compact="0" outline="0" showAll="0"/>
    <pivotField compact="0" numFmtId="1" outline="0" showAll="0"/>
    <pivotField compact="0" numFmtId="2" outline="0" showAll="0" defaultSubtotal="0"/>
    <pivotField compact="0" numFmtId="2" outline="0" showAll="0" defaultSubtotal="0"/>
    <pivotField compact="0" outline="0" showAll="0"/>
    <pivotField compact="0" outline="0" showAll="0"/>
    <pivotField compact="0" outline="0" showAl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outline="0" showAll="0"/>
    <pivotField compact="0" outline="0" showAll="0"/>
    <pivotField compact="0" outline="0" showAll="0"/>
    <pivotField compact="0" numFmtId="2" outline="0" showAll="0" defaultSubtotal="0"/>
    <pivotField compact="0" numFmtId="2" outline="0" showAll="0" defaultSubtotal="0"/>
  </pivotFields>
  <rowFields count="1">
    <field x="7"/>
  </rowFields>
  <rowItems count="49">
    <i>
      <x/>
    </i>
    <i>
      <x v="6"/>
    </i>
    <i>
      <x v="9"/>
    </i>
    <i>
      <x v="10"/>
    </i>
    <i>
      <x v="11"/>
    </i>
    <i>
      <x v="12"/>
    </i>
    <i>
      <x v="16"/>
    </i>
    <i>
      <x v="19"/>
    </i>
    <i>
      <x v="20"/>
    </i>
    <i>
      <x v="26"/>
    </i>
    <i>
      <x v="28"/>
    </i>
    <i>
      <x v="30"/>
    </i>
    <i>
      <x v="31"/>
    </i>
    <i>
      <x v="33"/>
    </i>
    <i>
      <x v="35"/>
    </i>
    <i>
      <x v="36"/>
    </i>
    <i>
      <x v="39"/>
    </i>
    <i>
      <x v="43"/>
    </i>
    <i>
      <x v="44"/>
    </i>
    <i>
      <x v="46"/>
    </i>
    <i>
      <x v="47"/>
    </i>
    <i>
      <x v="48"/>
    </i>
    <i>
      <x v="51"/>
    </i>
    <i>
      <x v="52"/>
    </i>
    <i>
      <x v="53"/>
    </i>
    <i>
      <x v="55"/>
    </i>
    <i>
      <x v="58"/>
    </i>
    <i>
      <x v="63"/>
    </i>
    <i>
      <x v="64"/>
    </i>
    <i>
      <x v="65"/>
    </i>
    <i>
      <x v="66"/>
    </i>
    <i>
      <x v="67"/>
    </i>
    <i>
      <x v="69"/>
    </i>
    <i>
      <x v="70"/>
    </i>
    <i>
      <x v="71"/>
    </i>
    <i>
      <x v="77"/>
    </i>
    <i>
      <x v="91"/>
    </i>
    <i>
      <x v="93"/>
    </i>
    <i>
      <x v="96"/>
    </i>
    <i>
      <x v="97"/>
    </i>
    <i>
      <x v="98"/>
    </i>
    <i>
      <x v="99"/>
    </i>
    <i>
      <x v="100"/>
    </i>
    <i>
      <x v="103"/>
    </i>
    <i>
      <x v="104"/>
    </i>
    <i>
      <x v="105"/>
    </i>
    <i>
      <x v="107"/>
    </i>
    <i>
      <x v="109"/>
    </i>
    <i t="grand">
      <x/>
    </i>
  </rowItems>
  <colFields count="1">
    <field x="8"/>
  </colFields>
  <colItems count="8">
    <i>
      <x v="232"/>
    </i>
    <i>
      <x v="233"/>
    </i>
    <i>
      <x v="234"/>
    </i>
    <i>
      <x v="235"/>
    </i>
    <i>
      <x v="236"/>
    </i>
    <i>
      <x v="237"/>
    </i>
    <i>
      <x v="238"/>
    </i>
    <i t="grand">
      <x/>
    </i>
  </colItems>
  <pageFields count="2">
    <pageField fld="2" hier="-1"/>
    <pageField fld="4" hier="-1"/>
  </pageFields>
  <dataFields count="1">
    <dataField name="Cuenta de H.EXTRAS" fld="18" subtotal="count" baseField="0" baseItem="0"/>
  </dataFields>
  <formats count="6">
    <format dxfId="1845">
      <pivotArea outline="0" collapsedLevelsAreSubtotals="1" fieldPosition="0"/>
    </format>
    <format dxfId="1844">
      <pivotArea outline="0" collapsedLevelsAreSubtotals="1" fieldPosition="0"/>
    </format>
    <format dxfId="1843">
      <pivotArea outline="0" collapsedLevelsAreSubtotals="1" fieldPosition="0"/>
    </format>
    <format dxfId="1842">
      <pivotArea outline="0" collapsedLevelsAreSubtotals="1" fieldPosition="0"/>
    </format>
    <format dxfId="1841">
      <pivotArea outline="0" collapsedLevelsAreSubtotals="1" fieldPosition="0"/>
    </format>
    <format dxfId="1840">
      <pivotArea outline="0" collapsedLevelsAreSubtotals="1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5:AP407" totalsRowShown="0" headerRowDxfId="2202">
  <autoFilter ref="A5:AP407" xr:uid="{00000000-0009-0000-0100-000001000000}"/>
  <sortState xmlns:xlrd2="http://schemas.microsoft.com/office/spreadsheetml/2017/richdata2" ref="A16:AI322">
    <sortCondition descending="1" ref="H5:H363"/>
  </sortState>
  <tableColumns count="42">
    <tableColumn id="20" xr3:uid="{00000000-0010-0000-0000-000014000000}" name="DIA" dataDxfId="2201">
      <calculatedColumnFormula>TEXT(Tabla1[[#This Row],[FECHA ]],"DDDDD")</calculatedColumnFormula>
    </tableColumn>
    <tableColumn id="24" xr3:uid="{00000000-0010-0000-0000-000018000000}" name="PUNTO" dataDxfId="2200">
      <calculatedColumnFormula>_xlfn.IFNA(VLOOKUP(Tabla1[[#This Row],[DESTINO]],RUBRO!$Q$1:$R$9996,2,FALSE)," ")</calculatedColumnFormula>
    </tableColumn>
    <tableColumn id="9" xr3:uid="{00000000-0010-0000-0000-000009000000}" name="N° SEMANA" dataDxfId="2199">
      <calculatedColumnFormula>WEEKNUM(Tabla1[[#This Row],[FECHA ]],2)</calculatedColumnFormula>
    </tableColumn>
    <tableColumn id="13" xr3:uid="{00000000-0010-0000-0000-00000D000000}" name="N° MES" dataDxfId="2198">
      <calculatedColumnFormula>TEXT(Tabla1[[#This Row],[FECHA ]],"MMM-YY")</calculatedColumnFormula>
    </tableColumn>
    <tableColumn id="12" xr3:uid="{00000000-0010-0000-0000-00000C000000}" name="CONDICION" dataDxfId="2197">
      <calculatedColumnFormula>VLOOKUP(Tabla1[[#This Row],[DNI ]],RUBRO!$F$1:$O$9996,7,FALSE)</calculatedColumnFormula>
    </tableColumn>
    <tableColumn id="27" xr3:uid="{00000000-0010-0000-0000-00001B000000}" name="PERFIL" dataDxfId="2196">
      <calculatedColumnFormula>VLOOKUP(Tabla1[[#This Row],[DNI ]],RUBRO!$F$1:$O$88,3,FALSE)</calculatedColumnFormula>
    </tableColumn>
    <tableColumn id="28" xr3:uid="{00000000-0010-0000-0000-00001C000000}" name="DETALLE PERFIL" dataDxfId="2195">
      <calculatedColumnFormula>VLOOKUP(Tabla1[[#This Row],[DNI ]],RUBRO!$F$1:$O$9996,5,FALSE)</calculatedColumnFormula>
    </tableColumn>
    <tableColumn id="2" xr3:uid="{00000000-0010-0000-0000-000002000000}" name="TRABAJADOR" dataDxfId="2194">
      <calculatedColumnFormula>VLOOKUP(Tabla1[[#This Row],[DNI ]],RUBRO!$F$1:$O$9996,6,FALSE)</calculatedColumnFormula>
    </tableColumn>
    <tableColumn id="25" xr3:uid="{00000000-0010-0000-0000-000019000000}" name="FECHA " dataDxfId="2193"/>
    <tableColumn id="29" xr3:uid="{00000000-0010-0000-0000-00001D000000}" name="DESTINO" dataDxfId="2192"/>
    <tableColumn id="26" xr3:uid="{00000000-0010-0000-0000-00001A000000}" name="DNI " dataDxfId="2191"/>
    <tableColumn id="4" xr3:uid="{00000000-0010-0000-0000-000004000000}" name="DIARIO" dataDxfId="2190">
      <calculatedColumnFormula>VLOOKUP(Tabla1[[#This Row],[DNI ]],RUBRO!$F$2:$O$9996,8,FALSE)</calculatedColumnFormula>
    </tableColumn>
    <tableColumn id="5" xr3:uid="{00000000-0010-0000-0000-000005000000}" name="INGRESO" dataDxfId="2189"/>
    <tableColumn id="36" xr3:uid="{00000000-0010-0000-0000-000024000000}" name="INICIO" dataDxfId="2188"/>
    <tableColumn id="37" xr3:uid="{00000000-0010-0000-0000-000025000000}" name="FIN " dataDxfId="2187"/>
    <tableColumn id="6" xr3:uid="{00000000-0010-0000-0000-000006000000}" name="SALIDA" dataDxfId="2186"/>
    <tableColumn id="30" xr3:uid="{00000000-0010-0000-0000-00001E000000}" name="T.HORAS" dataDxfId="2185">
      <calculatedColumnFormula>(Tabla1[[#This Row],[SALIDA]]-Tabla1[[#This Row],[FIN ]])+(Tabla1[[#This Row],[INICIO]]-Tabla1[[#This Row],[INGRESO]])</calculatedColumnFormula>
    </tableColumn>
    <tableColumn id="31" xr3:uid="{00000000-0010-0000-0000-00001F000000}" name="H.NORMALES" dataDxfId="2184">
      <calculatedColumnFormula>IF(J6=1,IF(Q6&gt;$AU$1,$AU$1,Q6),0)+IF(J6=2,IF(Q6&gt;$AU$3,$AU$3,Q6),0)+IF(J6=8,IF(Q6&gt;$AU$5,$AU$5,Q6),0)</calculatedColumnFormula>
    </tableColumn>
    <tableColumn id="32" xr3:uid="{00000000-0010-0000-0000-000020000000}" name="H.EXTRAS" dataDxfId="2183">
      <calculatedColumnFormula>IF(J6=1,IF(Q6&gt;$AU$1,(Q6-R6),0),0)+IF(J6=2,IF(Q6&gt;$AU$3,(Q6-R6),0),0)+IF(J6=8,IF(Q6&gt;$AU$5,(Q6-R6),0),0)</calculatedColumnFormula>
    </tableColumn>
    <tableColumn id="35" xr3:uid="{00000000-0010-0000-0000-000023000000}" name="HORAS 25 % " dataDxfId="2182"/>
    <tableColumn id="38" xr3:uid="{00000000-0010-0000-0000-000026000000}" name="HORAS 35% " dataDxfId="2181"/>
    <tableColumn id="41" xr3:uid="{00000000-0010-0000-0000-000029000000}" name="C.HORA.25" dataDxfId="2180">
      <calculatedColumnFormula>(Tabla1[[#This Row],[COS.BASE 3]]*0.25+Tabla1[[#This Row],[COS.BASE 3]])*Tabla1[[#This Row],[HORAS 25 % ]]</calculatedColumnFormula>
    </tableColumn>
    <tableColumn id="42" xr3:uid="{00000000-0010-0000-0000-00002A000000}" name="C.HORA.35" dataDxfId="2179">
      <calculatedColumnFormula>(Tabla1[[#This Row],[COS.BASE 3]]*0.35+Tabla1[[#This Row],[COS.BASE 3]])*Tabla1[[#This Row],[HORAS 35% ]]</calculatedColumnFormula>
    </tableColumn>
    <tableColumn id="39" xr3:uid="{00000000-0010-0000-0000-000027000000}" name="CST_H_E" dataDxfId="2178">
      <calculatedColumnFormula>SUM(Tabla1[[#This Row],[C.HORA.35]],Tabla1[[#This Row],[C.HORA.25]])</calculatedColumnFormula>
    </tableColumn>
    <tableColumn id="43" xr3:uid="{00000000-0010-0000-0000-00002B000000}" name="C.H" dataDxfId="2177"/>
    <tableColumn id="1" xr3:uid="{00000000-0010-0000-0000-000001000000}" name="T.H" dataDxfId="2176">
      <calculatedColumnFormula>Tabla1[[#This Row],[T.HORAS]]*24</calculatedColumnFormula>
    </tableColumn>
    <tableColumn id="3" xr3:uid="{00000000-0010-0000-0000-000003000000}" name="H.N" dataDxfId="2175">
      <calculatedColumnFormula>Tabla1[[#This Row],[H.NORMALES]]*24</calculatedColumnFormula>
    </tableColumn>
    <tableColumn id="8" xr3:uid="{00000000-0010-0000-0000-000008000000}" name="H.E" dataDxfId="2174">
      <calculatedColumnFormula>Tabla1[[#This Row],[H.EXTRAS]]*24</calculatedColumnFormula>
    </tableColumn>
    <tableColumn id="7" xr3:uid="{00000000-0010-0000-0000-000007000000}" name="COS.BASE 2" dataDxfId="2173" dataCellStyle="Moneda">
      <calculatedColumnFormula>IF(J6=1,(((R6*24)*(L6/9))),0)+IF(J6=2,(((R6*24)*(L6/8))),0)+IF(J6=8,(((R6*24)*(L6/8))),0)</calculatedColumnFormula>
    </tableColumn>
    <tableColumn id="40" xr3:uid="{00000000-0010-0000-0000-000028000000}" name="COS.BASE 3" dataDxfId="2172" dataCellStyle="Moneda">
      <calculatedColumnFormula>Tabla1[[#This Row],[COS.BASE 2]]/8</calculatedColumnFormula>
    </tableColumn>
    <tableColumn id="21" xr3:uid="{00000000-0010-0000-0000-000015000000}" name="COS.B+E" dataDxfId="2171" dataCellStyle="Moneda">
      <calculatedColumnFormula>Tabla1[[#This Row],[CST_H_E]]+Tabla1[[#This Row],[COS.BASE 2]]</calculatedColumnFormula>
    </tableColumn>
    <tableColumn id="11" xr3:uid="{00000000-0010-0000-0000-00000B000000}" name="F" dataDxfId="2170" dataCellStyle="Moneda">
      <calculatedColumnFormula>+_xlfn.IFNA(INDEX(RUBRO!$W$2:$AA$732,MATCH(Tabla1[[#This Row],[FECHA ]],RUBRO!$W$2:$W$732,0),5)," ")</calculatedColumnFormula>
    </tableColumn>
    <tableColumn id="10" xr3:uid="{00000000-0010-0000-0000-00000A000000}" name="D" dataDxfId="2169">
      <calculatedColumnFormula>+_xlfn.IFNA(INDEX(RUBRO!$W$2:$AA$732,MATCH(Tabla1[[#This Row],[FECHA ]],RUBRO!$W$2:$W$732,0),2)," ")</calculatedColumnFormula>
    </tableColumn>
    <tableColumn id="14" xr3:uid="{00000000-0010-0000-0000-00000E000000}" name="COS.F1" dataDxfId="2168">
      <calculatedColumnFormula>IFERROR(Tabla1[[#This Row],[F]]*Tabla1[[#This Row],[COS.B+E]]," ")</calculatedColumnFormula>
    </tableColumn>
    <tableColumn id="15" xr3:uid="{00000000-0010-0000-0000-00000F000000}" name="COS.D1" dataDxfId="2167">
      <calculatedColumnFormula>IFERROR(Tabla1[[#This Row],[COS.B+E]]*Tabla1[[#This Row],[D]]," ")</calculatedColumnFormula>
    </tableColumn>
    <tableColumn id="23" xr3:uid="{00000000-0010-0000-0000-000017000000}" name="COS F2" dataDxfId="2166">
      <calculatedColumnFormula>IFERROR(Tabla1[[#This Row],[F]]*#REF!," ")</calculatedColumnFormula>
    </tableColumn>
    <tableColumn id="33" xr3:uid="{00000000-0010-0000-0000-000021000000}" name="COS D2" dataDxfId="2165">
      <calculatedColumnFormula>IFERROR(#REF!*Tabla1[[#This Row],[D]]," ")</calculatedColumnFormula>
    </tableColumn>
    <tableColumn id="16" xr3:uid="{00000000-0010-0000-0000-000010000000}" name="ALIMENTACION" dataDxfId="2164"/>
    <tableColumn id="17" xr3:uid="{00000000-0010-0000-0000-000011000000}" name="PRESTAMO" dataDxfId="2163"/>
    <tableColumn id="22" xr3:uid="{00000000-0010-0000-0000-000016000000}" name="PASAJES" dataDxfId="2162"/>
    <tableColumn id="34" xr3:uid="{00000000-0010-0000-0000-000022000000}" name="MONTO 4 TA" dataDxfId="2161">
      <calculatedColumnFormula>+Tabla1[[#This Row],[COS.B+E]]+Tabla1[[#This Row],[COS.F1]]+Tabla1[[#This Row],[COS.D1]]+Tabla1[[#This Row],[ALIMENTACION]]+Tabla1[[#This Row],[PRESTAMO]]+AN6</calculatedColumnFormula>
    </tableColumn>
    <tableColumn id="18" xr3:uid="{00000000-0010-0000-0000-000012000000}" name="MONTO 5TA" dataDxfId="2160">
      <calculatedColumnFormula>+#REF!+Tabla1[[#This Row],[COS F2]]+Tabla1[[#This Row],[COS D2]]+Tabla1[[#This Row],[ALIMENTACION]]+Tabla1[[#This Row],[PRESTAMO]]+Tabla1[[#This Row],[PASAJES]]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opLeftCell="A39" workbookViewId="0">
      <selection activeCell="A50" sqref="A50"/>
    </sheetView>
  </sheetViews>
  <sheetFormatPr baseColWidth="10" defaultRowHeight="15" x14ac:dyDescent="0.25"/>
  <cols>
    <col min="1" max="1" width="38.28515625" customWidth="1"/>
    <col min="2" max="2" width="11.42578125" style="5"/>
  </cols>
  <sheetData>
    <row r="1" spans="1:2" x14ac:dyDescent="0.25">
      <c r="A1" t="s">
        <v>78</v>
      </c>
      <c r="B1" s="5">
        <v>80640163</v>
      </c>
    </row>
    <row r="2" spans="1:2" x14ac:dyDescent="0.25">
      <c r="A2" t="s">
        <v>17</v>
      </c>
      <c r="B2" s="5">
        <v>46108491</v>
      </c>
    </row>
    <row r="3" spans="1:2" x14ac:dyDescent="0.25">
      <c r="A3" t="s">
        <v>9</v>
      </c>
      <c r="B3" s="5">
        <v>45686225</v>
      </c>
    </row>
    <row r="4" spans="1:2" x14ac:dyDescent="0.25">
      <c r="A4" t="s">
        <v>69</v>
      </c>
      <c r="B4" s="2">
        <v>74863779</v>
      </c>
    </row>
    <row r="5" spans="1:2" x14ac:dyDescent="0.25">
      <c r="A5" t="s">
        <v>70</v>
      </c>
      <c r="B5" s="2">
        <v>80483542</v>
      </c>
    </row>
    <row r="6" spans="1:2" x14ac:dyDescent="0.25">
      <c r="A6" t="s">
        <v>51</v>
      </c>
      <c r="B6" s="2">
        <v>75557820</v>
      </c>
    </row>
    <row r="7" spans="1:2" x14ac:dyDescent="0.25">
      <c r="A7" t="s">
        <v>71</v>
      </c>
      <c r="B7" s="5">
        <v>48446313</v>
      </c>
    </row>
    <row r="8" spans="1:2" x14ac:dyDescent="0.25">
      <c r="A8" t="s">
        <v>13</v>
      </c>
      <c r="B8" s="5">
        <v>47466045</v>
      </c>
    </row>
    <row r="9" spans="1:2" x14ac:dyDescent="0.25">
      <c r="A9" t="s">
        <v>25</v>
      </c>
      <c r="B9" s="5">
        <v>16792081</v>
      </c>
    </row>
    <row r="10" spans="1:2" x14ac:dyDescent="0.25">
      <c r="A10" t="s">
        <v>112</v>
      </c>
      <c r="B10" s="2">
        <v>73130745</v>
      </c>
    </row>
    <row r="11" spans="1:2" x14ac:dyDescent="0.25">
      <c r="A11" t="s">
        <v>72</v>
      </c>
      <c r="B11" s="5">
        <v>27291529</v>
      </c>
    </row>
    <row r="12" spans="1:2" x14ac:dyDescent="0.25">
      <c r="A12" t="s">
        <v>19</v>
      </c>
      <c r="B12" s="5">
        <v>47711616</v>
      </c>
    </row>
    <row r="13" spans="1:2" x14ac:dyDescent="0.25">
      <c r="A13" t="s">
        <v>20</v>
      </c>
      <c r="B13" s="5">
        <v>48237026</v>
      </c>
    </row>
    <row r="14" spans="1:2" x14ac:dyDescent="0.25">
      <c r="A14" t="s">
        <v>74</v>
      </c>
      <c r="B14" s="5">
        <v>47055982</v>
      </c>
    </row>
    <row r="15" spans="1:2" x14ac:dyDescent="0.25">
      <c r="A15" t="s">
        <v>46</v>
      </c>
      <c r="B15" s="2">
        <v>45486657</v>
      </c>
    </row>
    <row r="16" spans="1:2" x14ac:dyDescent="0.25">
      <c r="A16" t="s">
        <v>21</v>
      </c>
      <c r="B16" s="5">
        <v>75322465</v>
      </c>
    </row>
    <row r="17" spans="1:2" x14ac:dyDescent="0.25">
      <c r="A17" t="s">
        <v>102</v>
      </c>
      <c r="B17" s="5">
        <v>77423720</v>
      </c>
    </row>
    <row r="18" spans="1:2" x14ac:dyDescent="0.25">
      <c r="A18" t="s">
        <v>76</v>
      </c>
      <c r="B18" s="2">
        <v>75461003</v>
      </c>
    </row>
    <row r="19" spans="1:2" x14ac:dyDescent="0.25">
      <c r="A19" t="s">
        <v>22</v>
      </c>
      <c r="B19" s="5">
        <v>47321409</v>
      </c>
    </row>
    <row r="20" spans="1:2" x14ac:dyDescent="0.25">
      <c r="A20" t="s">
        <v>77</v>
      </c>
      <c r="B20" s="5">
        <v>70133802</v>
      </c>
    </row>
    <row r="21" spans="1:2" x14ac:dyDescent="0.25">
      <c r="A21" t="s">
        <v>33</v>
      </c>
      <c r="B21" s="5">
        <v>43543039</v>
      </c>
    </row>
    <row r="22" spans="1:2" x14ac:dyDescent="0.25">
      <c r="A22" t="s">
        <v>31</v>
      </c>
      <c r="B22" s="5">
        <v>45035778</v>
      </c>
    </row>
    <row r="23" spans="1:2" x14ac:dyDescent="0.25">
      <c r="A23" t="s">
        <v>80</v>
      </c>
      <c r="B23" s="5">
        <v>47555533</v>
      </c>
    </row>
    <row r="24" spans="1:2" x14ac:dyDescent="0.25">
      <c r="A24" t="s">
        <v>12</v>
      </c>
      <c r="B24" s="5">
        <v>48046568</v>
      </c>
    </row>
    <row r="25" spans="1:2" x14ac:dyDescent="0.25">
      <c r="A25" t="s">
        <v>15</v>
      </c>
      <c r="B25" s="5">
        <v>45046642</v>
      </c>
    </row>
    <row r="26" spans="1:2" x14ac:dyDescent="0.25">
      <c r="A26" t="s">
        <v>18</v>
      </c>
      <c r="B26" s="5">
        <v>10664396</v>
      </c>
    </row>
    <row r="27" spans="1:2" x14ac:dyDescent="0.25">
      <c r="A27" t="s">
        <v>87</v>
      </c>
      <c r="B27" s="5">
        <v>46228460</v>
      </c>
    </row>
    <row r="28" spans="1:2" x14ac:dyDescent="0.25">
      <c r="A28" t="s">
        <v>111</v>
      </c>
      <c r="B28" s="5">
        <v>71995358</v>
      </c>
    </row>
    <row r="29" spans="1:2" x14ac:dyDescent="0.25">
      <c r="A29" t="s">
        <v>92</v>
      </c>
      <c r="B29" s="2">
        <v>62188868</v>
      </c>
    </row>
    <row r="30" spans="1:2" x14ac:dyDescent="0.25">
      <c r="A30" t="s">
        <v>10</v>
      </c>
      <c r="B30" s="5">
        <v>44983080</v>
      </c>
    </row>
    <row r="31" spans="1:2" x14ac:dyDescent="0.25">
      <c r="A31" t="s">
        <v>26</v>
      </c>
      <c r="B31" s="5">
        <v>73541627</v>
      </c>
    </row>
    <row r="32" spans="1:2" x14ac:dyDescent="0.25">
      <c r="A32" t="s">
        <v>95</v>
      </c>
      <c r="B32" s="5">
        <v>76811302</v>
      </c>
    </row>
    <row r="33" spans="1:2" x14ac:dyDescent="0.25">
      <c r="A33" t="s">
        <v>44</v>
      </c>
      <c r="B33" s="2">
        <v>76457697</v>
      </c>
    </row>
    <row r="34" spans="1:2" x14ac:dyDescent="0.25">
      <c r="A34" t="s">
        <v>27</v>
      </c>
      <c r="B34" s="5">
        <v>47586740</v>
      </c>
    </row>
    <row r="35" spans="1:2" x14ac:dyDescent="0.25">
      <c r="A35" t="s">
        <v>96</v>
      </c>
      <c r="B35" s="5">
        <v>72241927</v>
      </c>
    </row>
    <row r="36" spans="1:2" x14ac:dyDescent="0.25">
      <c r="A36" t="s">
        <v>28</v>
      </c>
      <c r="B36" s="5">
        <v>76785790</v>
      </c>
    </row>
    <row r="37" spans="1:2" x14ac:dyDescent="0.25">
      <c r="A37" t="s">
        <v>45</v>
      </c>
      <c r="B37" s="2">
        <v>72241926</v>
      </c>
    </row>
    <row r="38" spans="1:2" x14ac:dyDescent="0.25">
      <c r="A38" t="s">
        <v>29</v>
      </c>
      <c r="B38" s="5">
        <v>45821420</v>
      </c>
    </row>
    <row r="39" spans="1:2" x14ac:dyDescent="0.25">
      <c r="A39" t="s">
        <v>47</v>
      </c>
      <c r="B39" s="2">
        <v>74359947</v>
      </c>
    </row>
    <row r="40" spans="1:2" x14ac:dyDescent="0.25">
      <c r="A40" t="s">
        <v>49</v>
      </c>
      <c r="B40" s="2">
        <v>47942907</v>
      </c>
    </row>
    <row r="41" spans="1:2" x14ac:dyDescent="0.25">
      <c r="A41" t="s">
        <v>14</v>
      </c>
      <c r="B41" s="2">
        <v>48372384</v>
      </c>
    </row>
    <row r="42" spans="1:2" x14ac:dyDescent="0.25">
      <c r="A42" t="s">
        <v>100</v>
      </c>
      <c r="B42" s="5">
        <v>42308744</v>
      </c>
    </row>
    <row r="43" spans="1:2" x14ac:dyDescent="0.25">
      <c r="A43" t="s">
        <v>79</v>
      </c>
      <c r="B43" s="5">
        <v>42558469</v>
      </c>
    </row>
    <row r="44" spans="1:2" x14ac:dyDescent="0.25">
      <c r="A44" t="s">
        <v>113</v>
      </c>
      <c r="B44" s="5">
        <v>45779525</v>
      </c>
    </row>
    <row r="45" spans="1:2" x14ac:dyDescent="0.25">
      <c r="A45" t="s">
        <v>11</v>
      </c>
      <c r="B45" s="5">
        <v>73147673</v>
      </c>
    </row>
    <row r="46" spans="1:2" x14ac:dyDescent="0.25">
      <c r="A46" t="s">
        <v>23</v>
      </c>
      <c r="B46" s="5">
        <v>45545014</v>
      </c>
    </row>
    <row r="47" spans="1:2" x14ac:dyDescent="0.25">
      <c r="A47" t="s">
        <v>32</v>
      </c>
      <c r="B47" s="5">
        <v>72926564</v>
      </c>
    </row>
    <row r="48" spans="1:2" x14ac:dyDescent="0.25">
      <c r="A48" t="s">
        <v>52</v>
      </c>
      <c r="B48" s="2">
        <v>76022523</v>
      </c>
    </row>
    <row r="49" spans="1:2" x14ac:dyDescent="0.25">
      <c r="A49" t="s">
        <v>24</v>
      </c>
      <c r="B49" s="5">
        <v>70858509</v>
      </c>
    </row>
    <row r="50" spans="1:2" x14ac:dyDescent="0.25">
      <c r="A50" t="s">
        <v>103</v>
      </c>
      <c r="B50" s="5">
        <v>45360771</v>
      </c>
    </row>
    <row r="51" spans="1:2" x14ac:dyDescent="0.25">
      <c r="A51" t="s">
        <v>50</v>
      </c>
      <c r="B51" s="2">
        <v>75952484</v>
      </c>
    </row>
    <row r="52" spans="1:2" x14ac:dyDescent="0.25">
      <c r="A52" t="s">
        <v>30</v>
      </c>
      <c r="B52" s="5">
        <v>47887505</v>
      </c>
    </row>
    <row r="53" spans="1:2" x14ac:dyDescent="0.25">
      <c r="A53" t="s">
        <v>39</v>
      </c>
      <c r="B53" s="5">
        <v>41004188</v>
      </c>
    </row>
    <row r="54" spans="1:2" x14ac:dyDescent="0.25">
      <c r="A54" t="s">
        <v>48</v>
      </c>
      <c r="B54" s="2">
        <v>70549127</v>
      </c>
    </row>
    <row r="55" spans="1:2" x14ac:dyDescent="0.25">
      <c r="A55" t="s">
        <v>34</v>
      </c>
      <c r="B55" s="2">
        <v>47158079</v>
      </c>
    </row>
    <row r="56" spans="1:2" x14ac:dyDescent="0.25">
      <c r="A56" t="s">
        <v>104</v>
      </c>
      <c r="B56" s="5">
        <v>76449683</v>
      </c>
    </row>
    <row r="57" spans="1:2" x14ac:dyDescent="0.25">
      <c r="A57" t="s">
        <v>105</v>
      </c>
      <c r="B57" s="5">
        <v>43878459</v>
      </c>
    </row>
    <row r="58" spans="1:2" x14ac:dyDescent="0.25">
      <c r="A58" t="s">
        <v>106</v>
      </c>
      <c r="B58" s="5">
        <v>46578402</v>
      </c>
    </row>
    <row r="59" spans="1:2" x14ac:dyDescent="0.25">
      <c r="A59" t="s">
        <v>35</v>
      </c>
      <c r="B59" s="5">
        <v>45416906</v>
      </c>
    </row>
    <row r="60" spans="1:2" x14ac:dyDescent="0.25">
      <c r="A60" t="s">
        <v>37</v>
      </c>
      <c r="B60" s="2">
        <v>45074286</v>
      </c>
    </row>
    <row r="61" spans="1:2" x14ac:dyDescent="0.25">
      <c r="A61" t="s">
        <v>36</v>
      </c>
      <c r="B61" s="5">
        <v>44044783</v>
      </c>
    </row>
    <row r="62" spans="1:2" x14ac:dyDescent="0.25">
      <c r="A62" t="s">
        <v>16</v>
      </c>
      <c r="B62" s="5">
        <v>44685832</v>
      </c>
    </row>
    <row r="63" spans="1:2" x14ac:dyDescent="0.25">
      <c r="A63" t="s">
        <v>108</v>
      </c>
      <c r="B63" s="2">
        <v>47749907</v>
      </c>
    </row>
    <row r="64" spans="1:2" x14ac:dyDescent="0.25">
      <c r="A64" t="s">
        <v>38</v>
      </c>
      <c r="B64" s="2">
        <v>16683616</v>
      </c>
    </row>
    <row r="65" spans="1:2" x14ac:dyDescent="0.25">
      <c r="A65" t="s">
        <v>73</v>
      </c>
      <c r="B65" s="5">
        <v>16778242</v>
      </c>
    </row>
    <row r="66" spans="1:2" x14ac:dyDescent="0.25">
      <c r="A66" t="s">
        <v>81</v>
      </c>
      <c r="B66" s="5">
        <v>47503482</v>
      </c>
    </row>
    <row r="67" spans="1:2" x14ac:dyDescent="0.25">
      <c r="A67" t="s">
        <v>83</v>
      </c>
      <c r="B67" s="5">
        <v>75169535</v>
      </c>
    </row>
    <row r="68" spans="1:2" x14ac:dyDescent="0.25">
      <c r="A68" t="s">
        <v>88</v>
      </c>
      <c r="B68" s="2">
        <v>46685005</v>
      </c>
    </row>
    <row r="69" spans="1:2" x14ac:dyDescent="0.25">
      <c r="A69" t="s">
        <v>89</v>
      </c>
      <c r="B69" s="2">
        <v>73941535</v>
      </c>
    </row>
    <row r="70" spans="1:2" x14ac:dyDescent="0.25">
      <c r="A70" t="s">
        <v>91</v>
      </c>
      <c r="B70" s="2">
        <v>47444665</v>
      </c>
    </row>
    <row r="71" spans="1:2" x14ac:dyDescent="0.25">
      <c r="A71" t="s">
        <v>93</v>
      </c>
      <c r="B71" s="2">
        <v>106394571</v>
      </c>
    </row>
    <row r="72" spans="1:2" x14ac:dyDescent="0.25">
      <c r="A72" t="s">
        <v>101</v>
      </c>
      <c r="B72" s="5">
        <v>46853568</v>
      </c>
    </row>
    <row r="73" spans="1:2" x14ac:dyDescent="0.25">
      <c r="A73" t="s">
        <v>107</v>
      </c>
      <c r="B73" s="5">
        <v>47184596</v>
      </c>
    </row>
    <row r="74" spans="1:2" x14ac:dyDescent="0.25">
      <c r="A74" t="s">
        <v>109</v>
      </c>
      <c r="B74" s="5">
        <v>46859101</v>
      </c>
    </row>
    <row r="75" spans="1:2" x14ac:dyDescent="0.25">
      <c r="A75" t="s">
        <v>269</v>
      </c>
      <c r="B75" s="5">
        <v>16495851</v>
      </c>
    </row>
    <row r="76" spans="1:2" x14ac:dyDescent="0.25">
      <c r="A76" t="s">
        <v>270</v>
      </c>
      <c r="B76" s="5">
        <v>16716665</v>
      </c>
    </row>
    <row r="77" spans="1:2" x14ac:dyDescent="0.25">
      <c r="A77" t="s">
        <v>271</v>
      </c>
      <c r="B77" s="5">
        <v>47373880</v>
      </c>
    </row>
    <row r="78" spans="1:2" x14ac:dyDescent="0.25">
      <c r="A78" t="s">
        <v>272</v>
      </c>
      <c r="B78" s="5">
        <v>41126636</v>
      </c>
    </row>
    <row r="79" spans="1:2" x14ac:dyDescent="0.25">
      <c r="A79" t="s">
        <v>273</v>
      </c>
      <c r="B79" s="5">
        <v>42742746</v>
      </c>
    </row>
    <row r="80" spans="1:2" x14ac:dyDescent="0.25">
      <c r="A80" t="s">
        <v>289</v>
      </c>
      <c r="B80" s="5">
        <v>45327555</v>
      </c>
    </row>
    <row r="81" spans="1:2" x14ac:dyDescent="0.25">
      <c r="A81" t="s">
        <v>293</v>
      </c>
      <c r="B81" s="5">
        <v>44792584</v>
      </c>
    </row>
    <row r="82" spans="1:2" x14ac:dyDescent="0.25">
      <c r="A82" t="s">
        <v>298</v>
      </c>
      <c r="B82" s="5">
        <v>47951049</v>
      </c>
    </row>
    <row r="83" spans="1:2" x14ac:dyDescent="0.25">
      <c r="A83" t="s">
        <v>299</v>
      </c>
      <c r="B83" s="5">
        <v>46933574</v>
      </c>
    </row>
    <row r="84" spans="1:2" x14ac:dyDescent="0.25">
      <c r="A84" t="s">
        <v>301</v>
      </c>
      <c r="B84" s="5">
        <v>47265187</v>
      </c>
    </row>
    <row r="85" spans="1:2" x14ac:dyDescent="0.25">
      <c r="A85" t="s">
        <v>346</v>
      </c>
      <c r="B85" s="5">
        <v>71479954</v>
      </c>
    </row>
    <row r="86" spans="1:2" x14ac:dyDescent="0.25">
      <c r="A86" t="s">
        <v>348</v>
      </c>
      <c r="B86" s="5">
        <v>76281226</v>
      </c>
    </row>
    <row r="87" spans="1:2" x14ac:dyDescent="0.25">
      <c r="A87" t="s">
        <v>349</v>
      </c>
      <c r="B87" s="5">
        <v>46801821</v>
      </c>
    </row>
    <row r="88" spans="1:2" x14ac:dyDescent="0.25">
      <c r="A88" t="s">
        <v>358</v>
      </c>
      <c r="B88" s="5">
        <v>73241681</v>
      </c>
    </row>
    <row r="89" spans="1:2" x14ac:dyDescent="0.25">
      <c r="A89" t="s">
        <v>359</v>
      </c>
      <c r="B89" s="5">
        <v>76802885</v>
      </c>
    </row>
    <row r="90" spans="1:2" x14ac:dyDescent="0.25">
      <c r="A90" s="54" t="s">
        <v>360</v>
      </c>
      <c r="B90" s="5">
        <v>45728597</v>
      </c>
    </row>
    <row r="91" spans="1:2" x14ac:dyDescent="0.25">
      <c r="A91" s="54" t="s">
        <v>361</v>
      </c>
      <c r="B91" s="5">
        <v>75494335</v>
      </c>
    </row>
    <row r="92" spans="1:2" x14ac:dyDescent="0.25">
      <c r="A92" s="54" t="s">
        <v>362</v>
      </c>
      <c r="B92" s="5">
        <v>76151860</v>
      </c>
    </row>
    <row r="93" spans="1:2" x14ac:dyDescent="0.25">
      <c r="A93" t="s">
        <v>363</v>
      </c>
      <c r="B93" s="5">
        <v>76288149</v>
      </c>
    </row>
    <row r="94" spans="1:2" x14ac:dyDescent="0.25">
      <c r="A94" t="s">
        <v>371</v>
      </c>
      <c r="B94" s="5">
        <v>42435768</v>
      </c>
    </row>
    <row r="95" spans="1:2" x14ac:dyDescent="0.25">
      <c r="A95" t="s">
        <v>372</v>
      </c>
    </row>
    <row r="96" spans="1:2" x14ac:dyDescent="0.25">
      <c r="A96" t="s">
        <v>373</v>
      </c>
      <c r="B96" s="2">
        <v>3548110</v>
      </c>
    </row>
    <row r="97" spans="1:2" x14ac:dyDescent="0.25">
      <c r="A97" t="s">
        <v>374</v>
      </c>
      <c r="B97" s="5">
        <v>72684512</v>
      </c>
    </row>
    <row r="98" spans="1:2" x14ac:dyDescent="0.25">
      <c r="A98" t="s">
        <v>375</v>
      </c>
      <c r="B98" s="5">
        <v>44676684</v>
      </c>
    </row>
    <row r="99" spans="1:2" x14ac:dyDescent="0.25">
      <c r="A99" t="s">
        <v>376</v>
      </c>
      <c r="B99" s="5">
        <v>43705902</v>
      </c>
    </row>
  </sheetData>
  <autoFilter ref="A1:B9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32"/>
  <sheetViews>
    <sheetView topLeftCell="S1" zoomScaleNormal="100" workbookViewId="0">
      <pane ySplit="1" topLeftCell="A2" activePane="bottomLeft" state="frozen"/>
      <selection pane="bottomLeft" activeCell="Q13" sqref="Q13"/>
    </sheetView>
  </sheetViews>
  <sheetFormatPr baseColWidth="10" defaultRowHeight="15" x14ac:dyDescent="0.25"/>
  <cols>
    <col min="1" max="1" width="2.7109375" style="101" bestFit="1" customWidth="1"/>
    <col min="2" max="2" width="8.5703125" style="102" bestFit="1" customWidth="1"/>
    <col min="3" max="3" width="16.42578125" style="101" bestFit="1" customWidth="1"/>
    <col min="4" max="4" width="46" style="102" customWidth="1"/>
    <col min="5" max="5" width="4.7109375" customWidth="1"/>
    <col min="6" max="6" width="10.42578125" style="5" bestFit="1" customWidth="1"/>
    <col min="7" max="7" width="12.85546875" style="48" bestFit="1" customWidth="1"/>
    <col min="8" max="8" width="10.85546875" bestFit="1" customWidth="1"/>
    <col min="9" max="9" width="24.42578125" bestFit="1" customWidth="1"/>
    <col min="10" max="10" width="35.7109375" customWidth="1"/>
    <col min="11" max="11" width="43.5703125" customWidth="1"/>
    <col min="12" max="13" width="10" customWidth="1"/>
    <col min="14" max="14" width="14.42578125" customWidth="1"/>
    <col min="15" max="15" width="21.28515625" style="3" customWidth="1"/>
    <col min="17" max="17" width="11.42578125" style="5"/>
    <col min="18" max="18" width="20.5703125" bestFit="1" customWidth="1"/>
    <col min="20" max="20" width="12.28515625" customWidth="1"/>
    <col min="23" max="23" width="12.42578125" style="45" customWidth="1"/>
    <col min="24" max="24" width="14.7109375" customWidth="1"/>
    <col min="25" max="25" width="18.5703125" customWidth="1"/>
    <col min="26" max="26" width="38" customWidth="1"/>
  </cols>
  <sheetData>
    <row r="1" spans="1:30" x14ac:dyDescent="0.25">
      <c r="A1" s="100" t="s">
        <v>54</v>
      </c>
      <c r="B1" s="100" t="s">
        <v>55</v>
      </c>
      <c r="C1" s="100" t="s">
        <v>114</v>
      </c>
      <c r="D1" s="100" t="s">
        <v>115</v>
      </c>
      <c r="E1" s="34"/>
      <c r="F1" s="60" t="s">
        <v>281</v>
      </c>
      <c r="G1" s="47" t="s">
        <v>42</v>
      </c>
      <c r="H1" s="60" t="s">
        <v>67</v>
      </c>
      <c r="I1" s="60" t="s">
        <v>114</v>
      </c>
      <c r="J1" s="60" t="s">
        <v>224</v>
      </c>
      <c r="K1" s="60" t="s">
        <v>225</v>
      </c>
      <c r="L1" s="60" t="s">
        <v>230</v>
      </c>
      <c r="M1" s="60" t="s">
        <v>239</v>
      </c>
      <c r="N1" s="60" t="s">
        <v>226</v>
      </c>
      <c r="O1" s="60" t="s">
        <v>149</v>
      </c>
      <c r="P1" s="36"/>
      <c r="Q1" s="35" t="s">
        <v>234</v>
      </c>
      <c r="R1" s="35" t="s">
        <v>43</v>
      </c>
      <c r="S1" s="35" t="s">
        <v>240</v>
      </c>
      <c r="T1" s="145" t="s">
        <v>247</v>
      </c>
      <c r="U1" s="145"/>
      <c r="W1" s="84" t="s">
        <v>320</v>
      </c>
      <c r="X1" s="84" t="s">
        <v>319</v>
      </c>
      <c r="Y1" s="84" t="s">
        <v>41</v>
      </c>
      <c r="Z1" s="84" t="s">
        <v>321</v>
      </c>
      <c r="AA1" s="84" t="s">
        <v>53</v>
      </c>
    </row>
    <row r="2" spans="1:30" ht="15.75" x14ac:dyDescent="0.25">
      <c r="A2" s="101">
        <v>1</v>
      </c>
      <c r="B2" s="102" t="s">
        <v>116</v>
      </c>
      <c r="C2" s="101" t="s">
        <v>117</v>
      </c>
      <c r="D2" s="102" t="s">
        <v>82</v>
      </c>
      <c r="F2" s="5">
        <f>VLOOKUP(K2,DNI!$A$1:$B$10000,2,FALSE)</f>
        <v>80640163</v>
      </c>
      <c r="G2" s="48" t="str">
        <f>H2&amp;-O2</f>
        <v>MAE-02-1</v>
      </c>
      <c r="H2" t="s">
        <v>135</v>
      </c>
      <c r="I2" t="s">
        <v>136</v>
      </c>
      <c r="J2" t="s">
        <v>57</v>
      </c>
      <c r="K2" t="s">
        <v>78</v>
      </c>
      <c r="L2" s="5" t="s">
        <v>231</v>
      </c>
      <c r="M2" s="4">
        <v>83.333333333333329</v>
      </c>
      <c r="N2" t="s">
        <v>227</v>
      </c>
      <c r="O2" s="8" t="s">
        <v>150</v>
      </c>
      <c r="Q2" s="68">
        <v>1</v>
      </c>
      <c r="R2" s="69" t="s">
        <v>2</v>
      </c>
      <c r="S2" s="70">
        <v>0.375</v>
      </c>
      <c r="T2" s="71">
        <v>0.54166666666666663</v>
      </c>
      <c r="U2" s="71">
        <v>0.58333333333333337</v>
      </c>
      <c r="W2" s="46">
        <v>43831</v>
      </c>
      <c r="X2" s="46"/>
      <c r="Y2" s="46" t="str">
        <f>TEXT(W2,"ddddd")</f>
        <v>miércoles</v>
      </c>
      <c r="Z2" s="63" t="s">
        <v>255</v>
      </c>
      <c r="AA2" s="85">
        <v>1</v>
      </c>
      <c r="AC2" s="88">
        <v>4.1666666666666664E-2</v>
      </c>
      <c r="AD2" s="88">
        <v>0.54166666666666663</v>
      </c>
    </row>
    <row r="3" spans="1:30" ht="15.75" x14ac:dyDescent="0.25">
      <c r="A3" s="101">
        <v>2</v>
      </c>
      <c r="B3" s="102" t="s">
        <v>118</v>
      </c>
      <c r="C3" s="101" t="s">
        <v>117</v>
      </c>
      <c r="D3" s="102" t="s">
        <v>94</v>
      </c>
      <c r="F3" s="5">
        <f>VLOOKUP(K3,DNI!$A$1:$B$10000,2,FALSE)</f>
        <v>46108491</v>
      </c>
      <c r="G3" s="48" t="str">
        <f t="shared" ref="G3:G66" si="0">H3&amp;-O3</f>
        <v>TEC-02-2</v>
      </c>
      <c r="H3" t="s">
        <v>137</v>
      </c>
      <c r="I3" t="s">
        <v>136</v>
      </c>
      <c r="J3" t="s">
        <v>61</v>
      </c>
      <c r="K3" t="s">
        <v>17</v>
      </c>
      <c r="L3" s="5" t="s">
        <v>231</v>
      </c>
      <c r="M3" s="4">
        <v>50</v>
      </c>
      <c r="N3" t="s">
        <v>228</v>
      </c>
      <c r="O3" s="8" t="s">
        <v>151</v>
      </c>
      <c r="Q3" s="24">
        <v>2</v>
      </c>
      <c r="R3" s="16" t="s">
        <v>3</v>
      </c>
      <c r="S3" s="17">
        <v>0.33333333333333331</v>
      </c>
      <c r="T3" s="72">
        <v>0.54166666666666663</v>
      </c>
      <c r="U3" s="72">
        <v>0.58333333333333337</v>
      </c>
      <c r="W3" s="46">
        <v>43832</v>
      </c>
      <c r="X3" s="46"/>
      <c r="Y3" s="46" t="str">
        <f t="shared" ref="Y3:Y66" si="1">TEXT(W3,"ddddd")</f>
        <v>jueves</v>
      </c>
      <c r="Z3" s="16"/>
      <c r="AA3" s="24"/>
      <c r="AC3" s="88">
        <v>8.3333333333333301E-2</v>
      </c>
    </row>
    <row r="4" spans="1:30" x14ac:dyDescent="0.25">
      <c r="A4" s="101">
        <v>3</v>
      </c>
      <c r="B4" s="102" t="s">
        <v>119</v>
      </c>
      <c r="C4" s="101" t="s">
        <v>120</v>
      </c>
      <c r="D4" s="102" t="s">
        <v>121</v>
      </c>
      <c r="F4" s="5">
        <f>VLOOKUP(K4,DNI!$A$1:$B$10000,2,FALSE)</f>
        <v>45686225</v>
      </c>
      <c r="G4" s="48" t="str">
        <f t="shared" si="0"/>
        <v>TEC-02-3</v>
      </c>
      <c r="H4" t="s">
        <v>137</v>
      </c>
      <c r="I4" t="s">
        <v>136</v>
      </c>
      <c r="J4" t="s">
        <v>61</v>
      </c>
      <c r="K4" s="54" t="s">
        <v>9</v>
      </c>
      <c r="L4" s="5" t="s">
        <v>232</v>
      </c>
      <c r="M4" s="4">
        <v>60</v>
      </c>
      <c r="N4" t="s">
        <v>228</v>
      </c>
      <c r="O4" s="8" t="s">
        <v>152</v>
      </c>
      <c r="Q4" s="24">
        <v>3</v>
      </c>
      <c r="R4" s="16" t="s">
        <v>287</v>
      </c>
      <c r="S4" s="62"/>
      <c r="T4" s="62"/>
      <c r="U4" s="62"/>
      <c r="W4" s="46">
        <v>43833</v>
      </c>
      <c r="X4" s="46"/>
      <c r="Y4" s="46" t="str">
        <f t="shared" si="1"/>
        <v>viernes</v>
      </c>
      <c r="Z4" s="16"/>
      <c r="AA4" s="24"/>
      <c r="AC4" s="88">
        <v>0.125</v>
      </c>
    </row>
    <row r="5" spans="1:30" x14ac:dyDescent="0.25">
      <c r="A5" s="101">
        <v>4</v>
      </c>
      <c r="B5" s="102" t="s">
        <v>122</v>
      </c>
      <c r="C5" s="101" t="s">
        <v>120</v>
      </c>
      <c r="D5" s="102" t="s">
        <v>63</v>
      </c>
      <c r="F5" s="5">
        <f>VLOOKUP(K5,DNI!$A$1:$B$10000,2,FALSE)</f>
        <v>74863779</v>
      </c>
      <c r="G5" s="48" t="str">
        <f t="shared" si="0"/>
        <v>AYU-VA-4</v>
      </c>
      <c r="H5" t="s">
        <v>97</v>
      </c>
      <c r="I5" t="s">
        <v>148</v>
      </c>
      <c r="J5" t="s">
        <v>65</v>
      </c>
      <c r="K5" s="54" t="s">
        <v>69</v>
      </c>
      <c r="L5" s="5" t="s">
        <v>232</v>
      </c>
      <c r="M5" s="4">
        <v>40</v>
      </c>
      <c r="N5" t="s">
        <v>228</v>
      </c>
      <c r="O5" s="8" t="s">
        <v>153</v>
      </c>
      <c r="Q5" s="24">
        <v>4</v>
      </c>
      <c r="R5" s="63" t="s">
        <v>288</v>
      </c>
      <c r="S5" s="16"/>
      <c r="T5" s="16"/>
      <c r="U5" s="16"/>
      <c r="W5" s="46">
        <v>43834</v>
      </c>
      <c r="X5" s="46"/>
      <c r="Y5" s="46" t="str">
        <f t="shared" si="1"/>
        <v>sábado</v>
      </c>
      <c r="Z5" s="16"/>
      <c r="AA5" s="24"/>
      <c r="AC5" s="88">
        <v>0.16666666666666699</v>
      </c>
    </row>
    <row r="6" spans="1:30" x14ac:dyDescent="0.25">
      <c r="A6" s="101">
        <v>5</v>
      </c>
      <c r="B6" s="102" t="s">
        <v>123</v>
      </c>
      <c r="C6" s="101" t="s">
        <v>120</v>
      </c>
      <c r="D6" s="102" t="s">
        <v>124</v>
      </c>
      <c r="F6" s="5">
        <f>VLOOKUP(K6,DNI!$A$1:$B$10000,2,FALSE)</f>
        <v>80483542</v>
      </c>
      <c r="G6" s="48" t="str">
        <f t="shared" si="0"/>
        <v>AYU-VA-5</v>
      </c>
      <c r="H6" t="s">
        <v>97</v>
      </c>
      <c r="I6" t="s">
        <v>148</v>
      </c>
      <c r="J6" t="s">
        <v>65</v>
      </c>
      <c r="K6" s="54" t="s">
        <v>70</v>
      </c>
      <c r="L6" s="5" t="s">
        <v>232</v>
      </c>
      <c r="M6" s="4">
        <v>45</v>
      </c>
      <c r="N6" t="s">
        <v>228</v>
      </c>
      <c r="O6" s="8" t="s">
        <v>154</v>
      </c>
      <c r="Q6" s="24">
        <v>5</v>
      </c>
      <c r="R6" s="63" t="s">
        <v>398</v>
      </c>
      <c r="S6" s="16"/>
      <c r="T6" s="16"/>
      <c r="U6" s="16"/>
      <c r="W6" s="46">
        <v>43835</v>
      </c>
      <c r="X6" s="86">
        <v>1</v>
      </c>
      <c r="Y6" s="46" t="str">
        <f t="shared" si="1"/>
        <v>domingo</v>
      </c>
      <c r="Z6" s="16"/>
      <c r="AA6" s="24"/>
      <c r="AC6" s="88">
        <v>0.20833333333333301</v>
      </c>
    </row>
    <row r="7" spans="1:30" x14ac:dyDescent="0.25">
      <c r="A7" s="101">
        <v>6</v>
      </c>
      <c r="B7" s="102" t="s">
        <v>125</v>
      </c>
      <c r="C7" s="101" t="s">
        <v>120</v>
      </c>
      <c r="D7" s="102" t="s">
        <v>126</v>
      </c>
      <c r="F7" s="5">
        <f>VLOOKUP(K7,DNI!$A$1:$B$10000,2,FALSE)</f>
        <v>75557820</v>
      </c>
      <c r="G7" s="48" t="str">
        <f t="shared" si="0"/>
        <v>OPE-03-6</v>
      </c>
      <c r="H7" t="s">
        <v>122</v>
      </c>
      <c r="I7" t="s">
        <v>120</v>
      </c>
      <c r="J7" t="s">
        <v>63</v>
      </c>
      <c r="K7" s="89" t="s">
        <v>51</v>
      </c>
      <c r="L7" s="90" t="s">
        <v>232</v>
      </c>
      <c r="M7" s="91">
        <v>50</v>
      </c>
      <c r="N7" s="89" t="s">
        <v>228</v>
      </c>
      <c r="O7" s="8" t="s">
        <v>155</v>
      </c>
      <c r="Q7" s="24">
        <v>6</v>
      </c>
      <c r="R7" s="63" t="s">
        <v>308</v>
      </c>
      <c r="S7" s="16"/>
      <c r="T7" s="16"/>
      <c r="U7" s="16"/>
      <c r="W7" s="46">
        <v>43836</v>
      </c>
      <c r="X7" s="46"/>
      <c r="Y7" s="46" t="str">
        <f t="shared" si="1"/>
        <v>lunes</v>
      </c>
      <c r="Z7" s="16"/>
      <c r="AA7" s="24"/>
      <c r="AC7" s="88">
        <v>0.25</v>
      </c>
    </row>
    <row r="8" spans="1:30" x14ac:dyDescent="0.25">
      <c r="A8" s="101">
        <v>7</v>
      </c>
      <c r="B8" s="102" t="s">
        <v>127</v>
      </c>
      <c r="C8" s="101" t="s">
        <v>128</v>
      </c>
      <c r="D8" s="102" t="s">
        <v>84</v>
      </c>
      <c r="F8" s="5">
        <f>VLOOKUP(K8,DNI!$A$1:$B$10000,2,FALSE)</f>
        <v>48446313</v>
      </c>
      <c r="G8" s="48" t="str">
        <f t="shared" si="0"/>
        <v>TEC-02-7</v>
      </c>
      <c r="H8" t="s">
        <v>137</v>
      </c>
      <c r="I8" t="s">
        <v>136</v>
      </c>
      <c r="J8" t="s">
        <v>61</v>
      </c>
      <c r="K8" s="54" t="s">
        <v>71</v>
      </c>
      <c r="L8" s="5" t="s">
        <v>232</v>
      </c>
      <c r="M8" s="4">
        <v>50</v>
      </c>
      <c r="N8" t="s">
        <v>228</v>
      </c>
      <c r="O8" s="8" t="s">
        <v>156</v>
      </c>
      <c r="Q8" s="24">
        <v>7</v>
      </c>
      <c r="R8" s="63" t="s">
        <v>309</v>
      </c>
      <c r="S8" s="16"/>
      <c r="T8" s="16"/>
      <c r="U8" s="16"/>
      <c r="W8" s="46">
        <v>43837</v>
      </c>
      <c r="X8" s="46"/>
      <c r="Y8" s="46" t="str">
        <f t="shared" si="1"/>
        <v>martes</v>
      </c>
      <c r="Z8" s="16"/>
      <c r="AA8" s="24"/>
      <c r="AC8" s="88">
        <v>0.29166666666666702</v>
      </c>
    </row>
    <row r="9" spans="1:30" ht="15.75" x14ac:dyDescent="0.25">
      <c r="A9" s="101">
        <v>8</v>
      </c>
      <c r="B9" s="102" t="s">
        <v>129</v>
      </c>
      <c r="C9" s="101" t="s">
        <v>128</v>
      </c>
      <c r="D9" s="102" t="s">
        <v>90</v>
      </c>
      <c r="F9" s="5">
        <f>VLOOKUP(K9,DNI!$A$1:$B$10000,2,FALSE)</f>
        <v>10664396</v>
      </c>
      <c r="G9" s="48" t="str">
        <f t="shared" si="0"/>
        <v>OPE-01-8</v>
      </c>
      <c r="H9" t="s">
        <v>75</v>
      </c>
      <c r="I9" t="s">
        <v>145</v>
      </c>
      <c r="J9" t="s">
        <v>64</v>
      </c>
      <c r="K9" s="92" t="s">
        <v>18</v>
      </c>
      <c r="L9" s="96" t="s">
        <v>231</v>
      </c>
      <c r="M9" s="95">
        <v>60</v>
      </c>
      <c r="N9" s="92" t="s">
        <v>228</v>
      </c>
      <c r="O9" s="97" t="s">
        <v>157</v>
      </c>
      <c r="Q9" s="24">
        <v>8</v>
      </c>
      <c r="R9" s="63" t="s">
        <v>310</v>
      </c>
      <c r="S9" s="17">
        <v>0.33333333333333331</v>
      </c>
      <c r="T9" s="72">
        <v>0.54166666666666663</v>
      </c>
      <c r="U9" s="72">
        <v>0.58333333333333337</v>
      </c>
      <c r="W9" s="46">
        <v>43838</v>
      </c>
      <c r="X9" s="46"/>
      <c r="Y9" s="46" t="str">
        <f t="shared" si="1"/>
        <v>miércoles</v>
      </c>
      <c r="Z9" s="16"/>
      <c r="AA9" s="24"/>
      <c r="AC9" s="88">
        <v>0.33333333333333298</v>
      </c>
    </row>
    <row r="10" spans="1:30" x14ac:dyDescent="0.25">
      <c r="A10" s="101">
        <v>9</v>
      </c>
      <c r="B10" s="102" t="s">
        <v>130</v>
      </c>
      <c r="C10" s="101" t="s">
        <v>131</v>
      </c>
      <c r="D10" s="102" t="s">
        <v>56</v>
      </c>
      <c r="F10" s="5">
        <f>VLOOKUP(K10,DNI!$A$1:$B$10000,2,FALSE)</f>
        <v>71995358</v>
      </c>
      <c r="G10" s="48" t="str">
        <f t="shared" si="0"/>
        <v>OPE-01-9</v>
      </c>
      <c r="H10" t="s">
        <v>75</v>
      </c>
      <c r="I10" t="s">
        <v>145</v>
      </c>
      <c r="J10" t="s">
        <v>64</v>
      </c>
      <c r="K10" s="92" t="s">
        <v>111</v>
      </c>
      <c r="L10" s="96" t="s">
        <v>232</v>
      </c>
      <c r="M10" s="95">
        <v>45</v>
      </c>
      <c r="N10" s="92" t="s">
        <v>228</v>
      </c>
      <c r="O10" s="97" t="s">
        <v>158</v>
      </c>
      <c r="W10" s="46">
        <v>43839</v>
      </c>
      <c r="X10" s="46"/>
      <c r="Y10" s="46" t="str">
        <f t="shared" si="1"/>
        <v>jueves</v>
      </c>
      <c r="Z10" s="16"/>
      <c r="AA10" s="24"/>
      <c r="AC10" s="88">
        <v>0.375</v>
      </c>
    </row>
    <row r="11" spans="1:30" x14ac:dyDescent="0.25">
      <c r="A11" s="101">
        <v>10</v>
      </c>
      <c r="B11" s="102" t="s">
        <v>132</v>
      </c>
      <c r="C11" s="101" t="s">
        <v>131</v>
      </c>
      <c r="D11" s="102" t="s">
        <v>60</v>
      </c>
      <c r="F11" s="5">
        <f>VLOOKUP(K11,DNI!$A$1:$B$10000,2,FALSE)</f>
        <v>73130745</v>
      </c>
      <c r="G11" s="48" t="str">
        <f t="shared" si="0"/>
        <v>AYU-VA-10</v>
      </c>
      <c r="H11" t="s">
        <v>97</v>
      </c>
      <c r="I11" t="s">
        <v>148</v>
      </c>
      <c r="J11" t="s">
        <v>65</v>
      </c>
      <c r="K11" s="92" t="s">
        <v>112</v>
      </c>
      <c r="L11" s="96" t="s">
        <v>232</v>
      </c>
      <c r="M11" s="95">
        <v>40</v>
      </c>
      <c r="N11" s="92" t="s">
        <v>228</v>
      </c>
      <c r="O11" s="97" t="s">
        <v>159</v>
      </c>
      <c r="W11" s="46">
        <v>43840</v>
      </c>
      <c r="X11" s="46"/>
      <c r="Y11" s="46" t="str">
        <f t="shared" si="1"/>
        <v>viernes</v>
      </c>
      <c r="Z11" s="16"/>
      <c r="AA11" s="24"/>
      <c r="AC11" s="88">
        <v>0.41666666666666702</v>
      </c>
    </row>
    <row r="12" spans="1:30" x14ac:dyDescent="0.25">
      <c r="A12" s="101">
        <v>11</v>
      </c>
      <c r="B12" s="102" t="s">
        <v>133</v>
      </c>
      <c r="C12" s="101" t="s">
        <v>131</v>
      </c>
      <c r="D12" s="102" t="s">
        <v>134</v>
      </c>
      <c r="F12" s="5">
        <f>VLOOKUP(K12,DNI!$A$1:$B$10000,2,FALSE)</f>
        <v>27291529</v>
      </c>
      <c r="G12" s="48" t="str">
        <f t="shared" si="0"/>
        <v>MEC-04-11</v>
      </c>
      <c r="H12" t="s">
        <v>132</v>
      </c>
      <c r="I12" t="s">
        <v>131</v>
      </c>
      <c r="J12" t="s">
        <v>60</v>
      </c>
      <c r="K12" s="92" t="s">
        <v>72</v>
      </c>
      <c r="L12" s="96" t="s">
        <v>231</v>
      </c>
      <c r="M12" s="95">
        <v>72.540000000000006</v>
      </c>
      <c r="N12" s="92" t="s">
        <v>228</v>
      </c>
      <c r="O12" s="97" t="s">
        <v>160</v>
      </c>
      <c r="W12" s="46">
        <v>43841</v>
      </c>
      <c r="X12" s="46"/>
      <c r="Y12" s="46" t="str">
        <f t="shared" si="1"/>
        <v>sábado</v>
      </c>
      <c r="Z12" s="16"/>
      <c r="AA12" s="24"/>
      <c r="AC12" s="88">
        <v>0.45833333333333298</v>
      </c>
    </row>
    <row r="13" spans="1:30" x14ac:dyDescent="0.25">
      <c r="A13" s="101">
        <v>12</v>
      </c>
      <c r="B13" s="102" t="s">
        <v>135</v>
      </c>
      <c r="C13" s="101" t="s">
        <v>136</v>
      </c>
      <c r="D13" s="102" t="s">
        <v>57</v>
      </c>
      <c r="F13" s="5">
        <f>VLOOKUP(K13,DNI!$A$1:$B$10000,2,FALSE)</f>
        <v>47711616</v>
      </c>
      <c r="G13" s="48" t="str">
        <f t="shared" si="0"/>
        <v>TECMN-03-12</v>
      </c>
      <c r="H13" t="s">
        <v>125</v>
      </c>
      <c r="I13" t="s">
        <v>120</v>
      </c>
      <c r="J13" t="s">
        <v>126</v>
      </c>
      <c r="K13" s="92" t="s">
        <v>19</v>
      </c>
      <c r="L13" s="96" t="s">
        <v>231</v>
      </c>
      <c r="M13" s="95">
        <v>47.73</v>
      </c>
      <c r="N13" s="92" t="s">
        <v>228</v>
      </c>
      <c r="O13" s="97" t="s">
        <v>161</v>
      </c>
      <c r="W13" s="46">
        <v>43842</v>
      </c>
      <c r="X13" s="86">
        <v>1</v>
      </c>
      <c r="Y13" s="46" t="str">
        <f t="shared" si="1"/>
        <v>domingo</v>
      </c>
      <c r="Z13" s="16"/>
      <c r="AA13" s="24"/>
      <c r="AC13" s="88">
        <v>0.5</v>
      </c>
    </row>
    <row r="14" spans="1:30" x14ac:dyDescent="0.25">
      <c r="A14" s="101">
        <v>13</v>
      </c>
      <c r="B14" s="102" t="s">
        <v>98</v>
      </c>
      <c r="C14" s="101" t="s">
        <v>136</v>
      </c>
      <c r="D14" s="102" t="s">
        <v>99</v>
      </c>
      <c r="F14" s="5">
        <f>VLOOKUP(K14,DNI!$A$1:$B$10000,2,FALSE)</f>
        <v>48237026</v>
      </c>
      <c r="G14" s="48" t="str">
        <f t="shared" si="0"/>
        <v>TEC-05-13</v>
      </c>
      <c r="H14" t="s">
        <v>141</v>
      </c>
      <c r="I14" t="s">
        <v>139</v>
      </c>
      <c r="J14" t="s">
        <v>62</v>
      </c>
      <c r="K14" s="92" t="s">
        <v>20</v>
      </c>
      <c r="L14" s="96" t="s">
        <v>231</v>
      </c>
      <c r="M14" s="95">
        <v>52.2</v>
      </c>
      <c r="N14" s="92" t="s">
        <v>228</v>
      </c>
      <c r="O14" s="97" t="s">
        <v>162</v>
      </c>
      <c r="W14" s="46">
        <v>43843</v>
      </c>
      <c r="X14" s="46"/>
      <c r="Y14" s="46" t="str">
        <f t="shared" si="1"/>
        <v>lunes</v>
      </c>
      <c r="Z14" s="16"/>
      <c r="AA14" s="24"/>
      <c r="AC14" s="88">
        <v>0.54166666666666696</v>
      </c>
    </row>
    <row r="15" spans="1:30" x14ac:dyDescent="0.25">
      <c r="A15" s="101">
        <v>14</v>
      </c>
      <c r="B15" s="102" t="s">
        <v>137</v>
      </c>
      <c r="C15" s="101" t="s">
        <v>136</v>
      </c>
      <c r="D15" s="102" t="s">
        <v>61</v>
      </c>
      <c r="F15" s="5">
        <f>VLOOKUP(K15,DNI!$A$1:$B$10000,2,FALSE)</f>
        <v>47055982</v>
      </c>
      <c r="G15" s="48" t="str">
        <f t="shared" si="0"/>
        <v>TECME-03-14</v>
      </c>
      <c r="H15" t="s">
        <v>123</v>
      </c>
      <c r="I15" t="s">
        <v>120</v>
      </c>
      <c r="J15" t="s">
        <v>124</v>
      </c>
      <c r="K15" s="92" t="s">
        <v>74</v>
      </c>
      <c r="L15" s="96" t="s">
        <v>231</v>
      </c>
      <c r="M15" s="95">
        <v>73.72</v>
      </c>
      <c r="N15" s="92" t="s">
        <v>228</v>
      </c>
      <c r="O15" s="97" t="s">
        <v>163</v>
      </c>
      <c r="W15" s="46">
        <v>43844</v>
      </c>
      <c r="X15" s="46"/>
      <c r="Y15" s="46" t="str">
        <f t="shared" si="1"/>
        <v>martes</v>
      </c>
      <c r="Z15" s="16"/>
      <c r="AA15" s="24"/>
      <c r="AC15" s="88">
        <v>0.58333333333333304</v>
      </c>
    </row>
    <row r="16" spans="1:30" x14ac:dyDescent="0.25">
      <c r="A16" s="101">
        <v>15</v>
      </c>
      <c r="B16" s="102" t="s">
        <v>138</v>
      </c>
      <c r="C16" s="101" t="s">
        <v>139</v>
      </c>
      <c r="D16" s="102" t="s">
        <v>66</v>
      </c>
      <c r="F16" s="5">
        <f>VLOOKUP(K16,DNI!$A$1:$B$10000,2,FALSE)</f>
        <v>44983080</v>
      </c>
      <c r="G16" s="48" t="str">
        <f t="shared" si="0"/>
        <v>OPE-01-15</v>
      </c>
      <c r="H16" t="s">
        <v>75</v>
      </c>
      <c r="I16" t="s">
        <v>145</v>
      </c>
      <c r="J16" t="s">
        <v>64</v>
      </c>
      <c r="K16" s="92" t="s">
        <v>10</v>
      </c>
      <c r="L16" s="96" t="s">
        <v>232</v>
      </c>
      <c r="M16" s="95">
        <v>75</v>
      </c>
      <c r="N16" s="92" t="s">
        <v>229</v>
      </c>
      <c r="O16" s="97" t="s">
        <v>164</v>
      </c>
      <c r="W16" s="46">
        <v>43845</v>
      </c>
      <c r="X16" s="46"/>
      <c r="Y16" s="46" t="str">
        <f t="shared" si="1"/>
        <v>miércoles</v>
      </c>
      <c r="Z16" s="16"/>
      <c r="AA16" s="24"/>
      <c r="AC16" s="88">
        <v>0.625</v>
      </c>
    </row>
    <row r="17" spans="1:29" x14ac:dyDescent="0.25">
      <c r="A17" s="101">
        <v>16</v>
      </c>
      <c r="B17" s="102" t="s">
        <v>140</v>
      </c>
      <c r="C17" s="101" t="s">
        <v>139</v>
      </c>
      <c r="D17" s="102" t="s">
        <v>58</v>
      </c>
      <c r="F17" s="5">
        <f>VLOOKUP(K17,DNI!$A$1:$B$10000,2,FALSE)</f>
        <v>75322465</v>
      </c>
      <c r="G17" s="48" t="str">
        <f t="shared" si="0"/>
        <v>AYU-VA-16</v>
      </c>
      <c r="H17" t="s">
        <v>97</v>
      </c>
      <c r="I17" t="s">
        <v>148</v>
      </c>
      <c r="J17" t="s">
        <v>65</v>
      </c>
      <c r="K17" s="92" t="s">
        <v>21</v>
      </c>
      <c r="L17" s="96" t="s">
        <v>232</v>
      </c>
      <c r="M17" s="95">
        <v>60</v>
      </c>
      <c r="N17" s="92" t="s">
        <v>228</v>
      </c>
      <c r="O17" s="97" t="s">
        <v>165</v>
      </c>
      <c r="W17" s="46">
        <v>43846</v>
      </c>
      <c r="X17" s="46"/>
      <c r="Y17" s="46" t="str">
        <f t="shared" si="1"/>
        <v>jueves</v>
      </c>
      <c r="Z17" s="16"/>
      <c r="AA17" s="24"/>
      <c r="AC17" s="88">
        <v>0.66666666666666696</v>
      </c>
    </row>
    <row r="18" spans="1:29" x14ac:dyDescent="0.25">
      <c r="A18" s="101">
        <v>17</v>
      </c>
      <c r="B18" s="102" t="s">
        <v>141</v>
      </c>
      <c r="C18" s="101" t="s">
        <v>139</v>
      </c>
      <c r="D18" s="102" t="s">
        <v>62</v>
      </c>
      <c r="F18" s="5">
        <f>VLOOKUP(K18,DNI!$A$1:$B$10000,2,FALSE)</f>
        <v>74359947</v>
      </c>
      <c r="G18" s="48" t="str">
        <f t="shared" si="0"/>
        <v>OPE-01-17</v>
      </c>
      <c r="H18" t="s">
        <v>75</v>
      </c>
      <c r="I18" t="s">
        <v>145</v>
      </c>
      <c r="J18" t="s">
        <v>64</v>
      </c>
      <c r="K18" s="92" t="s">
        <v>47</v>
      </c>
      <c r="L18" s="96" t="s">
        <v>231</v>
      </c>
      <c r="M18" s="95">
        <v>57.62</v>
      </c>
      <c r="N18" s="92" t="s">
        <v>228</v>
      </c>
      <c r="O18" s="97" t="s">
        <v>166</v>
      </c>
      <c r="W18" s="46">
        <v>43847</v>
      </c>
      <c r="X18" s="46"/>
      <c r="Y18" s="46" t="str">
        <f t="shared" si="1"/>
        <v>viernes</v>
      </c>
      <c r="Z18" s="16"/>
      <c r="AA18" s="24"/>
      <c r="AC18" s="88">
        <v>0.70833333333333304</v>
      </c>
    </row>
    <row r="19" spans="1:29" x14ac:dyDescent="0.25">
      <c r="A19" s="101">
        <v>18</v>
      </c>
      <c r="B19" s="102" t="s">
        <v>142</v>
      </c>
      <c r="C19" s="101" t="s">
        <v>143</v>
      </c>
      <c r="D19" s="102" t="s">
        <v>110</v>
      </c>
      <c r="F19" s="5">
        <f>VLOOKUP(K19,DNI!$A$1:$B$10000,2,FALSE)</f>
        <v>75461003</v>
      </c>
      <c r="G19" s="48" t="str">
        <f t="shared" si="0"/>
        <v>OPE-03-18</v>
      </c>
      <c r="H19" t="s">
        <v>122</v>
      </c>
      <c r="I19" t="s">
        <v>120</v>
      </c>
      <c r="J19" t="s">
        <v>63</v>
      </c>
      <c r="K19" s="92" t="s">
        <v>76</v>
      </c>
      <c r="L19" s="96" t="s">
        <v>232</v>
      </c>
      <c r="M19" s="95">
        <v>40</v>
      </c>
      <c r="N19" s="92" t="s">
        <v>228</v>
      </c>
      <c r="O19" s="97" t="s">
        <v>167</v>
      </c>
      <c r="W19" s="46">
        <v>43848</v>
      </c>
      <c r="X19" s="46"/>
      <c r="Y19" s="46" t="str">
        <f t="shared" si="1"/>
        <v>sábado</v>
      </c>
      <c r="Z19" s="16"/>
      <c r="AA19" s="24"/>
      <c r="AC19" s="88">
        <v>0.75</v>
      </c>
    </row>
    <row r="20" spans="1:29" x14ac:dyDescent="0.25">
      <c r="A20" s="101">
        <v>19</v>
      </c>
      <c r="B20" s="102" t="s">
        <v>144</v>
      </c>
      <c r="C20" s="101" t="s">
        <v>145</v>
      </c>
      <c r="D20" s="102" t="s">
        <v>59</v>
      </c>
      <c r="F20" s="5">
        <f>VLOOKUP(K20,DNI!$A$1:$B$10000,2,FALSE)</f>
        <v>47321409</v>
      </c>
      <c r="G20" s="48" t="str">
        <f t="shared" si="0"/>
        <v>TEC-02-19</v>
      </c>
      <c r="H20" t="s">
        <v>137</v>
      </c>
      <c r="I20" t="s">
        <v>136</v>
      </c>
      <c r="J20" t="s">
        <v>61</v>
      </c>
      <c r="K20" s="92" t="s">
        <v>22</v>
      </c>
      <c r="L20" s="96" t="s">
        <v>231</v>
      </c>
      <c r="M20" s="95">
        <v>65</v>
      </c>
      <c r="N20" s="92" t="s">
        <v>228</v>
      </c>
      <c r="O20" s="97" t="s">
        <v>168</v>
      </c>
      <c r="W20" s="46">
        <v>43849</v>
      </c>
      <c r="X20" s="86">
        <v>1</v>
      </c>
      <c r="Y20" s="46" t="str">
        <f t="shared" si="1"/>
        <v>domingo</v>
      </c>
      <c r="Z20" s="16"/>
      <c r="AA20" s="24"/>
      <c r="AC20" s="88">
        <v>0.79166666666666596</v>
      </c>
    </row>
    <row r="21" spans="1:29" x14ac:dyDescent="0.25">
      <c r="A21" s="101">
        <v>20</v>
      </c>
      <c r="B21" s="102" t="s">
        <v>146</v>
      </c>
      <c r="C21" s="101" t="s">
        <v>145</v>
      </c>
      <c r="D21" s="102" t="s">
        <v>147</v>
      </c>
      <c r="F21" s="5">
        <f>VLOOKUP(K21,DNI!$A$1:$B$10000,2,FALSE)</f>
        <v>70133802</v>
      </c>
      <c r="G21" s="48" t="str">
        <f t="shared" si="0"/>
        <v>TEC-04-20</v>
      </c>
      <c r="H21" t="s">
        <v>133</v>
      </c>
      <c r="I21" t="s">
        <v>131</v>
      </c>
      <c r="J21" t="s">
        <v>134</v>
      </c>
      <c r="K21" s="92" t="s">
        <v>77</v>
      </c>
      <c r="L21" s="96" t="s">
        <v>231</v>
      </c>
      <c r="M21" s="95">
        <v>66.92</v>
      </c>
      <c r="N21" s="92" t="s">
        <v>228</v>
      </c>
      <c r="O21" s="97" t="s">
        <v>169</v>
      </c>
      <c r="W21" s="46">
        <v>43850</v>
      </c>
      <c r="X21" s="46"/>
      <c r="Y21" s="46" t="str">
        <f t="shared" si="1"/>
        <v>lunes</v>
      </c>
      <c r="Z21" s="16"/>
      <c r="AA21" s="24"/>
      <c r="AC21" s="88">
        <v>0.83333333333333304</v>
      </c>
    </row>
    <row r="22" spans="1:29" x14ac:dyDescent="0.25">
      <c r="A22" s="101">
        <v>21</v>
      </c>
      <c r="B22" s="102" t="s">
        <v>75</v>
      </c>
      <c r="C22" s="101" t="s">
        <v>145</v>
      </c>
      <c r="D22" s="102" t="s">
        <v>64</v>
      </c>
      <c r="F22" s="5">
        <f>VLOOKUP(K22,DNI!$A$1:$B$10000,2,FALSE)</f>
        <v>42558469</v>
      </c>
      <c r="G22" s="48" t="str">
        <f t="shared" si="0"/>
        <v>OPE-01-21</v>
      </c>
      <c r="H22" t="s">
        <v>75</v>
      </c>
      <c r="I22" t="s">
        <v>145</v>
      </c>
      <c r="J22" t="s">
        <v>64</v>
      </c>
      <c r="K22" s="92" t="s">
        <v>79</v>
      </c>
      <c r="L22" s="96" t="s">
        <v>232</v>
      </c>
      <c r="M22" s="95">
        <v>60</v>
      </c>
      <c r="N22" s="92" t="s">
        <v>228</v>
      </c>
      <c r="O22" s="97" t="s">
        <v>170</v>
      </c>
      <c r="W22" s="46">
        <v>43851</v>
      </c>
      <c r="X22" s="46"/>
      <c r="Y22" s="46" t="str">
        <f t="shared" si="1"/>
        <v>martes</v>
      </c>
      <c r="Z22" s="16"/>
      <c r="AA22" s="24"/>
      <c r="AC22" s="88">
        <v>0.875</v>
      </c>
    </row>
    <row r="23" spans="1:29" x14ac:dyDescent="0.25">
      <c r="A23" s="101">
        <v>22</v>
      </c>
      <c r="B23" s="102" t="s">
        <v>85</v>
      </c>
      <c r="C23" s="101" t="s">
        <v>145</v>
      </c>
      <c r="D23" s="102" t="s">
        <v>86</v>
      </c>
      <c r="F23" s="5">
        <f>VLOOKUP(K23,DNI!$A$1:$B$10000,2,FALSE)</f>
        <v>73147673</v>
      </c>
      <c r="G23" s="48" t="str">
        <f t="shared" si="0"/>
        <v>OPE-01-22</v>
      </c>
      <c r="H23" t="s">
        <v>75</v>
      </c>
      <c r="I23" t="s">
        <v>145</v>
      </c>
      <c r="J23" t="s">
        <v>64</v>
      </c>
      <c r="K23" s="92" t="s">
        <v>11</v>
      </c>
      <c r="L23" s="96" t="s">
        <v>382</v>
      </c>
      <c r="M23" s="95">
        <v>55</v>
      </c>
      <c r="N23" s="92" t="s">
        <v>228</v>
      </c>
      <c r="O23" s="97" t="s">
        <v>171</v>
      </c>
      <c r="W23" s="46">
        <v>43852</v>
      </c>
      <c r="X23" s="46"/>
      <c r="Y23" s="46" t="str">
        <f t="shared" si="1"/>
        <v>miércoles</v>
      </c>
      <c r="Z23" s="16"/>
      <c r="AA23" s="24"/>
      <c r="AC23" s="88">
        <v>0.91666666666666596</v>
      </c>
    </row>
    <row r="24" spans="1:29" x14ac:dyDescent="0.25">
      <c r="A24" s="101">
        <v>23</v>
      </c>
      <c r="B24" s="102" t="s">
        <v>97</v>
      </c>
      <c r="C24" s="101" t="s">
        <v>148</v>
      </c>
      <c r="D24" s="102" t="s">
        <v>65</v>
      </c>
      <c r="F24" s="5">
        <v>47555533</v>
      </c>
      <c r="G24" s="48" t="str">
        <f t="shared" si="0"/>
        <v>TEC-02-23</v>
      </c>
      <c r="H24" t="s">
        <v>137</v>
      </c>
      <c r="I24" t="s">
        <v>136</v>
      </c>
      <c r="J24" t="s">
        <v>61</v>
      </c>
      <c r="K24" s="92" t="s">
        <v>381</v>
      </c>
      <c r="L24" s="96" t="s">
        <v>232</v>
      </c>
      <c r="M24" s="95">
        <v>60</v>
      </c>
      <c r="N24" s="92" t="s">
        <v>228</v>
      </c>
      <c r="O24" s="97" t="s">
        <v>172</v>
      </c>
      <c r="W24" s="46">
        <v>43853</v>
      </c>
      <c r="X24" s="46"/>
      <c r="Y24" s="46" t="str">
        <f t="shared" si="1"/>
        <v>jueves</v>
      </c>
      <c r="Z24" s="16"/>
      <c r="AA24" s="24"/>
      <c r="AC24" s="88">
        <v>0.95833333333333304</v>
      </c>
    </row>
    <row r="25" spans="1:29" x14ac:dyDescent="0.25">
      <c r="F25" s="5">
        <f>VLOOKUP(K25,DNI!$A$1:$B$10000,2,FALSE)</f>
        <v>48046568</v>
      </c>
      <c r="G25" s="48" t="str">
        <f t="shared" si="0"/>
        <v>MAE-02-24</v>
      </c>
      <c r="H25" t="s">
        <v>135</v>
      </c>
      <c r="I25" t="s">
        <v>136</v>
      </c>
      <c r="J25" t="s">
        <v>57</v>
      </c>
      <c r="K25" s="92" t="s">
        <v>12</v>
      </c>
      <c r="L25" s="96" t="s">
        <v>231</v>
      </c>
      <c r="M25" s="95">
        <v>68.150000000000006</v>
      </c>
      <c r="N25" s="92" t="s">
        <v>228</v>
      </c>
      <c r="O25" s="97" t="s">
        <v>173</v>
      </c>
      <c r="W25" s="46">
        <v>43854</v>
      </c>
      <c r="X25" s="46"/>
      <c r="Y25" s="46" t="str">
        <f t="shared" si="1"/>
        <v>viernes</v>
      </c>
      <c r="Z25" s="16"/>
      <c r="AA25" s="24"/>
      <c r="AC25" s="88">
        <v>1</v>
      </c>
    </row>
    <row r="26" spans="1:29" x14ac:dyDescent="0.25">
      <c r="F26" s="5">
        <f>VLOOKUP(K26,DNI!$A$1:$B$10000,2,FALSE)</f>
        <v>45545014</v>
      </c>
      <c r="G26" s="48" t="str">
        <f t="shared" si="0"/>
        <v>TEC-01-25</v>
      </c>
      <c r="H26" t="s">
        <v>85</v>
      </c>
      <c r="I26" t="s">
        <v>145</v>
      </c>
      <c r="J26" t="s">
        <v>86</v>
      </c>
      <c r="K26" s="92" t="s">
        <v>23</v>
      </c>
      <c r="L26" s="96" t="s">
        <v>232</v>
      </c>
      <c r="M26" s="95">
        <v>60</v>
      </c>
      <c r="N26" s="92" t="s">
        <v>228</v>
      </c>
      <c r="O26" s="97" t="s">
        <v>174</v>
      </c>
      <c r="W26" s="46">
        <v>43855</v>
      </c>
      <c r="X26" s="46"/>
      <c r="Y26" s="46" t="str">
        <f t="shared" si="1"/>
        <v>sábado</v>
      </c>
      <c r="Z26" s="16"/>
      <c r="AA26" s="24"/>
      <c r="AC26" s="88"/>
    </row>
    <row r="27" spans="1:29" x14ac:dyDescent="0.25">
      <c r="F27" s="5">
        <f>VLOOKUP(K27,DNI!$A$1:$B$10000,2,FALSE)</f>
        <v>70858509</v>
      </c>
      <c r="G27" s="48" t="str">
        <f t="shared" si="0"/>
        <v>TEC-01-26</v>
      </c>
      <c r="H27" t="s">
        <v>85</v>
      </c>
      <c r="I27" t="s">
        <v>145</v>
      </c>
      <c r="J27" t="s">
        <v>86</v>
      </c>
      <c r="K27" s="92" t="s">
        <v>24</v>
      </c>
      <c r="L27" s="96" t="s">
        <v>232</v>
      </c>
      <c r="M27" s="95">
        <v>60</v>
      </c>
      <c r="N27" s="92" t="s">
        <v>228</v>
      </c>
      <c r="O27" s="97" t="s">
        <v>175</v>
      </c>
      <c r="W27" s="46">
        <v>43856</v>
      </c>
      <c r="X27" s="86">
        <v>1</v>
      </c>
      <c r="Y27" s="46" t="str">
        <f t="shared" si="1"/>
        <v>domingo</v>
      </c>
      <c r="Z27" s="16"/>
      <c r="AA27" s="24"/>
    </row>
    <row r="28" spans="1:29" x14ac:dyDescent="0.25">
      <c r="F28" s="5">
        <f>VLOOKUP(K28,DNI!$A$1:$B$10000,2,FALSE)</f>
        <v>46228460</v>
      </c>
      <c r="G28" s="48" t="str">
        <f t="shared" si="0"/>
        <v>TEC-04-27</v>
      </c>
      <c r="H28" t="s">
        <v>133</v>
      </c>
      <c r="I28" t="s">
        <v>131</v>
      </c>
      <c r="J28" t="s">
        <v>134</v>
      </c>
      <c r="K28" s="92" t="s">
        <v>87</v>
      </c>
      <c r="L28" s="96" t="s">
        <v>231</v>
      </c>
      <c r="M28" s="98">
        <v>67.66</v>
      </c>
      <c r="N28" s="92" t="s">
        <v>228</v>
      </c>
      <c r="O28" s="97" t="s">
        <v>176</v>
      </c>
      <c r="W28" s="46">
        <v>43857</v>
      </c>
      <c r="X28" s="46"/>
      <c r="Y28" s="46" t="str">
        <f t="shared" si="1"/>
        <v>lunes</v>
      </c>
      <c r="Z28" s="16"/>
      <c r="AA28" s="24"/>
    </row>
    <row r="29" spans="1:29" x14ac:dyDescent="0.25">
      <c r="F29" s="5">
        <f>VLOOKUP(K29,DNI!$A$1:$B$10000,2,FALSE)</f>
        <v>47466045</v>
      </c>
      <c r="G29" s="48" t="str">
        <f t="shared" si="0"/>
        <v>MAE3G-01-28</v>
      </c>
      <c r="H29" t="s">
        <v>144</v>
      </c>
      <c r="I29" t="s">
        <v>145</v>
      </c>
      <c r="J29" t="s">
        <v>59</v>
      </c>
      <c r="K29" s="92" t="s">
        <v>13</v>
      </c>
      <c r="L29" s="96" t="s">
        <v>231</v>
      </c>
      <c r="M29" s="98">
        <v>70.38</v>
      </c>
      <c r="N29" s="92" t="s">
        <v>228</v>
      </c>
      <c r="O29" s="97" t="s">
        <v>177</v>
      </c>
      <c r="W29" s="46">
        <v>43858</v>
      </c>
      <c r="X29" s="46"/>
      <c r="Y29" s="46" t="str">
        <f t="shared" si="1"/>
        <v>martes</v>
      </c>
      <c r="Z29" s="16"/>
      <c r="AA29" s="24"/>
    </row>
    <row r="30" spans="1:29" x14ac:dyDescent="0.25">
      <c r="F30" s="5">
        <f>VLOOKUP(K30,DNI!$A$1:$B$10000,2,FALSE)</f>
        <v>62188868</v>
      </c>
      <c r="G30" s="48" t="str">
        <f t="shared" si="0"/>
        <v>AYU-VA-29</v>
      </c>
      <c r="H30" t="s">
        <v>97</v>
      </c>
      <c r="I30" t="s">
        <v>148</v>
      </c>
      <c r="J30" t="s">
        <v>65</v>
      </c>
      <c r="K30" s="92" t="s">
        <v>92</v>
      </c>
      <c r="L30" s="96" t="s">
        <v>231</v>
      </c>
      <c r="M30" s="98">
        <v>39.15</v>
      </c>
      <c r="N30" s="92" t="s">
        <v>228</v>
      </c>
      <c r="O30" s="97" t="s">
        <v>178</v>
      </c>
      <c r="W30" s="46">
        <v>43859</v>
      </c>
      <c r="X30" s="46"/>
      <c r="Y30" s="46" t="str">
        <f t="shared" si="1"/>
        <v>miércoles</v>
      </c>
      <c r="Z30" s="16"/>
      <c r="AA30" s="24"/>
    </row>
    <row r="31" spans="1:29" x14ac:dyDescent="0.25">
      <c r="F31" s="5">
        <f>VLOOKUP(K31,DNI!$A$1:$B$10000,2,FALSE)</f>
        <v>16792081</v>
      </c>
      <c r="G31" s="48" t="str">
        <f t="shared" si="0"/>
        <v>MAE3G-01-30</v>
      </c>
      <c r="H31" t="s">
        <v>144</v>
      </c>
      <c r="I31" t="s">
        <v>145</v>
      </c>
      <c r="J31" t="s">
        <v>59</v>
      </c>
      <c r="K31" s="92" t="s">
        <v>25</v>
      </c>
      <c r="L31" s="96" t="s">
        <v>232</v>
      </c>
      <c r="M31" s="98">
        <v>85</v>
      </c>
      <c r="N31" s="92" t="s">
        <v>228</v>
      </c>
      <c r="O31" s="97" t="s">
        <v>179</v>
      </c>
      <c r="W31" s="46">
        <v>43860</v>
      </c>
      <c r="X31" s="46"/>
      <c r="Y31" s="46" t="str">
        <f t="shared" si="1"/>
        <v>jueves</v>
      </c>
      <c r="Z31" s="16"/>
      <c r="AA31" s="24"/>
    </row>
    <row r="32" spans="1:29" x14ac:dyDescent="0.25">
      <c r="F32" s="5">
        <f>VLOOKUP(K32,DNI!$A$1:$B$10000,2,FALSE)</f>
        <v>73541627</v>
      </c>
      <c r="G32" s="48" t="str">
        <f t="shared" si="0"/>
        <v>TEC-02-31</v>
      </c>
      <c r="H32" t="s">
        <v>137</v>
      </c>
      <c r="I32" t="s">
        <v>136</v>
      </c>
      <c r="J32" t="s">
        <v>61</v>
      </c>
      <c r="K32" s="92" t="s">
        <v>26</v>
      </c>
      <c r="L32" s="96" t="s">
        <v>231</v>
      </c>
      <c r="M32" s="95">
        <v>55</v>
      </c>
      <c r="N32" s="92" t="s">
        <v>228</v>
      </c>
      <c r="O32" s="97" t="s">
        <v>180</v>
      </c>
      <c r="W32" s="46">
        <v>43861</v>
      </c>
      <c r="X32" s="46"/>
      <c r="Y32" s="46" t="str">
        <f t="shared" si="1"/>
        <v>viernes</v>
      </c>
      <c r="Z32" s="16"/>
      <c r="AA32" s="24"/>
    </row>
    <row r="33" spans="6:27" x14ac:dyDescent="0.25">
      <c r="F33" s="5">
        <f>VLOOKUP(K33,DNI!$A$1:$B$10000,2,FALSE)</f>
        <v>76811302</v>
      </c>
      <c r="G33" s="48" t="str">
        <f t="shared" si="0"/>
        <v>TEC-04-32</v>
      </c>
      <c r="H33" t="s">
        <v>133</v>
      </c>
      <c r="I33" t="s">
        <v>131</v>
      </c>
      <c r="J33" t="s">
        <v>134</v>
      </c>
      <c r="K33" s="92" t="s">
        <v>95</v>
      </c>
      <c r="L33" s="96" t="s">
        <v>231</v>
      </c>
      <c r="M33" s="95">
        <v>60</v>
      </c>
      <c r="N33" s="92" t="s">
        <v>228</v>
      </c>
      <c r="O33" s="97" t="s">
        <v>181</v>
      </c>
      <c r="W33" s="46">
        <v>43862</v>
      </c>
      <c r="X33" s="46"/>
      <c r="Y33" s="46" t="str">
        <f t="shared" si="1"/>
        <v>sábado</v>
      </c>
      <c r="Z33" s="16"/>
      <c r="AA33" s="24"/>
    </row>
    <row r="34" spans="6:27" x14ac:dyDescent="0.25">
      <c r="F34" s="5">
        <f>VLOOKUP(K34,DNI!$A$1:$B$10000,2,FALSE)</f>
        <v>76457697</v>
      </c>
      <c r="G34" s="48" t="str">
        <f t="shared" si="0"/>
        <v>AYU-VA-33</v>
      </c>
      <c r="H34" t="s">
        <v>97</v>
      </c>
      <c r="I34" t="s">
        <v>148</v>
      </c>
      <c r="J34" t="s">
        <v>65</v>
      </c>
      <c r="K34" s="92" t="s">
        <v>44</v>
      </c>
      <c r="L34" s="96" t="s">
        <v>382</v>
      </c>
      <c r="M34" s="95">
        <v>45</v>
      </c>
      <c r="N34" s="92" t="s">
        <v>228</v>
      </c>
      <c r="O34" s="97" t="s">
        <v>182</v>
      </c>
      <c r="W34" s="46">
        <v>43863</v>
      </c>
      <c r="X34" s="86">
        <v>1</v>
      </c>
      <c r="Y34" s="46" t="str">
        <f t="shared" si="1"/>
        <v>domingo</v>
      </c>
      <c r="Z34" s="16"/>
      <c r="AA34" s="24"/>
    </row>
    <row r="35" spans="6:27" x14ac:dyDescent="0.25">
      <c r="F35" s="5">
        <f>VLOOKUP(K35,DNI!$A$1:$B$10000,2,FALSE)</f>
        <v>47586740</v>
      </c>
      <c r="G35" s="48" t="str">
        <f t="shared" si="0"/>
        <v>TEC-02-34</v>
      </c>
      <c r="H35" t="s">
        <v>137</v>
      </c>
      <c r="I35" t="s">
        <v>136</v>
      </c>
      <c r="J35" t="s">
        <v>61</v>
      </c>
      <c r="K35" s="92" t="s">
        <v>27</v>
      </c>
      <c r="L35" s="96" t="s">
        <v>232</v>
      </c>
      <c r="M35" s="95">
        <v>60</v>
      </c>
      <c r="N35" s="92" t="s">
        <v>228</v>
      </c>
      <c r="O35" s="97" t="s">
        <v>183</v>
      </c>
      <c r="W35" s="46">
        <v>43864</v>
      </c>
      <c r="X35" s="46"/>
      <c r="Y35" s="46" t="str">
        <f t="shared" si="1"/>
        <v>lunes</v>
      </c>
      <c r="Z35" s="16"/>
      <c r="AA35" s="24"/>
    </row>
    <row r="36" spans="6:27" x14ac:dyDescent="0.25">
      <c r="F36" s="5">
        <f>VLOOKUP(K36,DNI!$A$1:$B$10000,2,FALSE)</f>
        <v>72241927</v>
      </c>
      <c r="G36" s="48" t="str">
        <f t="shared" si="0"/>
        <v>MAE-05-35</v>
      </c>
      <c r="H36" t="s">
        <v>140</v>
      </c>
      <c r="I36" t="s">
        <v>139</v>
      </c>
      <c r="J36" t="s">
        <v>58</v>
      </c>
      <c r="K36" s="92" t="s">
        <v>96</v>
      </c>
      <c r="L36" s="96" t="s">
        <v>231</v>
      </c>
      <c r="M36" s="98">
        <v>70</v>
      </c>
      <c r="N36" s="92" t="s">
        <v>228</v>
      </c>
      <c r="O36" s="97" t="s">
        <v>184</v>
      </c>
      <c r="W36" s="46">
        <v>43865</v>
      </c>
      <c r="X36" s="46"/>
      <c r="Y36" s="46" t="str">
        <f t="shared" si="1"/>
        <v>martes</v>
      </c>
      <c r="Z36" s="16"/>
      <c r="AA36" s="24"/>
    </row>
    <row r="37" spans="6:27" x14ac:dyDescent="0.25">
      <c r="F37" s="5">
        <f>VLOOKUP(K37,DNI!$A$1:$B$10000,2,FALSE)</f>
        <v>76785790</v>
      </c>
      <c r="G37" s="48" t="str">
        <f t="shared" si="0"/>
        <v>AYU-VA-36</v>
      </c>
      <c r="H37" t="s">
        <v>97</v>
      </c>
      <c r="I37" t="s">
        <v>148</v>
      </c>
      <c r="J37" t="s">
        <v>65</v>
      </c>
      <c r="K37" s="92" t="s">
        <v>28</v>
      </c>
      <c r="L37" s="96" t="s">
        <v>232</v>
      </c>
      <c r="M37" s="95">
        <v>45</v>
      </c>
      <c r="N37" s="92" t="s">
        <v>228</v>
      </c>
      <c r="O37" s="97" t="s">
        <v>185</v>
      </c>
      <c r="W37" s="46">
        <v>43866</v>
      </c>
      <c r="X37" s="46"/>
      <c r="Y37" s="46" t="str">
        <f t="shared" si="1"/>
        <v>miércoles</v>
      </c>
      <c r="Z37" s="16"/>
      <c r="AA37" s="24"/>
    </row>
    <row r="38" spans="6:27" x14ac:dyDescent="0.25">
      <c r="F38" s="5">
        <f>VLOOKUP(K38,DNI!$A$1:$B$10000,2,FALSE)</f>
        <v>72241926</v>
      </c>
      <c r="G38" s="48" t="str">
        <f t="shared" si="0"/>
        <v>AYU-VA-37</v>
      </c>
      <c r="H38" t="s">
        <v>97</v>
      </c>
      <c r="I38" t="s">
        <v>148</v>
      </c>
      <c r="J38" t="s">
        <v>65</v>
      </c>
      <c r="K38" s="92" t="s">
        <v>45</v>
      </c>
      <c r="L38" s="96" t="s">
        <v>232</v>
      </c>
      <c r="M38" s="95">
        <v>45</v>
      </c>
      <c r="N38" s="92" t="s">
        <v>228</v>
      </c>
      <c r="O38" s="97" t="s">
        <v>186</v>
      </c>
      <c r="W38" s="46">
        <v>43867</v>
      </c>
      <c r="X38" s="46"/>
      <c r="Y38" s="46" t="str">
        <f t="shared" si="1"/>
        <v>jueves</v>
      </c>
      <c r="Z38" s="16"/>
      <c r="AA38" s="24"/>
    </row>
    <row r="39" spans="6:27" x14ac:dyDescent="0.25">
      <c r="F39" s="5">
        <f>VLOOKUP(K39,DNI!$A$1:$B$10000,2,FALSE)</f>
        <v>45821420</v>
      </c>
      <c r="G39" s="48" t="str">
        <f t="shared" si="0"/>
        <v>TEC-05-38</v>
      </c>
      <c r="H39" t="s">
        <v>141</v>
      </c>
      <c r="I39" t="s">
        <v>139</v>
      </c>
      <c r="J39" t="s">
        <v>62</v>
      </c>
      <c r="K39" s="92" t="s">
        <v>29</v>
      </c>
      <c r="L39" s="96" t="s">
        <v>231</v>
      </c>
      <c r="M39" s="99">
        <v>56.55</v>
      </c>
      <c r="N39" s="92" t="s">
        <v>228</v>
      </c>
      <c r="O39" s="97" t="s">
        <v>187</v>
      </c>
      <c r="W39" s="46">
        <v>43868</v>
      </c>
      <c r="X39" s="46"/>
      <c r="Y39" s="46" t="str">
        <f t="shared" si="1"/>
        <v>viernes</v>
      </c>
      <c r="Z39" s="16"/>
      <c r="AA39" s="24"/>
    </row>
    <row r="40" spans="6:27" x14ac:dyDescent="0.25">
      <c r="F40" s="5">
        <f>VLOOKUP(K40,DNI!$A$1:$B$10000,2,FALSE)</f>
        <v>47887505</v>
      </c>
      <c r="G40" s="48" t="str">
        <f t="shared" si="0"/>
        <v>TEC-01-39</v>
      </c>
      <c r="H40" t="s">
        <v>85</v>
      </c>
      <c r="I40" t="s">
        <v>145</v>
      </c>
      <c r="J40" t="s">
        <v>86</v>
      </c>
      <c r="K40" s="92" t="s">
        <v>30</v>
      </c>
      <c r="L40" s="96" t="s">
        <v>231</v>
      </c>
      <c r="M40" s="99">
        <v>66.48</v>
      </c>
      <c r="N40" s="92" t="s">
        <v>228</v>
      </c>
      <c r="O40" s="97" t="s">
        <v>188</v>
      </c>
      <c r="W40" s="46">
        <v>43869</v>
      </c>
      <c r="X40" s="46"/>
      <c r="Y40" s="46" t="str">
        <f t="shared" si="1"/>
        <v>sábado</v>
      </c>
      <c r="Z40" s="16"/>
      <c r="AA40" s="24"/>
    </row>
    <row r="41" spans="6:27" x14ac:dyDescent="0.25">
      <c r="F41" s="5">
        <f>VLOOKUP(K41,DNI!$A$1:$B$10000,2,FALSE)</f>
        <v>47942907</v>
      </c>
      <c r="G41" s="48" t="str">
        <f t="shared" si="0"/>
        <v>MEC-02-40</v>
      </c>
      <c r="H41" t="s">
        <v>98</v>
      </c>
      <c r="I41" t="s">
        <v>136</v>
      </c>
      <c r="J41" t="s">
        <v>99</v>
      </c>
      <c r="K41" s="92" t="s">
        <v>49</v>
      </c>
      <c r="L41" s="96" t="s">
        <v>231</v>
      </c>
      <c r="M41" s="99">
        <v>75</v>
      </c>
      <c r="N41" s="92" t="s">
        <v>228</v>
      </c>
      <c r="O41" s="97" t="s">
        <v>189</v>
      </c>
      <c r="W41" s="46">
        <v>43870</v>
      </c>
      <c r="X41" s="86">
        <v>1</v>
      </c>
      <c r="Y41" s="46" t="str">
        <f t="shared" si="1"/>
        <v>domingo</v>
      </c>
      <c r="Z41" s="16"/>
      <c r="AA41" s="24"/>
    </row>
    <row r="42" spans="6:27" x14ac:dyDescent="0.25">
      <c r="F42" s="5">
        <f>VLOOKUP(K42,DNI!$A$1:$B$10000,2,FALSE)</f>
        <v>48372384</v>
      </c>
      <c r="G42" s="48" t="str">
        <f t="shared" si="0"/>
        <v>TEC-02-41</v>
      </c>
      <c r="H42" t="s">
        <v>137</v>
      </c>
      <c r="I42" t="s">
        <v>136</v>
      </c>
      <c r="J42" t="s">
        <v>61</v>
      </c>
      <c r="K42" s="92" t="s">
        <v>14</v>
      </c>
      <c r="L42" s="96" t="s">
        <v>231</v>
      </c>
      <c r="M42" s="99">
        <v>57.62</v>
      </c>
      <c r="N42" s="92" t="s">
        <v>228</v>
      </c>
      <c r="O42" s="97" t="s">
        <v>190</v>
      </c>
      <c r="W42" s="46">
        <v>43871</v>
      </c>
      <c r="X42" s="46"/>
      <c r="Y42" s="46" t="str">
        <f t="shared" si="1"/>
        <v>lunes</v>
      </c>
      <c r="Z42" s="16"/>
      <c r="AA42" s="24"/>
    </row>
    <row r="43" spans="6:27" x14ac:dyDescent="0.25">
      <c r="F43" s="5">
        <f>VLOOKUP(K43,DNI!$A$1:$B$10000,2,FALSE)</f>
        <v>42308744</v>
      </c>
      <c r="G43" s="48" t="str">
        <f t="shared" si="0"/>
        <v>MAE-02-42</v>
      </c>
      <c r="H43" t="s">
        <v>135</v>
      </c>
      <c r="I43" t="s">
        <v>136</v>
      </c>
      <c r="J43" t="s">
        <v>57</v>
      </c>
      <c r="K43" s="92" t="s">
        <v>100</v>
      </c>
      <c r="L43" s="96" t="s">
        <v>231</v>
      </c>
      <c r="M43" s="99">
        <v>87.1</v>
      </c>
      <c r="N43" s="92" t="s">
        <v>228</v>
      </c>
      <c r="O43" s="97" t="s">
        <v>191</v>
      </c>
      <c r="W43" s="46">
        <v>43872</v>
      </c>
      <c r="X43" s="46"/>
      <c r="Y43" s="46" t="str">
        <f t="shared" si="1"/>
        <v>martes</v>
      </c>
      <c r="Z43" s="16"/>
      <c r="AA43" s="24"/>
    </row>
    <row r="44" spans="6:27" x14ac:dyDescent="0.25">
      <c r="F44" s="5">
        <v>45486657</v>
      </c>
      <c r="G44" s="48" t="str">
        <f t="shared" si="0"/>
        <v>MAE3G-01-43</v>
      </c>
      <c r="H44" t="s">
        <v>144</v>
      </c>
      <c r="I44" t="s">
        <v>145</v>
      </c>
      <c r="J44" t="s">
        <v>59</v>
      </c>
      <c r="K44" s="92" t="s">
        <v>46</v>
      </c>
      <c r="L44" s="96" t="s">
        <v>232</v>
      </c>
      <c r="M44" s="99">
        <v>90</v>
      </c>
      <c r="N44" s="92" t="s">
        <v>228</v>
      </c>
      <c r="O44" s="97" t="s">
        <v>192</v>
      </c>
      <c r="W44" s="46">
        <v>43873</v>
      </c>
      <c r="X44" s="46"/>
      <c r="Y44" s="46" t="str">
        <f t="shared" si="1"/>
        <v>miércoles</v>
      </c>
      <c r="Z44" s="16"/>
      <c r="AA44" s="24"/>
    </row>
    <row r="45" spans="6:27" x14ac:dyDescent="0.25">
      <c r="F45" s="5">
        <f>VLOOKUP(K45,DNI!$A$1:$B$10000,2,FALSE)</f>
        <v>45779525</v>
      </c>
      <c r="G45" s="48" t="str">
        <f t="shared" si="0"/>
        <v>MAEME-03-44</v>
      </c>
      <c r="H45" t="s">
        <v>119</v>
      </c>
      <c r="I45" t="s">
        <v>120</v>
      </c>
      <c r="J45" t="s">
        <v>121</v>
      </c>
      <c r="K45" s="92" t="s">
        <v>113</v>
      </c>
      <c r="L45" s="96" t="s">
        <v>231</v>
      </c>
      <c r="M45" s="99">
        <v>116.06</v>
      </c>
      <c r="N45" s="92" t="s">
        <v>228</v>
      </c>
      <c r="O45" s="97" t="s">
        <v>193</v>
      </c>
      <c r="W45" s="46">
        <v>43874</v>
      </c>
      <c r="X45" s="46"/>
      <c r="Y45" s="46" t="str">
        <f t="shared" si="1"/>
        <v>jueves</v>
      </c>
      <c r="Z45" s="16"/>
      <c r="AA45" s="24"/>
    </row>
    <row r="46" spans="6:27" x14ac:dyDescent="0.25">
      <c r="F46" s="5">
        <f>VLOOKUP(K46,DNI!$A$1:$B$10000,2,FALSE)</f>
        <v>77423720</v>
      </c>
      <c r="G46" s="48" t="str">
        <f t="shared" si="0"/>
        <v>MAE3G-01-45</v>
      </c>
      <c r="H46" t="s">
        <v>144</v>
      </c>
      <c r="I46" t="s">
        <v>145</v>
      </c>
      <c r="J46" t="s">
        <v>59</v>
      </c>
      <c r="K46" s="92" t="s">
        <v>102</v>
      </c>
      <c r="L46" s="96" t="s">
        <v>231</v>
      </c>
      <c r="M46" s="99">
        <v>69.44</v>
      </c>
      <c r="N46" s="92" t="s">
        <v>228</v>
      </c>
      <c r="O46" s="97" t="s">
        <v>194</v>
      </c>
      <c r="W46" s="46">
        <v>43875</v>
      </c>
      <c r="X46" s="46"/>
      <c r="Y46" s="46" t="str">
        <f t="shared" si="1"/>
        <v>viernes</v>
      </c>
      <c r="Z46" s="16"/>
      <c r="AA46" s="24"/>
    </row>
    <row r="47" spans="6:27" x14ac:dyDescent="0.25">
      <c r="F47" s="5">
        <f>VLOOKUP(K47,DNI!$A$1:$B$10000,2,FALSE)</f>
        <v>45035778</v>
      </c>
      <c r="G47" s="48" t="str">
        <f t="shared" si="0"/>
        <v>MAE6G-01-46</v>
      </c>
      <c r="H47" t="s">
        <v>146</v>
      </c>
      <c r="I47" t="s">
        <v>145</v>
      </c>
      <c r="J47" t="s">
        <v>147</v>
      </c>
      <c r="K47" s="92" t="s">
        <v>31</v>
      </c>
      <c r="L47" s="96" t="s">
        <v>231</v>
      </c>
      <c r="M47" s="99">
        <v>92.8</v>
      </c>
      <c r="N47" s="92" t="s">
        <v>228</v>
      </c>
      <c r="O47" s="97" t="s">
        <v>195</v>
      </c>
      <c r="W47" s="46">
        <v>43876</v>
      </c>
      <c r="X47" s="46"/>
      <c r="Y47" s="46" t="str">
        <f t="shared" si="1"/>
        <v>sábado</v>
      </c>
      <c r="Z47" s="16"/>
      <c r="AA47" s="24"/>
    </row>
    <row r="48" spans="6:27" x14ac:dyDescent="0.25">
      <c r="F48" s="5">
        <f>VLOOKUP(K48,DNI!$A$1:$B$10000,2,FALSE)</f>
        <v>72926564</v>
      </c>
      <c r="G48" s="48" t="str">
        <f t="shared" si="0"/>
        <v>MAE-04-47</v>
      </c>
      <c r="H48" t="s">
        <v>130</v>
      </c>
      <c r="I48" t="s">
        <v>131</v>
      </c>
      <c r="J48" t="s">
        <v>56</v>
      </c>
      <c r="K48" s="92" t="s">
        <v>32</v>
      </c>
      <c r="L48" s="96" t="s">
        <v>231</v>
      </c>
      <c r="M48" s="99">
        <v>88.27</v>
      </c>
      <c r="N48" s="92" t="s">
        <v>228</v>
      </c>
      <c r="O48" s="97" t="s">
        <v>196</v>
      </c>
      <c r="W48" s="46">
        <v>43877</v>
      </c>
      <c r="X48" s="86">
        <v>1</v>
      </c>
      <c r="Y48" s="46" t="str">
        <f t="shared" si="1"/>
        <v>domingo</v>
      </c>
      <c r="Z48" s="16"/>
      <c r="AA48" s="24"/>
    </row>
    <row r="49" spans="6:27" x14ac:dyDescent="0.25">
      <c r="F49" s="5">
        <f>VLOOKUP(K49,DNI!$A$1:$B$10000,2,FALSE)</f>
        <v>76022523</v>
      </c>
      <c r="G49" s="48" t="str">
        <f t="shared" si="0"/>
        <v>AYU-VA-48</v>
      </c>
      <c r="H49" t="s">
        <v>97</v>
      </c>
      <c r="I49" t="s">
        <v>148</v>
      </c>
      <c r="J49" t="s">
        <v>65</v>
      </c>
      <c r="K49" s="92" t="s">
        <v>52</v>
      </c>
      <c r="L49" s="96" t="s">
        <v>232</v>
      </c>
      <c r="M49" s="99">
        <v>45</v>
      </c>
      <c r="N49" s="92" t="s">
        <v>228</v>
      </c>
      <c r="O49" s="97" t="s">
        <v>197</v>
      </c>
      <c r="W49" s="46">
        <v>43878</v>
      </c>
      <c r="X49" s="46"/>
      <c r="Y49" s="46" t="str">
        <f t="shared" si="1"/>
        <v>lunes</v>
      </c>
      <c r="Z49" s="16"/>
      <c r="AA49" s="24"/>
    </row>
    <row r="50" spans="6:27" x14ac:dyDescent="0.25">
      <c r="F50" s="5">
        <f>VLOOKUP(K50,DNI!$A$1:$B$10000,2,FALSE)</f>
        <v>43543039</v>
      </c>
      <c r="G50" s="48" t="str">
        <f t="shared" si="0"/>
        <v>MAE3G-01-49</v>
      </c>
      <c r="H50" t="s">
        <v>144</v>
      </c>
      <c r="I50" t="s">
        <v>145</v>
      </c>
      <c r="J50" t="s">
        <v>59</v>
      </c>
      <c r="K50" s="92" t="s">
        <v>33</v>
      </c>
      <c r="L50" s="96" t="s">
        <v>231</v>
      </c>
      <c r="M50" s="99">
        <v>69.64</v>
      </c>
      <c r="N50" s="92" t="s">
        <v>228</v>
      </c>
      <c r="O50" s="97" t="s">
        <v>198</v>
      </c>
      <c r="W50" s="46">
        <v>43879</v>
      </c>
      <c r="X50" s="46"/>
      <c r="Y50" s="46" t="str">
        <f t="shared" si="1"/>
        <v>martes</v>
      </c>
      <c r="Z50" s="16"/>
      <c r="AA50" s="24"/>
    </row>
    <row r="51" spans="6:27" x14ac:dyDescent="0.25">
      <c r="F51" s="5">
        <f>VLOOKUP(K51,DNI!$A$1:$B$10000,2,FALSE)</f>
        <v>45360771</v>
      </c>
      <c r="G51" s="48" t="str">
        <f t="shared" si="0"/>
        <v>MEC-04-50</v>
      </c>
      <c r="H51" t="s">
        <v>132</v>
      </c>
      <c r="I51" t="s">
        <v>131</v>
      </c>
      <c r="J51" t="s">
        <v>60</v>
      </c>
      <c r="K51" s="92" t="s">
        <v>103</v>
      </c>
      <c r="L51" s="96" t="s">
        <v>231</v>
      </c>
      <c r="M51" s="99">
        <v>94.35</v>
      </c>
      <c r="N51" s="92" t="s">
        <v>228</v>
      </c>
      <c r="O51" s="97" t="s">
        <v>199</v>
      </c>
      <c r="W51" s="46">
        <v>43880</v>
      </c>
      <c r="X51" s="46"/>
      <c r="Y51" s="46" t="str">
        <f t="shared" si="1"/>
        <v>miércoles</v>
      </c>
      <c r="Z51" s="16"/>
      <c r="AA51" s="24"/>
    </row>
    <row r="52" spans="6:27" x14ac:dyDescent="0.25">
      <c r="F52" s="5">
        <f>VLOOKUP(K52,DNI!$A$1:$B$10000,2,FALSE)</f>
        <v>75952484</v>
      </c>
      <c r="G52" s="48" t="str">
        <f t="shared" si="0"/>
        <v>AYU-VA-51</v>
      </c>
      <c r="H52" t="s">
        <v>97</v>
      </c>
      <c r="I52" t="s">
        <v>148</v>
      </c>
      <c r="J52" t="s">
        <v>65</v>
      </c>
      <c r="K52" s="92" t="s">
        <v>50</v>
      </c>
      <c r="L52" s="96" t="s">
        <v>232</v>
      </c>
      <c r="M52" s="99">
        <v>45</v>
      </c>
      <c r="N52" s="92" t="s">
        <v>229</v>
      </c>
      <c r="O52" s="97" t="s">
        <v>200</v>
      </c>
      <c r="W52" s="46">
        <v>43881</v>
      </c>
      <c r="X52" s="46"/>
      <c r="Y52" s="46" t="str">
        <f t="shared" si="1"/>
        <v>jueves</v>
      </c>
      <c r="Z52" s="16"/>
      <c r="AA52" s="24"/>
    </row>
    <row r="53" spans="6:27" x14ac:dyDescent="0.25">
      <c r="F53" s="5">
        <f>VLOOKUP(K53,DNI!$A$1:$B$10000,2,FALSE)</f>
        <v>45046642</v>
      </c>
      <c r="G53" s="48" t="str">
        <f t="shared" si="0"/>
        <v>MAE6G-01-52</v>
      </c>
      <c r="H53" t="s">
        <v>146</v>
      </c>
      <c r="I53" t="s">
        <v>145</v>
      </c>
      <c r="J53" t="s">
        <v>147</v>
      </c>
      <c r="K53" s="92" t="s">
        <v>15</v>
      </c>
      <c r="L53" s="96" t="s">
        <v>231</v>
      </c>
      <c r="M53" s="99">
        <v>90.86</v>
      </c>
      <c r="N53" s="92" t="s">
        <v>228</v>
      </c>
      <c r="O53" s="97" t="s">
        <v>201</v>
      </c>
      <c r="W53" s="46">
        <v>43882</v>
      </c>
      <c r="X53" s="46"/>
      <c r="Y53" s="46" t="str">
        <f t="shared" si="1"/>
        <v>viernes</v>
      </c>
      <c r="Z53" s="16"/>
      <c r="AA53" s="24"/>
    </row>
    <row r="54" spans="6:27" x14ac:dyDescent="0.25">
      <c r="F54" s="5">
        <f>VLOOKUP(K54,DNI!$A$1:$B$10000,2,FALSE)</f>
        <v>41004188</v>
      </c>
      <c r="G54" s="48" t="str">
        <f t="shared" si="0"/>
        <v>TEC-05-53</v>
      </c>
      <c r="H54" t="s">
        <v>141</v>
      </c>
      <c r="I54" t="s">
        <v>139</v>
      </c>
      <c r="J54" t="s">
        <v>62</v>
      </c>
      <c r="K54" s="92" t="s">
        <v>39</v>
      </c>
      <c r="L54" s="96" t="s">
        <v>231</v>
      </c>
      <c r="M54" s="99">
        <v>65</v>
      </c>
      <c r="N54" s="92" t="s">
        <v>228</v>
      </c>
      <c r="O54" s="97" t="s">
        <v>202</v>
      </c>
      <c r="W54" s="46">
        <v>43883</v>
      </c>
      <c r="X54" s="46"/>
      <c r="Y54" s="46" t="str">
        <f t="shared" si="1"/>
        <v>sábado</v>
      </c>
      <c r="Z54" s="16"/>
      <c r="AA54" s="24"/>
    </row>
    <row r="55" spans="6:27" x14ac:dyDescent="0.25">
      <c r="F55" s="5">
        <f>VLOOKUP(K55,DNI!$A$1:$B$10000,2,FALSE)</f>
        <v>70549127</v>
      </c>
      <c r="G55" s="48" t="str">
        <f t="shared" si="0"/>
        <v>TEC-05-54</v>
      </c>
      <c r="H55" t="s">
        <v>141</v>
      </c>
      <c r="I55" t="s">
        <v>139</v>
      </c>
      <c r="J55" t="s">
        <v>62</v>
      </c>
      <c r="K55" s="92" t="s">
        <v>48</v>
      </c>
      <c r="L55" s="96" t="s">
        <v>232</v>
      </c>
      <c r="M55" s="99">
        <v>60</v>
      </c>
      <c r="N55" s="92" t="s">
        <v>228</v>
      </c>
      <c r="O55" s="97" t="s">
        <v>203</v>
      </c>
      <c r="W55" s="46">
        <v>43884</v>
      </c>
      <c r="X55" s="86">
        <v>1</v>
      </c>
      <c r="Y55" s="46" t="str">
        <f t="shared" si="1"/>
        <v>domingo</v>
      </c>
      <c r="Z55" s="16"/>
      <c r="AA55" s="24"/>
    </row>
    <row r="56" spans="6:27" x14ac:dyDescent="0.25">
      <c r="F56" s="5">
        <f>VLOOKUP(K56,DNI!$A$1:$B$10000,2,FALSE)</f>
        <v>47158079</v>
      </c>
      <c r="G56" s="48" t="str">
        <f t="shared" si="0"/>
        <v>TEC-02-55</v>
      </c>
      <c r="H56" t="s">
        <v>137</v>
      </c>
      <c r="I56" t="s">
        <v>136</v>
      </c>
      <c r="J56" t="s">
        <v>61</v>
      </c>
      <c r="K56" s="92" t="s">
        <v>34</v>
      </c>
      <c r="L56" s="96" t="s">
        <v>231</v>
      </c>
      <c r="M56" s="99">
        <v>56.55</v>
      </c>
      <c r="N56" s="92" t="s">
        <v>228</v>
      </c>
      <c r="O56" s="97" t="s">
        <v>204</v>
      </c>
      <c r="W56" s="46">
        <v>43885</v>
      </c>
      <c r="X56" s="46"/>
      <c r="Y56" s="46" t="str">
        <f t="shared" si="1"/>
        <v>lunes</v>
      </c>
      <c r="Z56" s="16"/>
      <c r="AA56" s="24"/>
    </row>
    <row r="57" spans="6:27" x14ac:dyDescent="0.25">
      <c r="F57" s="5">
        <f>VLOOKUP(K57,DNI!$A$1:$B$10000,2,FALSE)</f>
        <v>76449683</v>
      </c>
      <c r="G57" s="48" t="str">
        <f t="shared" si="0"/>
        <v>TECME-03-56</v>
      </c>
      <c r="H57" t="s">
        <v>123</v>
      </c>
      <c r="I57" t="s">
        <v>120</v>
      </c>
      <c r="J57" t="s">
        <v>124</v>
      </c>
      <c r="K57" s="92" t="s">
        <v>104</v>
      </c>
      <c r="L57" s="96" t="s">
        <v>231</v>
      </c>
      <c r="M57" s="99">
        <v>73.87</v>
      </c>
      <c r="N57" s="92" t="s">
        <v>228</v>
      </c>
      <c r="O57" s="97" t="s">
        <v>205</v>
      </c>
      <c r="W57" s="46">
        <v>43886</v>
      </c>
      <c r="X57" s="46"/>
      <c r="Y57" s="46" t="str">
        <f t="shared" si="1"/>
        <v>martes</v>
      </c>
      <c r="Z57" s="16"/>
      <c r="AA57" s="24"/>
    </row>
    <row r="58" spans="6:27" x14ac:dyDescent="0.25">
      <c r="F58" s="5">
        <f>VLOOKUP(K58,DNI!$A$1:$B$10000,2,FALSE)</f>
        <v>43878459</v>
      </c>
      <c r="G58" s="48" t="str">
        <f t="shared" si="0"/>
        <v>MEC-04-57</v>
      </c>
      <c r="H58" t="s">
        <v>132</v>
      </c>
      <c r="I58" t="s">
        <v>131</v>
      </c>
      <c r="J58" t="s">
        <v>60</v>
      </c>
      <c r="K58" s="92" t="s">
        <v>105</v>
      </c>
      <c r="L58" s="96" t="s">
        <v>231</v>
      </c>
      <c r="M58" s="99">
        <v>79.78</v>
      </c>
      <c r="N58" s="92" t="s">
        <v>228</v>
      </c>
      <c r="O58" s="97" t="s">
        <v>206</v>
      </c>
      <c r="W58" s="46">
        <v>43887</v>
      </c>
      <c r="X58" s="46"/>
      <c r="Y58" s="46" t="str">
        <f t="shared" si="1"/>
        <v>miércoles</v>
      </c>
      <c r="Z58" s="16"/>
      <c r="AA58" s="24"/>
    </row>
    <row r="59" spans="6:27" x14ac:dyDescent="0.25">
      <c r="F59" s="5">
        <f>VLOOKUP(K59,DNI!$A$1:$B$10000,2,FALSE)</f>
        <v>46578402</v>
      </c>
      <c r="G59" s="48" t="str">
        <f t="shared" si="0"/>
        <v>MEC-04-58</v>
      </c>
      <c r="H59" t="s">
        <v>132</v>
      </c>
      <c r="I59" t="s">
        <v>131</v>
      </c>
      <c r="J59" t="s">
        <v>60</v>
      </c>
      <c r="K59" s="92" t="s">
        <v>106</v>
      </c>
      <c r="L59" s="96" t="s">
        <v>231</v>
      </c>
      <c r="M59" s="99">
        <v>103.42</v>
      </c>
      <c r="N59" s="92" t="s">
        <v>228</v>
      </c>
      <c r="O59" s="97" t="s">
        <v>207</v>
      </c>
      <c r="W59" s="46">
        <v>43888</v>
      </c>
      <c r="X59" s="46"/>
      <c r="Y59" s="46" t="str">
        <f t="shared" si="1"/>
        <v>jueves</v>
      </c>
      <c r="Z59" s="16"/>
      <c r="AA59" s="24"/>
    </row>
    <row r="60" spans="6:27" x14ac:dyDescent="0.25">
      <c r="F60" s="5">
        <f>VLOOKUP(K60,DNI!$A$1:$B$10000,2,FALSE)</f>
        <v>45416906</v>
      </c>
      <c r="G60" s="48" t="str">
        <f t="shared" si="0"/>
        <v>MEC-04-59</v>
      </c>
      <c r="H60" t="s">
        <v>132</v>
      </c>
      <c r="I60" t="s">
        <v>131</v>
      </c>
      <c r="J60" t="s">
        <v>60</v>
      </c>
      <c r="K60" s="92" t="s">
        <v>35</v>
      </c>
      <c r="L60" s="96" t="s">
        <v>231</v>
      </c>
      <c r="M60" s="99">
        <v>87</v>
      </c>
      <c r="N60" s="92" t="s">
        <v>228</v>
      </c>
      <c r="O60" s="97" t="s">
        <v>208</v>
      </c>
      <c r="W60" s="46">
        <v>43889</v>
      </c>
      <c r="X60" s="46"/>
      <c r="Y60" s="46" t="str">
        <f t="shared" si="1"/>
        <v>viernes</v>
      </c>
      <c r="Z60" s="16"/>
      <c r="AA60" s="24"/>
    </row>
    <row r="61" spans="6:27" x14ac:dyDescent="0.25">
      <c r="F61" s="5">
        <f>VLOOKUP(K61,DNI!$A$1:$B$10000,2,FALSE)</f>
        <v>45074286</v>
      </c>
      <c r="G61" s="48" t="str">
        <f t="shared" si="0"/>
        <v>MAE-02-60</v>
      </c>
      <c r="H61" t="s">
        <v>135</v>
      </c>
      <c r="I61" t="s">
        <v>136</v>
      </c>
      <c r="J61" t="s">
        <v>57</v>
      </c>
      <c r="K61" s="92" t="s">
        <v>37</v>
      </c>
      <c r="L61" s="96" t="s">
        <v>232</v>
      </c>
      <c r="M61" s="99">
        <v>70</v>
      </c>
      <c r="N61" s="92" t="s">
        <v>228</v>
      </c>
      <c r="O61" s="97" t="s">
        <v>209</v>
      </c>
      <c r="W61" s="46">
        <v>43890</v>
      </c>
      <c r="X61" s="46"/>
      <c r="Y61" s="46" t="str">
        <f t="shared" si="1"/>
        <v>sábado</v>
      </c>
      <c r="Z61" s="16"/>
      <c r="AA61" s="24"/>
    </row>
    <row r="62" spans="6:27" x14ac:dyDescent="0.25">
      <c r="F62" s="5">
        <f>VLOOKUP(K62,DNI!$A$1:$B$10000,2,FALSE)</f>
        <v>44044783</v>
      </c>
      <c r="G62" s="48" t="str">
        <f t="shared" si="0"/>
        <v>TEC-04-61</v>
      </c>
      <c r="H62" t="s">
        <v>133</v>
      </c>
      <c r="I62" t="s">
        <v>131</v>
      </c>
      <c r="J62" t="s">
        <v>134</v>
      </c>
      <c r="K62" s="92" t="s">
        <v>36</v>
      </c>
      <c r="L62" s="96" t="s">
        <v>231</v>
      </c>
      <c r="M62" s="99">
        <v>70.92</v>
      </c>
      <c r="N62" s="92" t="s">
        <v>228</v>
      </c>
      <c r="O62" s="97" t="s">
        <v>210</v>
      </c>
      <c r="W62" s="46">
        <v>43891</v>
      </c>
      <c r="X62" s="86">
        <v>1</v>
      </c>
      <c r="Y62" s="46" t="str">
        <f t="shared" si="1"/>
        <v>domingo</v>
      </c>
      <c r="Z62" s="16"/>
      <c r="AA62" s="24"/>
    </row>
    <row r="63" spans="6:27" x14ac:dyDescent="0.25">
      <c r="F63" s="5">
        <f>VLOOKUP(K63,DNI!$A$1:$B$10000,2,FALSE)</f>
        <v>44685832</v>
      </c>
      <c r="G63" s="48" t="str">
        <f t="shared" si="0"/>
        <v>MAEME-03-62</v>
      </c>
      <c r="H63" t="s">
        <v>119</v>
      </c>
      <c r="I63" t="s">
        <v>120</v>
      </c>
      <c r="J63" t="s">
        <v>121</v>
      </c>
      <c r="K63" s="92" t="s">
        <v>16</v>
      </c>
      <c r="L63" s="96" t="s">
        <v>231</v>
      </c>
      <c r="M63" s="99">
        <v>88.47</v>
      </c>
      <c r="N63" s="92" t="s">
        <v>228</v>
      </c>
      <c r="O63" s="97" t="s">
        <v>211</v>
      </c>
      <c r="W63" s="46">
        <v>43892</v>
      </c>
      <c r="X63" s="46"/>
      <c r="Y63" s="46" t="str">
        <f t="shared" si="1"/>
        <v>lunes</v>
      </c>
      <c r="Z63" s="16"/>
      <c r="AA63" s="24"/>
    </row>
    <row r="64" spans="6:27" x14ac:dyDescent="0.25">
      <c r="F64" s="5">
        <f>VLOOKUP(K64,DNI!$A$1:$B$10000,2,FALSE)</f>
        <v>47749907</v>
      </c>
      <c r="G64" s="48" t="str">
        <f t="shared" si="0"/>
        <v>TEC-05-63</v>
      </c>
      <c r="H64" t="s">
        <v>141</v>
      </c>
      <c r="I64" t="s">
        <v>139</v>
      </c>
      <c r="J64" t="s">
        <v>62</v>
      </c>
      <c r="K64" s="92" t="s">
        <v>108</v>
      </c>
      <c r="L64" s="96" t="s">
        <v>231</v>
      </c>
      <c r="M64" s="99">
        <v>80</v>
      </c>
      <c r="N64" s="92" t="s">
        <v>228</v>
      </c>
      <c r="O64" s="97" t="s">
        <v>212</v>
      </c>
      <c r="W64" s="46">
        <v>43893</v>
      </c>
      <c r="X64" s="46"/>
      <c r="Y64" s="46" t="str">
        <f t="shared" si="1"/>
        <v>martes</v>
      </c>
      <c r="Z64" s="16"/>
      <c r="AA64" s="24"/>
    </row>
    <row r="65" spans="6:27" x14ac:dyDescent="0.25">
      <c r="F65" s="5">
        <f>VLOOKUP(K65,DNI!$A$1:$B$10000,2,FALSE)</f>
        <v>16683616</v>
      </c>
      <c r="G65" s="48" t="str">
        <f t="shared" si="0"/>
        <v>AYU-VA-64</v>
      </c>
      <c r="H65" t="s">
        <v>97</v>
      </c>
      <c r="I65" t="s">
        <v>148</v>
      </c>
      <c r="J65" t="s">
        <v>65</v>
      </c>
      <c r="K65" s="92" t="s">
        <v>38</v>
      </c>
      <c r="L65" s="96" t="s">
        <v>232</v>
      </c>
      <c r="M65" s="99">
        <v>50</v>
      </c>
      <c r="N65" s="92" t="s">
        <v>228</v>
      </c>
      <c r="O65" s="97" t="s">
        <v>213</v>
      </c>
      <c r="W65" s="46">
        <v>43894</v>
      </c>
      <c r="X65" s="46"/>
      <c r="Y65" s="46" t="str">
        <f t="shared" si="1"/>
        <v>miércoles</v>
      </c>
      <c r="Z65" s="16"/>
      <c r="AA65" s="24"/>
    </row>
    <row r="66" spans="6:27" x14ac:dyDescent="0.25">
      <c r="F66" s="5">
        <f>VLOOKUP(K66,DNI!$A$1:$B$10000,2,FALSE)</f>
        <v>16778242</v>
      </c>
      <c r="G66" s="48" t="str">
        <f t="shared" si="0"/>
        <v>AYU-VA-65</v>
      </c>
      <c r="H66" t="s">
        <v>97</v>
      </c>
      <c r="I66" t="s">
        <v>148</v>
      </c>
      <c r="J66" t="s">
        <v>65</v>
      </c>
      <c r="K66" s="92" t="s">
        <v>73</v>
      </c>
      <c r="L66" s="96" t="s">
        <v>231</v>
      </c>
      <c r="M66" s="99">
        <v>45</v>
      </c>
      <c r="N66" s="92" t="s">
        <v>229</v>
      </c>
      <c r="O66" s="97" t="s">
        <v>214</v>
      </c>
      <c r="W66" s="46">
        <v>43895</v>
      </c>
      <c r="X66" s="46"/>
      <c r="Y66" s="46" t="str">
        <f t="shared" si="1"/>
        <v>jueves</v>
      </c>
      <c r="Z66" s="16"/>
      <c r="AA66" s="24"/>
    </row>
    <row r="67" spans="6:27" x14ac:dyDescent="0.25">
      <c r="F67" s="5">
        <f>VLOOKUP(K67,DNI!$A$1:$B$10000,2,FALSE)</f>
        <v>47503482</v>
      </c>
      <c r="G67" s="48" t="str">
        <f t="shared" ref="G67:G75" si="2">H67&amp;-O67</f>
        <v>MAE-06-66</v>
      </c>
      <c r="H67" t="s">
        <v>116</v>
      </c>
      <c r="I67" t="s">
        <v>117</v>
      </c>
      <c r="J67" t="s">
        <v>82</v>
      </c>
      <c r="K67" s="92" t="s">
        <v>81</v>
      </c>
      <c r="L67" s="96" t="s">
        <v>231</v>
      </c>
      <c r="M67" s="99">
        <v>76.666666666666671</v>
      </c>
      <c r="N67" s="92" t="s">
        <v>229</v>
      </c>
      <c r="O67" s="97" t="s">
        <v>215</v>
      </c>
      <c r="W67" s="46">
        <v>43896</v>
      </c>
      <c r="X67" s="46"/>
      <c r="Y67" s="46" t="str">
        <f t="shared" ref="Y67:Y130" si="3">TEXT(W67,"ddddd")</f>
        <v>viernes</v>
      </c>
      <c r="Z67" s="16"/>
      <c r="AA67" s="24"/>
    </row>
    <row r="68" spans="6:27" x14ac:dyDescent="0.25">
      <c r="F68" s="5">
        <f>VLOOKUP(K68,DNI!$A$1:$B$10000,2,FALSE)</f>
        <v>75169535</v>
      </c>
      <c r="G68" s="48" t="str">
        <f t="shared" si="2"/>
        <v>MAE-07-67</v>
      </c>
      <c r="H68" t="s">
        <v>127</v>
      </c>
      <c r="I68" t="s">
        <v>128</v>
      </c>
      <c r="J68" t="s">
        <v>84</v>
      </c>
      <c r="K68" s="92" t="s">
        <v>83</v>
      </c>
      <c r="L68" s="96" t="s">
        <v>231</v>
      </c>
      <c r="M68" s="99">
        <v>80</v>
      </c>
      <c r="N68" s="92" t="s">
        <v>229</v>
      </c>
      <c r="O68" s="97" t="s">
        <v>216</v>
      </c>
      <c r="W68" s="46">
        <v>43897</v>
      </c>
      <c r="X68" s="46"/>
      <c r="Y68" s="46" t="str">
        <f t="shared" si="3"/>
        <v>sábado</v>
      </c>
      <c r="Z68" s="16"/>
      <c r="AA68" s="24"/>
    </row>
    <row r="69" spans="6:27" x14ac:dyDescent="0.25">
      <c r="F69" s="5">
        <f>VLOOKUP(K69,DNI!$A$1:$B$10000,2,FALSE)</f>
        <v>46685005</v>
      </c>
      <c r="G69" s="48" t="str">
        <f t="shared" si="2"/>
        <v>AYU-VA-68</v>
      </c>
      <c r="H69" t="s">
        <v>97</v>
      </c>
      <c r="I69" t="s">
        <v>148</v>
      </c>
      <c r="J69" t="s">
        <v>65</v>
      </c>
      <c r="K69" s="92" t="s">
        <v>88</v>
      </c>
      <c r="L69" s="96" t="s">
        <v>232</v>
      </c>
      <c r="M69" s="99">
        <v>55</v>
      </c>
      <c r="N69" s="92" t="s">
        <v>229</v>
      </c>
      <c r="O69" s="97" t="s">
        <v>217</v>
      </c>
      <c r="W69" s="46">
        <v>43898</v>
      </c>
      <c r="X69" s="86">
        <v>1</v>
      </c>
      <c r="Y69" s="46" t="str">
        <f t="shared" si="3"/>
        <v>domingo</v>
      </c>
      <c r="Z69" s="16"/>
      <c r="AA69" s="24"/>
    </row>
    <row r="70" spans="6:27" x14ac:dyDescent="0.25">
      <c r="F70" s="5">
        <f>VLOOKUP(K70,DNI!$A$1:$B$10000,2,FALSE)</f>
        <v>73941535</v>
      </c>
      <c r="G70" s="48" t="str">
        <f t="shared" si="2"/>
        <v>TEC-07-69</v>
      </c>
      <c r="H70" t="s">
        <v>129</v>
      </c>
      <c r="I70" t="s">
        <v>128</v>
      </c>
      <c r="J70" t="s">
        <v>90</v>
      </c>
      <c r="K70" s="92" t="s">
        <v>89</v>
      </c>
      <c r="L70" s="96" t="s">
        <v>232</v>
      </c>
      <c r="M70" s="99">
        <v>65</v>
      </c>
      <c r="N70" s="92" t="s">
        <v>229</v>
      </c>
      <c r="O70" s="97" t="s">
        <v>218</v>
      </c>
      <c r="W70" s="46">
        <v>43899</v>
      </c>
      <c r="X70" s="46"/>
      <c r="Y70" s="46" t="str">
        <f t="shared" si="3"/>
        <v>lunes</v>
      </c>
      <c r="Z70" s="16"/>
      <c r="AA70" s="24"/>
    </row>
    <row r="71" spans="6:27" x14ac:dyDescent="0.25">
      <c r="F71" s="5">
        <f>VLOOKUP(K71,DNI!$A$1:$B$10000,2,FALSE)</f>
        <v>47444665</v>
      </c>
      <c r="G71" s="48" t="str">
        <f t="shared" si="2"/>
        <v>MAE-07-70</v>
      </c>
      <c r="H71" t="s">
        <v>127</v>
      </c>
      <c r="I71" t="s">
        <v>128</v>
      </c>
      <c r="J71" t="s">
        <v>84</v>
      </c>
      <c r="K71" s="92" t="s">
        <v>91</v>
      </c>
      <c r="L71" s="96" t="s">
        <v>231</v>
      </c>
      <c r="M71" s="99">
        <v>70</v>
      </c>
      <c r="N71" s="92" t="s">
        <v>229</v>
      </c>
      <c r="O71" s="97" t="s">
        <v>219</v>
      </c>
      <c r="W71" s="46">
        <v>43900</v>
      </c>
      <c r="X71" s="46"/>
      <c r="Y71" s="46" t="str">
        <f t="shared" si="3"/>
        <v>martes</v>
      </c>
      <c r="Z71" s="16"/>
      <c r="AA71" s="24"/>
    </row>
    <row r="72" spans="6:27" x14ac:dyDescent="0.25">
      <c r="F72" s="5">
        <f>VLOOKUP(K72,DNI!$A$1:$B$10000,2,FALSE)</f>
        <v>106394571</v>
      </c>
      <c r="G72" s="48" t="str">
        <f t="shared" si="2"/>
        <v>OPE-06-71</v>
      </c>
      <c r="H72" t="s">
        <v>118</v>
      </c>
      <c r="I72" t="s">
        <v>117</v>
      </c>
      <c r="J72" t="s">
        <v>94</v>
      </c>
      <c r="K72" s="92" t="s">
        <v>93</v>
      </c>
      <c r="L72" s="96" t="s">
        <v>232</v>
      </c>
      <c r="M72" s="99">
        <v>60</v>
      </c>
      <c r="N72" s="92" t="s">
        <v>229</v>
      </c>
      <c r="O72" s="97" t="s">
        <v>220</v>
      </c>
      <c r="W72" s="46">
        <v>43901</v>
      </c>
      <c r="X72" s="46"/>
      <c r="Y72" s="46" t="str">
        <f t="shared" si="3"/>
        <v>miércoles</v>
      </c>
      <c r="Z72" s="16"/>
      <c r="AA72" s="24"/>
    </row>
    <row r="73" spans="6:27" x14ac:dyDescent="0.25">
      <c r="F73" s="5">
        <f>VLOOKUP(K73,DNI!$A$1:$B$10000,2,FALSE)</f>
        <v>46853568</v>
      </c>
      <c r="G73" s="48" t="str">
        <f t="shared" si="2"/>
        <v>TEC-07-72</v>
      </c>
      <c r="H73" t="s">
        <v>129</v>
      </c>
      <c r="I73" t="s">
        <v>128</v>
      </c>
      <c r="J73" t="s">
        <v>90</v>
      </c>
      <c r="K73" s="92" t="s">
        <v>101</v>
      </c>
      <c r="L73" s="96" t="s">
        <v>231</v>
      </c>
      <c r="M73" s="99">
        <v>60</v>
      </c>
      <c r="N73" s="92" t="s">
        <v>229</v>
      </c>
      <c r="O73" s="97" t="s">
        <v>221</v>
      </c>
      <c r="W73" s="46">
        <v>43902</v>
      </c>
      <c r="X73" s="46"/>
      <c r="Y73" s="46" t="str">
        <f t="shared" si="3"/>
        <v>jueves</v>
      </c>
      <c r="Z73" s="16"/>
      <c r="AA73" s="24"/>
    </row>
    <row r="74" spans="6:27" x14ac:dyDescent="0.25">
      <c r="F74" s="5">
        <f>VLOOKUP(K74,DNI!$A$1:$B$10000,2,FALSE)</f>
        <v>47184596</v>
      </c>
      <c r="G74" s="48" t="str">
        <f t="shared" si="2"/>
        <v>OPE-06-73</v>
      </c>
      <c r="H74" t="s">
        <v>118</v>
      </c>
      <c r="I74" t="s">
        <v>117</v>
      </c>
      <c r="J74" t="s">
        <v>94</v>
      </c>
      <c r="K74" s="92" t="s">
        <v>107</v>
      </c>
      <c r="L74" s="96" t="s">
        <v>232</v>
      </c>
      <c r="M74" s="99">
        <v>60</v>
      </c>
      <c r="N74" s="92" t="s">
        <v>229</v>
      </c>
      <c r="O74" s="97" t="s">
        <v>222</v>
      </c>
      <c r="W74" s="46">
        <v>43903</v>
      </c>
      <c r="X74" s="46"/>
      <c r="Y74" s="46" t="str">
        <f t="shared" si="3"/>
        <v>viernes</v>
      </c>
      <c r="Z74" s="16"/>
      <c r="AA74" s="24"/>
    </row>
    <row r="75" spans="6:27" x14ac:dyDescent="0.25">
      <c r="F75" s="5">
        <f>VLOOKUP(K75,DNI!$A$1:$B$10000,2,FALSE)</f>
        <v>46859101</v>
      </c>
      <c r="G75" s="48" t="str">
        <f t="shared" si="2"/>
        <v>MAE-08-74</v>
      </c>
      <c r="H75" t="s">
        <v>142</v>
      </c>
      <c r="I75" t="s">
        <v>143</v>
      </c>
      <c r="J75" t="s">
        <v>110</v>
      </c>
      <c r="K75" s="92" t="s">
        <v>109</v>
      </c>
      <c r="L75" s="96" t="s">
        <v>231</v>
      </c>
      <c r="M75" s="99">
        <v>70</v>
      </c>
      <c r="N75" s="92" t="s">
        <v>228</v>
      </c>
      <c r="O75" s="97" t="s">
        <v>223</v>
      </c>
      <c r="W75" s="46">
        <v>43904</v>
      </c>
      <c r="X75" s="46"/>
      <c r="Y75" s="46" t="str">
        <f t="shared" si="3"/>
        <v>sábado</v>
      </c>
      <c r="Z75" s="16"/>
      <c r="AA75" s="24"/>
    </row>
    <row r="76" spans="6:27" x14ac:dyDescent="0.25">
      <c r="F76" s="5">
        <f>VLOOKUP(K76,DNI!$A$1:$B$10000,2,FALSE)</f>
        <v>16495851</v>
      </c>
      <c r="H76" s="61" t="s">
        <v>282</v>
      </c>
      <c r="I76" t="s">
        <v>275</v>
      </c>
      <c r="J76" t="s">
        <v>274</v>
      </c>
      <c r="K76" s="92" t="s">
        <v>269</v>
      </c>
      <c r="L76" s="96" t="s">
        <v>231</v>
      </c>
      <c r="M76" s="99">
        <v>50</v>
      </c>
      <c r="N76" s="92" t="s">
        <v>227</v>
      </c>
      <c r="O76" s="97" t="s">
        <v>264</v>
      </c>
      <c r="W76" s="46">
        <v>43905</v>
      </c>
      <c r="X76" s="86">
        <v>1</v>
      </c>
      <c r="Y76" s="46" t="str">
        <f t="shared" si="3"/>
        <v>domingo</v>
      </c>
      <c r="Z76" s="16"/>
      <c r="AA76" s="24"/>
    </row>
    <row r="77" spans="6:27" x14ac:dyDescent="0.25">
      <c r="F77" s="5">
        <f>VLOOKUP(K77,DNI!$A$1:$B$10000,2,FALSE)</f>
        <v>16716665</v>
      </c>
      <c r="H77" s="61" t="s">
        <v>283</v>
      </c>
      <c r="I77" t="s">
        <v>276</v>
      </c>
      <c r="J77" t="s">
        <v>280</v>
      </c>
      <c r="K77" s="92" t="s">
        <v>270</v>
      </c>
      <c r="L77" s="96" t="s">
        <v>231</v>
      </c>
      <c r="M77" s="99">
        <f>3500/26</f>
        <v>134.61538461538461</v>
      </c>
      <c r="N77" s="92" t="s">
        <v>227</v>
      </c>
      <c r="O77" s="97" t="s">
        <v>265</v>
      </c>
      <c r="W77" s="46">
        <v>43906</v>
      </c>
      <c r="X77" s="46"/>
      <c r="Y77" s="46" t="str">
        <f t="shared" si="3"/>
        <v>lunes</v>
      </c>
      <c r="Z77" s="16"/>
      <c r="AA77" s="24"/>
    </row>
    <row r="78" spans="6:27" x14ac:dyDescent="0.25">
      <c r="F78" s="5">
        <f>VLOOKUP(K78,DNI!$A$1:$B$10000,2,FALSE)</f>
        <v>47373880</v>
      </c>
      <c r="H78" s="61" t="s">
        <v>284</v>
      </c>
      <c r="I78" t="s">
        <v>276</v>
      </c>
      <c r="J78" t="s">
        <v>279</v>
      </c>
      <c r="K78" s="92" t="s">
        <v>271</v>
      </c>
      <c r="L78" s="96" t="s">
        <v>231</v>
      </c>
      <c r="M78" s="95">
        <f>2000/30</f>
        <v>66.666666666666671</v>
      </c>
      <c r="N78" s="92" t="s">
        <v>227</v>
      </c>
      <c r="O78" s="97" t="s">
        <v>266</v>
      </c>
      <c r="W78" s="46">
        <v>43907</v>
      </c>
      <c r="X78" s="46"/>
      <c r="Y78" s="46" t="str">
        <f t="shared" si="3"/>
        <v>martes</v>
      </c>
      <c r="Z78" s="16"/>
      <c r="AA78" s="24"/>
    </row>
    <row r="79" spans="6:27" x14ac:dyDescent="0.25">
      <c r="F79" s="5">
        <f>VLOOKUP(K79,DNI!$A$1:$B$10000,2,FALSE)</f>
        <v>41126636</v>
      </c>
      <c r="H79" s="61" t="s">
        <v>285</v>
      </c>
      <c r="I79" t="s">
        <v>278</v>
      </c>
      <c r="J79" t="s">
        <v>277</v>
      </c>
      <c r="K79" s="92" t="s">
        <v>272</v>
      </c>
      <c r="L79" s="96" t="s">
        <v>232</v>
      </c>
      <c r="M79" s="96">
        <v>35.770000000000003</v>
      </c>
      <c r="N79" s="92" t="s">
        <v>227</v>
      </c>
      <c r="O79" s="97" t="s">
        <v>267</v>
      </c>
      <c r="W79" s="46">
        <v>43908</v>
      </c>
      <c r="X79" s="46"/>
      <c r="Y79" s="46" t="str">
        <f t="shared" si="3"/>
        <v>miércoles</v>
      </c>
      <c r="Z79" s="16"/>
      <c r="AA79" s="24"/>
    </row>
    <row r="80" spans="6:27" x14ac:dyDescent="0.25">
      <c r="F80" s="5">
        <f>VLOOKUP(K80,DNI!$A$1:$B$10000,2,FALSE)</f>
        <v>42742746</v>
      </c>
      <c r="H80" s="61" t="s">
        <v>286</v>
      </c>
      <c r="I80" t="s">
        <v>278</v>
      </c>
      <c r="J80" t="s">
        <v>277</v>
      </c>
      <c r="K80" s="92" t="s">
        <v>273</v>
      </c>
      <c r="L80" s="96" t="s">
        <v>232</v>
      </c>
      <c r="M80" s="95">
        <v>38.700000000000003</v>
      </c>
      <c r="N80" s="92" t="s">
        <v>227</v>
      </c>
      <c r="O80" s="97" t="s">
        <v>268</v>
      </c>
      <c r="W80" s="46">
        <v>43909</v>
      </c>
      <c r="X80" s="46"/>
      <c r="Y80" s="46" t="str">
        <f t="shared" si="3"/>
        <v>jueves</v>
      </c>
      <c r="Z80" s="16"/>
      <c r="AA80" s="24"/>
    </row>
    <row r="81" spans="6:27" x14ac:dyDescent="0.25">
      <c r="F81" s="5">
        <f>VLOOKUP(K81,DNI!$A$1:$B$10000,2,FALSE)</f>
        <v>45327555</v>
      </c>
      <c r="H81" s="61" t="s">
        <v>291</v>
      </c>
      <c r="I81" t="s">
        <v>276</v>
      </c>
      <c r="J81" t="s">
        <v>290</v>
      </c>
      <c r="K81" s="92" t="s">
        <v>289</v>
      </c>
      <c r="L81" s="96" t="s">
        <v>231</v>
      </c>
      <c r="M81" s="95">
        <v>62.31</v>
      </c>
      <c r="N81" s="92" t="s">
        <v>228</v>
      </c>
      <c r="O81" s="97" t="s">
        <v>292</v>
      </c>
      <c r="W81" s="46">
        <v>43910</v>
      </c>
      <c r="X81" s="46"/>
      <c r="Y81" s="46" t="str">
        <f t="shared" si="3"/>
        <v>viernes</v>
      </c>
      <c r="Z81" s="16"/>
      <c r="AA81" s="24"/>
    </row>
    <row r="82" spans="6:27" x14ac:dyDescent="0.25">
      <c r="F82" s="5">
        <f>VLOOKUP(K82,DNI!$A$1:$B$10000,2,FALSE)</f>
        <v>44792584</v>
      </c>
      <c r="G82" s="48" t="str">
        <f t="shared" ref="G82:G88" si="4">H82&amp;-O82</f>
        <v>OPE-01-81</v>
      </c>
      <c r="H82" s="61" t="s">
        <v>75</v>
      </c>
      <c r="I82" t="s">
        <v>145</v>
      </c>
      <c r="J82" t="s">
        <v>64</v>
      </c>
      <c r="K82" s="92" t="s">
        <v>293</v>
      </c>
      <c r="L82" s="96" t="s">
        <v>232</v>
      </c>
      <c r="M82" s="96">
        <v>60</v>
      </c>
      <c r="N82" s="92" t="s">
        <v>228</v>
      </c>
      <c r="O82" s="97" t="s">
        <v>294</v>
      </c>
      <c r="W82" s="46">
        <v>43911</v>
      </c>
      <c r="X82" s="46"/>
      <c r="Y82" s="46" t="str">
        <f t="shared" si="3"/>
        <v>sábado</v>
      </c>
      <c r="Z82" s="16"/>
      <c r="AA82" s="24"/>
    </row>
    <row r="83" spans="6:27" x14ac:dyDescent="0.25">
      <c r="F83" s="5">
        <f>VLOOKUP(K83,DNI!$A$1:$B$10000,2,FALSE)</f>
        <v>47951049</v>
      </c>
      <c r="G83" s="48" t="str">
        <f t="shared" si="4"/>
        <v>AYU-VA-82</v>
      </c>
      <c r="H83" s="61" t="s">
        <v>97</v>
      </c>
      <c r="I83" t="s">
        <v>148</v>
      </c>
      <c r="J83" t="s">
        <v>65</v>
      </c>
      <c r="K83" s="92" t="s">
        <v>298</v>
      </c>
      <c r="L83" s="96" t="s">
        <v>232</v>
      </c>
      <c r="M83" s="96">
        <v>50</v>
      </c>
      <c r="N83" s="92" t="s">
        <v>228</v>
      </c>
      <c r="O83" s="97" t="s">
        <v>295</v>
      </c>
      <c r="W83" s="46">
        <v>43912</v>
      </c>
      <c r="X83" s="86">
        <v>1</v>
      </c>
      <c r="Y83" s="46" t="str">
        <f t="shared" si="3"/>
        <v>domingo</v>
      </c>
      <c r="Z83" s="16"/>
      <c r="AA83" s="24"/>
    </row>
    <row r="84" spans="6:27" x14ac:dyDescent="0.25">
      <c r="F84" s="5">
        <f>VLOOKUP(K84,DNI!$A$1:$B$10000,2,FALSE)</f>
        <v>46933574</v>
      </c>
      <c r="G84" s="48" t="str">
        <f t="shared" si="4"/>
        <v>TEC-01-83</v>
      </c>
      <c r="H84" s="61" t="s">
        <v>85</v>
      </c>
      <c r="I84" t="s">
        <v>145</v>
      </c>
      <c r="J84" t="s">
        <v>86</v>
      </c>
      <c r="K84" s="92" t="s">
        <v>299</v>
      </c>
      <c r="L84" s="96" t="s">
        <v>231</v>
      </c>
      <c r="M84" s="96">
        <v>65</v>
      </c>
      <c r="N84" s="92" t="s">
        <v>228</v>
      </c>
      <c r="O84" s="97" t="s">
        <v>296</v>
      </c>
      <c r="W84" s="46">
        <v>43913</v>
      </c>
      <c r="X84" s="46"/>
      <c r="Y84" s="46" t="str">
        <f t="shared" si="3"/>
        <v>lunes</v>
      </c>
      <c r="Z84" s="16"/>
      <c r="AA84" s="24"/>
    </row>
    <row r="85" spans="6:27" x14ac:dyDescent="0.25">
      <c r="F85" s="5">
        <f>VLOOKUP(K85,DNI!$A$1:$B$10000,2,FALSE)</f>
        <v>47265187</v>
      </c>
      <c r="G85" s="48" t="str">
        <f t="shared" si="4"/>
        <v>AYU-VA-84</v>
      </c>
      <c r="H85" s="64" t="s">
        <v>97</v>
      </c>
      <c r="I85" t="s">
        <v>148</v>
      </c>
      <c r="J85" t="s">
        <v>65</v>
      </c>
      <c r="K85" s="92" t="s">
        <v>301</v>
      </c>
      <c r="L85" s="96" t="s">
        <v>232</v>
      </c>
      <c r="M85" s="96">
        <v>55</v>
      </c>
      <c r="N85" s="92" t="s">
        <v>228</v>
      </c>
      <c r="O85" s="97" t="s">
        <v>297</v>
      </c>
      <c r="W85" s="46">
        <v>43914</v>
      </c>
      <c r="X85" s="46"/>
      <c r="Y85" s="46" t="str">
        <f t="shared" si="3"/>
        <v>martes</v>
      </c>
      <c r="Z85" s="16"/>
      <c r="AA85" s="24"/>
    </row>
    <row r="86" spans="6:27" x14ac:dyDescent="0.25">
      <c r="F86" s="5">
        <v>71479954</v>
      </c>
      <c r="G86" s="48" t="str">
        <f t="shared" si="4"/>
        <v>OPE-03-85</v>
      </c>
      <c r="H86" t="s">
        <v>122</v>
      </c>
      <c r="I86" t="s">
        <v>120</v>
      </c>
      <c r="J86" t="s">
        <v>63</v>
      </c>
      <c r="K86" s="92" t="s">
        <v>346</v>
      </c>
      <c r="L86" s="96" t="s">
        <v>231</v>
      </c>
      <c r="M86" s="96">
        <v>29.55</v>
      </c>
      <c r="N86" s="92" t="s">
        <v>228</v>
      </c>
      <c r="O86" s="97" t="s">
        <v>347</v>
      </c>
      <c r="W86" s="46">
        <v>43915</v>
      </c>
      <c r="X86" s="86"/>
      <c r="Y86" s="46" t="str">
        <f t="shared" si="3"/>
        <v>miércoles</v>
      </c>
      <c r="Z86" s="16"/>
      <c r="AA86" s="24"/>
    </row>
    <row r="87" spans="6:27" x14ac:dyDescent="0.25">
      <c r="F87" s="5">
        <v>76281226</v>
      </c>
      <c r="G87" s="48" t="str">
        <f t="shared" si="4"/>
        <v>OPE-03-86</v>
      </c>
      <c r="H87" t="s">
        <v>122</v>
      </c>
      <c r="I87" t="s">
        <v>120</v>
      </c>
      <c r="J87" t="s">
        <v>63</v>
      </c>
      <c r="K87" s="92" t="s">
        <v>348</v>
      </c>
      <c r="L87" s="96" t="s">
        <v>231</v>
      </c>
      <c r="M87" s="96">
        <v>46.15</v>
      </c>
      <c r="N87" s="92" t="s">
        <v>228</v>
      </c>
      <c r="O87" s="97" t="s">
        <v>350</v>
      </c>
      <c r="W87" s="46">
        <v>43916</v>
      </c>
      <c r="X87" s="46"/>
      <c r="Y87" s="46" t="str">
        <f t="shared" si="3"/>
        <v>jueves</v>
      </c>
      <c r="Z87" s="16"/>
      <c r="AA87" s="24"/>
    </row>
    <row r="88" spans="6:27" x14ac:dyDescent="0.25">
      <c r="F88" s="5">
        <v>46801821</v>
      </c>
      <c r="G88" s="48" t="str">
        <f t="shared" si="4"/>
        <v>OPE-03-87</v>
      </c>
      <c r="H88" t="s">
        <v>122</v>
      </c>
      <c r="I88" t="s">
        <v>120</v>
      </c>
      <c r="J88" t="s">
        <v>63</v>
      </c>
      <c r="K88" s="92" t="s">
        <v>349</v>
      </c>
      <c r="L88" s="96" t="s">
        <v>231</v>
      </c>
      <c r="M88" s="96">
        <v>43.5</v>
      </c>
      <c r="N88" s="92" t="s">
        <v>228</v>
      </c>
      <c r="O88" s="97" t="s">
        <v>351</v>
      </c>
      <c r="W88" s="46">
        <v>43917</v>
      </c>
      <c r="X88" s="46"/>
      <c r="Y88" s="46" t="str">
        <f t="shared" si="3"/>
        <v>viernes</v>
      </c>
      <c r="Z88" s="16"/>
      <c r="AA88" s="24"/>
    </row>
    <row r="89" spans="6:27" x14ac:dyDescent="0.25">
      <c r="F89" s="5">
        <v>42445595</v>
      </c>
      <c r="J89" t="s">
        <v>354</v>
      </c>
      <c r="K89" s="92" t="s">
        <v>355</v>
      </c>
      <c r="L89" s="96" t="s">
        <v>232</v>
      </c>
      <c r="M89" s="96">
        <v>50</v>
      </c>
      <c r="N89" s="92" t="s">
        <v>228</v>
      </c>
      <c r="O89" s="96">
        <v>88</v>
      </c>
      <c r="W89" s="46">
        <v>43918</v>
      </c>
      <c r="X89" s="46"/>
      <c r="Y89" s="46" t="str">
        <f t="shared" si="3"/>
        <v>sábado</v>
      </c>
      <c r="Z89" s="16"/>
      <c r="AA89" s="24"/>
    </row>
    <row r="90" spans="6:27" x14ac:dyDescent="0.25">
      <c r="F90" s="5">
        <v>73241681</v>
      </c>
      <c r="G90" s="48" t="str">
        <f>H90&amp;-O90</f>
        <v>TEC-01-89</v>
      </c>
      <c r="H90" s="64" t="s">
        <v>85</v>
      </c>
      <c r="I90" t="s">
        <v>145</v>
      </c>
      <c r="J90" t="s">
        <v>86</v>
      </c>
      <c r="K90" s="92" t="s">
        <v>358</v>
      </c>
      <c r="L90" s="96" t="s">
        <v>232</v>
      </c>
      <c r="M90" s="96">
        <v>60</v>
      </c>
      <c r="N90" s="92" t="s">
        <v>228</v>
      </c>
      <c r="O90" s="96">
        <v>89</v>
      </c>
      <c r="W90" s="46">
        <v>43919</v>
      </c>
      <c r="X90" s="86">
        <v>1</v>
      </c>
      <c r="Y90" s="46" t="str">
        <f t="shared" si="3"/>
        <v>domingo</v>
      </c>
      <c r="Z90" s="16"/>
      <c r="AA90" s="24"/>
    </row>
    <row r="91" spans="6:27" x14ac:dyDescent="0.25">
      <c r="F91" s="5">
        <v>76802885</v>
      </c>
      <c r="G91" s="48" t="str">
        <f>H91&amp;-O91</f>
        <v>TEC-01-90</v>
      </c>
      <c r="H91" s="64" t="s">
        <v>85</v>
      </c>
      <c r="I91" t="s">
        <v>145</v>
      </c>
      <c r="J91" t="s">
        <v>86</v>
      </c>
      <c r="K91" s="92" t="s">
        <v>359</v>
      </c>
      <c r="L91" s="96" t="s">
        <v>232</v>
      </c>
      <c r="M91" s="96">
        <v>60</v>
      </c>
      <c r="N91" s="92" t="s">
        <v>228</v>
      </c>
      <c r="O91" s="96">
        <v>90</v>
      </c>
      <c r="W91" s="46">
        <v>43920</v>
      </c>
      <c r="X91" s="46"/>
      <c r="Y91" s="46" t="str">
        <f t="shared" si="3"/>
        <v>lunes</v>
      </c>
      <c r="Z91" s="16"/>
      <c r="AA91" s="24"/>
    </row>
    <row r="92" spans="6:27" x14ac:dyDescent="0.25">
      <c r="F92" s="5">
        <v>45728597</v>
      </c>
      <c r="G92" s="48" t="str">
        <f t="shared" ref="G92:G102" si="5">H92&amp;-O92</f>
        <v>TEC-01-91</v>
      </c>
      <c r="H92" s="64" t="s">
        <v>85</v>
      </c>
      <c r="I92" t="s">
        <v>145</v>
      </c>
      <c r="J92" t="s">
        <v>86</v>
      </c>
      <c r="K92" s="92" t="s">
        <v>360</v>
      </c>
      <c r="L92" s="96" t="s">
        <v>232</v>
      </c>
      <c r="M92" s="96">
        <v>75</v>
      </c>
      <c r="N92" s="92" t="s">
        <v>228</v>
      </c>
      <c r="O92" s="96">
        <v>91</v>
      </c>
      <c r="W92" s="46">
        <v>43921</v>
      </c>
      <c r="X92" s="46"/>
      <c r="Y92" s="46" t="str">
        <f t="shared" si="3"/>
        <v>martes</v>
      </c>
      <c r="Z92" s="16"/>
      <c r="AA92" s="24"/>
    </row>
    <row r="93" spans="6:27" x14ac:dyDescent="0.25">
      <c r="G93" s="48" t="str">
        <f t="shared" si="5"/>
        <v>AYU-VA-92</v>
      </c>
      <c r="H93" s="64" t="s">
        <v>97</v>
      </c>
      <c r="I93" t="s">
        <v>148</v>
      </c>
      <c r="J93" t="s">
        <v>65</v>
      </c>
      <c r="K93" s="92" t="s">
        <v>361</v>
      </c>
      <c r="L93" s="96" t="s">
        <v>232</v>
      </c>
      <c r="M93" s="96">
        <v>50</v>
      </c>
      <c r="N93" s="92" t="s">
        <v>228</v>
      </c>
      <c r="O93" s="96">
        <v>92</v>
      </c>
      <c r="W93" s="46">
        <v>43922</v>
      </c>
      <c r="X93" s="86"/>
      <c r="Y93" s="46" t="str">
        <f t="shared" si="3"/>
        <v>miércoles</v>
      </c>
      <c r="Z93" s="16"/>
      <c r="AA93" s="24"/>
    </row>
    <row r="94" spans="6:27" x14ac:dyDescent="0.25">
      <c r="F94" s="5">
        <v>75494335</v>
      </c>
      <c r="G94" s="48" t="str">
        <f t="shared" si="5"/>
        <v>TEC-01-93</v>
      </c>
      <c r="H94" s="64" t="s">
        <v>85</v>
      </c>
      <c r="I94" t="s">
        <v>145</v>
      </c>
      <c r="J94" t="s">
        <v>86</v>
      </c>
      <c r="K94" s="92" t="s">
        <v>362</v>
      </c>
      <c r="L94" s="96" t="s">
        <v>232</v>
      </c>
      <c r="M94" s="96">
        <v>90</v>
      </c>
      <c r="N94" s="92" t="s">
        <v>228</v>
      </c>
      <c r="O94" s="96">
        <v>93</v>
      </c>
      <c r="W94" s="46">
        <v>43923</v>
      </c>
      <c r="X94" s="46"/>
      <c r="Y94" s="46" t="str">
        <f t="shared" si="3"/>
        <v>jueves</v>
      </c>
      <c r="Z94" s="16"/>
      <c r="AA94" s="24"/>
    </row>
    <row r="95" spans="6:27" x14ac:dyDescent="0.25">
      <c r="F95" s="5">
        <v>76288149</v>
      </c>
      <c r="G95" s="48" t="str">
        <f t="shared" si="5"/>
        <v>AYU-VA-94</v>
      </c>
      <c r="H95" s="64" t="s">
        <v>97</v>
      </c>
      <c r="I95" t="s">
        <v>148</v>
      </c>
      <c r="J95" t="s">
        <v>65</v>
      </c>
      <c r="K95" s="92" t="s">
        <v>383</v>
      </c>
      <c r="L95" s="96" t="s">
        <v>231</v>
      </c>
      <c r="M95" s="96">
        <v>44.32</v>
      </c>
      <c r="N95" s="92" t="s">
        <v>228</v>
      </c>
      <c r="O95" s="96">
        <v>94</v>
      </c>
      <c r="W95" s="46">
        <v>43924</v>
      </c>
      <c r="X95" s="46"/>
      <c r="Y95" s="46" t="str">
        <f t="shared" si="3"/>
        <v>viernes</v>
      </c>
      <c r="Z95" s="16"/>
      <c r="AA95" s="24"/>
    </row>
    <row r="96" spans="6:27" x14ac:dyDescent="0.25">
      <c r="F96" s="5">
        <v>77234132</v>
      </c>
      <c r="G96" s="48" t="str">
        <f t="shared" si="5"/>
        <v>AYU-VA-95</v>
      </c>
      <c r="H96" s="64" t="s">
        <v>97</v>
      </c>
      <c r="I96" t="s">
        <v>148</v>
      </c>
      <c r="J96" t="s">
        <v>65</v>
      </c>
      <c r="K96" s="92" t="s">
        <v>364</v>
      </c>
      <c r="L96" s="96" t="s">
        <v>232</v>
      </c>
      <c r="M96" s="96">
        <v>50</v>
      </c>
      <c r="N96" s="92" t="s">
        <v>228</v>
      </c>
      <c r="O96" s="96">
        <v>95</v>
      </c>
      <c r="W96" s="46">
        <v>43925</v>
      </c>
      <c r="X96" s="46"/>
      <c r="Y96" s="46" t="str">
        <f t="shared" si="3"/>
        <v>sábado</v>
      </c>
      <c r="Z96" s="16"/>
      <c r="AA96" s="24"/>
    </row>
    <row r="97" spans="6:27" x14ac:dyDescent="0.25">
      <c r="F97" s="5">
        <v>72927801</v>
      </c>
      <c r="G97" s="48" t="str">
        <f>H97&amp;-O97</f>
        <v>TEC-01-96</v>
      </c>
      <c r="H97" s="64" t="s">
        <v>85</v>
      </c>
      <c r="I97" t="s">
        <v>145</v>
      </c>
      <c r="J97" t="s">
        <v>86</v>
      </c>
      <c r="K97" s="92" t="s">
        <v>388</v>
      </c>
      <c r="L97" s="96" t="s">
        <v>231</v>
      </c>
      <c r="M97" s="96">
        <v>60</v>
      </c>
      <c r="N97" s="92" t="s">
        <v>228</v>
      </c>
      <c r="O97" s="96">
        <v>96</v>
      </c>
      <c r="W97" s="46">
        <v>43926</v>
      </c>
      <c r="X97" s="86">
        <v>1</v>
      </c>
      <c r="Y97" s="46" t="str">
        <f t="shared" si="3"/>
        <v>domingo</v>
      </c>
      <c r="Z97" s="16" t="s">
        <v>256</v>
      </c>
      <c r="AA97" s="24">
        <v>1</v>
      </c>
    </row>
    <row r="98" spans="6:27" x14ac:dyDescent="0.25">
      <c r="F98" s="5">
        <v>71022077</v>
      </c>
      <c r="G98" s="48" t="str">
        <f t="shared" si="5"/>
        <v>TEC-01-97</v>
      </c>
      <c r="H98" s="64" t="s">
        <v>85</v>
      </c>
      <c r="I98" t="s">
        <v>145</v>
      </c>
      <c r="J98" t="s">
        <v>86</v>
      </c>
      <c r="K98" s="92" t="s">
        <v>365</v>
      </c>
      <c r="L98" s="96" t="s">
        <v>232</v>
      </c>
      <c r="M98" s="96">
        <v>65</v>
      </c>
      <c r="N98" s="92" t="s">
        <v>228</v>
      </c>
      <c r="O98" s="96">
        <v>97</v>
      </c>
      <c r="W98" s="46">
        <v>43927</v>
      </c>
      <c r="X98" s="46"/>
      <c r="Y98" s="46" t="str">
        <f t="shared" si="3"/>
        <v>lunes</v>
      </c>
      <c r="Z98" s="16" t="s">
        <v>257</v>
      </c>
      <c r="AA98" s="24">
        <v>1</v>
      </c>
    </row>
    <row r="99" spans="6:27" x14ac:dyDescent="0.25">
      <c r="F99" s="5">
        <v>46817362</v>
      </c>
      <c r="G99" s="48" t="str">
        <f t="shared" si="5"/>
        <v>AYU-VA-98</v>
      </c>
      <c r="H99" s="64" t="s">
        <v>97</v>
      </c>
      <c r="I99" t="s">
        <v>148</v>
      </c>
      <c r="J99" t="s">
        <v>65</v>
      </c>
      <c r="K99" s="92" t="s">
        <v>366</v>
      </c>
      <c r="L99" s="96" t="s">
        <v>232</v>
      </c>
      <c r="M99" s="96">
        <v>55</v>
      </c>
      <c r="N99" s="92" t="s">
        <v>228</v>
      </c>
      <c r="O99" s="96">
        <v>98</v>
      </c>
      <c r="W99" s="46">
        <v>43928</v>
      </c>
      <c r="X99" s="46"/>
      <c r="Y99" s="46" t="str">
        <f t="shared" si="3"/>
        <v>martes</v>
      </c>
      <c r="Z99" s="16"/>
      <c r="AA99" s="24"/>
    </row>
    <row r="100" spans="6:27" x14ac:dyDescent="0.25">
      <c r="F100" s="5">
        <v>41740010</v>
      </c>
      <c r="G100" s="48" t="str">
        <f t="shared" si="5"/>
        <v>-99</v>
      </c>
      <c r="K100" s="92" t="s">
        <v>367</v>
      </c>
      <c r="L100" s="96" t="s">
        <v>232</v>
      </c>
      <c r="M100" s="96">
        <v>60</v>
      </c>
      <c r="N100" s="92" t="s">
        <v>228</v>
      </c>
      <c r="O100" s="96">
        <v>99</v>
      </c>
      <c r="W100" s="46">
        <v>43929</v>
      </c>
      <c r="X100" s="86"/>
      <c r="Y100" s="46" t="str">
        <f t="shared" si="3"/>
        <v>miércoles</v>
      </c>
      <c r="Z100" s="16"/>
      <c r="AA100" s="24"/>
    </row>
    <row r="101" spans="6:27" x14ac:dyDescent="0.25">
      <c r="F101" s="5">
        <v>16743289</v>
      </c>
      <c r="G101" s="48" t="str">
        <f t="shared" si="5"/>
        <v>-100</v>
      </c>
      <c r="K101" s="92" t="s">
        <v>368</v>
      </c>
      <c r="L101" s="96" t="s">
        <v>232</v>
      </c>
      <c r="M101" s="96">
        <v>100</v>
      </c>
      <c r="N101" s="92" t="s">
        <v>228</v>
      </c>
      <c r="O101" s="96">
        <v>100</v>
      </c>
      <c r="W101" s="46">
        <v>43930</v>
      </c>
      <c r="X101" s="46"/>
      <c r="Y101" s="46" t="str">
        <f t="shared" si="3"/>
        <v>jueves</v>
      </c>
      <c r="Z101" s="16"/>
      <c r="AA101" s="24"/>
    </row>
    <row r="102" spans="6:27" x14ac:dyDescent="0.25">
      <c r="F102" s="5">
        <v>2331950</v>
      </c>
      <c r="G102" s="48" t="str">
        <f t="shared" si="5"/>
        <v>AYU-VA-101</v>
      </c>
      <c r="H102" s="64" t="s">
        <v>97</v>
      </c>
      <c r="I102" t="s">
        <v>148</v>
      </c>
      <c r="J102" t="s">
        <v>65</v>
      </c>
      <c r="K102" s="92" t="s">
        <v>369</v>
      </c>
      <c r="L102" s="96" t="s">
        <v>232</v>
      </c>
      <c r="M102" s="96">
        <v>50</v>
      </c>
      <c r="N102" s="92" t="s">
        <v>228</v>
      </c>
      <c r="O102" s="96">
        <v>101</v>
      </c>
      <c r="W102" s="46">
        <v>43931</v>
      </c>
      <c r="X102" s="46"/>
      <c r="Y102" s="46" t="str">
        <f t="shared" si="3"/>
        <v>viernes</v>
      </c>
      <c r="Z102" s="16"/>
      <c r="AA102" s="24"/>
    </row>
    <row r="103" spans="6:27" x14ac:dyDescent="0.25">
      <c r="F103" s="5">
        <v>77497149</v>
      </c>
      <c r="G103" s="48" t="str">
        <f t="shared" ref="G103:G108" si="6">H103&amp;-O103</f>
        <v>AYU-VA-102</v>
      </c>
      <c r="H103" s="64" t="s">
        <v>97</v>
      </c>
      <c r="I103" t="s">
        <v>148</v>
      </c>
      <c r="J103" t="s">
        <v>65</v>
      </c>
      <c r="K103" s="92" t="s">
        <v>370</v>
      </c>
      <c r="L103" s="96" t="s">
        <v>232</v>
      </c>
      <c r="M103" s="96">
        <v>45</v>
      </c>
      <c r="N103" s="92" t="s">
        <v>228</v>
      </c>
      <c r="O103" s="96">
        <v>102</v>
      </c>
      <c r="W103" s="46">
        <v>43932</v>
      </c>
      <c r="X103" s="46"/>
      <c r="Y103" s="46" t="str">
        <f t="shared" si="3"/>
        <v>sábado</v>
      </c>
      <c r="Z103" s="16"/>
      <c r="AA103" s="24"/>
    </row>
    <row r="104" spans="6:27" x14ac:dyDescent="0.25">
      <c r="F104" s="5">
        <v>42435768</v>
      </c>
      <c r="G104" s="48" t="str">
        <f t="shared" si="6"/>
        <v>TEC-05-103</v>
      </c>
      <c r="H104" t="s">
        <v>141</v>
      </c>
      <c r="I104" t="s">
        <v>139</v>
      </c>
      <c r="J104" t="s">
        <v>62</v>
      </c>
      <c r="K104" s="92" t="s">
        <v>371</v>
      </c>
      <c r="L104" s="96" t="s">
        <v>232</v>
      </c>
      <c r="M104" s="96">
        <v>100</v>
      </c>
      <c r="N104" s="92" t="s">
        <v>228</v>
      </c>
      <c r="O104" s="96">
        <v>103</v>
      </c>
      <c r="W104" s="46">
        <v>43933</v>
      </c>
      <c r="X104" s="86">
        <v>1</v>
      </c>
      <c r="Y104" s="46" t="str">
        <f t="shared" si="3"/>
        <v>domingo</v>
      </c>
      <c r="Z104" s="16"/>
      <c r="AA104" s="24"/>
    </row>
    <row r="105" spans="6:27" x14ac:dyDescent="0.25">
      <c r="F105" s="2">
        <v>3548110</v>
      </c>
      <c r="G105" s="48" t="str">
        <f t="shared" si="6"/>
        <v>AYU-VA-104</v>
      </c>
      <c r="H105" s="64" t="s">
        <v>97</v>
      </c>
      <c r="I105" t="s">
        <v>148</v>
      </c>
      <c r="K105" s="92"/>
      <c r="L105" s="92"/>
      <c r="M105" s="92"/>
      <c r="N105" s="92"/>
      <c r="O105" s="96">
        <v>104</v>
      </c>
      <c r="W105" s="46">
        <v>43934</v>
      </c>
      <c r="X105" s="46"/>
      <c r="Y105" s="46" t="str">
        <f t="shared" si="3"/>
        <v>lunes</v>
      </c>
      <c r="Z105" s="16"/>
      <c r="AA105" s="24"/>
    </row>
    <row r="106" spans="6:27" x14ac:dyDescent="0.25">
      <c r="F106" s="5">
        <v>72684512</v>
      </c>
      <c r="G106" s="48" t="str">
        <f t="shared" si="6"/>
        <v>AYU-VA-105</v>
      </c>
      <c r="H106" s="64" t="s">
        <v>97</v>
      </c>
      <c r="I106" t="s">
        <v>148</v>
      </c>
      <c r="J106" t="s">
        <v>65</v>
      </c>
      <c r="K106" s="92" t="s">
        <v>374</v>
      </c>
      <c r="L106" s="96" t="s">
        <v>232</v>
      </c>
      <c r="M106" s="96">
        <v>50</v>
      </c>
      <c r="N106" s="92" t="s">
        <v>228</v>
      </c>
      <c r="O106" s="96">
        <v>105</v>
      </c>
      <c r="W106" s="46">
        <v>43935</v>
      </c>
      <c r="X106" s="46"/>
      <c r="Y106" s="46" t="str">
        <f t="shared" si="3"/>
        <v>martes</v>
      </c>
      <c r="Z106" s="16"/>
      <c r="AA106" s="24"/>
    </row>
    <row r="107" spans="6:27" x14ac:dyDescent="0.25">
      <c r="F107" s="5">
        <v>44676684</v>
      </c>
      <c r="G107" s="48" t="str">
        <f t="shared" si="6"/>
        <v>TEC-02-106</v>
      </c>
      <c r="H107" t="s">
        <v>137</v>
      </c>
      <c r="I107" t="s">
        <v>136</v>
      </c>
      <c r="J107" t="s">
        <v>62</v>
      </c>
      <c r="K107" s="92" t="s">
        <v>375</v>
      </c>
      <c r="L107" s="96" t="s">
        <v>231</v>
      </c>
      <c r="M107" s="96">
        <v>70</v>
      </c>
      <c r="N107" s="92" t="s">
        <v>228</v>
      </c>
      <c r="O107" s="96">
        <v>106</v>
      </c>
      <c r="W107" s="46">
        <v>43936</v>
      </c>
      <c r="X107" s="86"/>
      <c r="Y107" s="46" t="str">
        <f t="shared" si="3"/>
        <v>miércoles</v>
      </c>
      <c r="Z107" s="16"/>
      <c r="AA107" s="24"/>
    </row>
    <row r="108" spans="6:27" x14ac:dyDescent="0.25">
      <c r="F108" s="5">
        <v>43705902</v>
      </c>
      <c r="G108" s="48" t="str">
        <f t="shared" si="6"/>
        <v>TEC-01-107</v>
      </c>
      <c r="H108" s="64" t="s">
        <v>85</v>
      </c>
      <c r="I108" t="s">
        <v>145</v>
      </c>
      <c r="J108" t="s">
        <v>86</v>
      </c>
      <c r="K108" s="92" t="s">
        <v>376</v>
      </c>
      <c r="L108" s="96" t="s">
        <v>232</v>
      </c>
      <c r="M108" s="96">
        <v>90</v>
      </c>
      <c r="N108" s="92" t="s">
        <v>228</v>
      </c>
      <c r="O108" s="96">
        <v>107</v>
      </c>
      <c r="W108" s="46">
        <v>43937</v>
      </c>
      <c r="X108" s="46"/>
      <c r="Y108" s="46" t="str">
        <f t="shared" si="3"/>
        <v>jueves</v>
      </c>
      <c r="Z108" s="16"/>
      <c r="AA108" s="24"/>
    </row>
    <row r="109" spans="6:27" x14ac:dyDescent="0.25">
      <c r="F109" s="5">
        <v>72814417</v>
      </c>
      <c r="J109" t="s">
        <v>379</v>
      </c>
      <c r="K109" s="92" t="s">
        <v>378</v>
      </c>
      <c r="L109" s="96" t="s">
        <v>231</v>
      </c>
      <c r="M109" s="96">
        <v>35.76</v>
      </c>
      <c r="N109" s="92" t="s">
        <v>228</v>
      </c>
      <c r="O109" s="96">
        <v>108</v>
      </c>
      <c r="W109" s="46">
        <v>43938</v>
      </c>
      <c r="X109" s="46"/>
      <c r="Y109" s="46" t="str">
        <f t="shared" si="3"/>
        <v>viernes</v>
      </c>
      <c r="Z109" s="16"/>
      <c r="AA109" s="24"/>
    </row>
    <row r="110" spans="6:27" x14ac:dyDescent="0.25">
      <c r="F110" s="5">
        <v>42733835</v>
      </c>
      <c r="J110" t="s">
        <v>65</v>
      </c>
      <c r="K110" t="s">
        <v>380</v>
      </c>
      <c r="L110" s="96" t="s">
        <v>231</v>
      </c>
      <c r="M110" s="5">
        <v>50</v>
      </c>
      <c r="N110" t="s">
        <v>228</v>
      </c>
      <c r="O110" s="3">
        <v>109</v>
      </c>
      <c r="W110" s="46">
        <v>43939</v>
      </c>
      <c r="X110" s="46"/>
      <c r="Y110" s="46" t="str">
        <f t="shared" si="3"/>
        <v>sábado</v>
      </c>
      <c r="Z110" s="16"/>
      <c r="AA110" s="24"/>
    </row>
    <row r="111" spans="6:27" x14ac:dyDescent="0.25">
      <c r="F111" s="5">
        <v>75790434</v>
      </c>
      <c r="J111" t="s">
        <v>65</v>
      </c>
      <c r="K111" t="s">
        <v>384</v>
      </c>
      <c r="L111" s="96" t="s">
        <v>231</v>
      </c>
      <c r="M111" s="96">
        <v>35.81</v>
      </c>
      <c r="N111" t="s">
        <v>228</v>
      </c>
      <c r="O111" s="3">
        <v>110</v>
      </c>
      <c r="W111" s="46">
        <v>43940</v>
      </c>
      <c r="X111" s="86">
        <v>1</v>
      </c>
      <c r="Y111" s="46" t="str">
        <f t="shared" si="3"/>
        <v>domingo</v>
      </c>
      <c r="Z111" s="16"/>
      <c r="AA111" s="24"/>
    </row>
    <row r="112" spans="6:27" x14ac:dyDescent="0.25">
      <c r="F112" s="5">
        <v>75913657</v>
      </c>
      <c r="J112" t="s">
        <v>65</v>
      </c>
      <c r="K112" s="92" t="s">
        <v>385</v>
      </c>
      <c r="L112" s="96" t="s">
        <v>231</v>
      </c>
      <c r="M112" s="96">
        <v>60</v>
      </c>
      <c r="N112" t="s">
        <v>228</v>
      </c>
      <c r="O112" s="3">
        <v>111</v>
      </c>
      <c r="W112" s="46">
        <v>43941</v>
      </c>
      <c r="X112" s="46"/>
      <c r="Y112" s="46" t="str">
        <f t="shared" si="3"/>
        <v>lunes</v>
      </c>
      <c r="Z112" s="16"/>
      <c r="AA112" s="24"/>
    </row>
    <row r="113" spans="6:27" x14ac:dyDescent="0.25">
      <c r="F113" s="5">
        <v>75809362</v>
      </c>
      <c r="J113" t="s">
        <v>65</v>
      </c>
      <c r="K113" s="92" t="s">
        <v>386</v>
      </c>
      <c r="L113" s="96" t="s">
        <v>231</v>
      </c>
      <c r="M113" s="96">
        <v>65</v>
      </c>
      <c r="N113" t="s">
        <v>228</v>
      </c>
      <c r="O113" s="3">
        <v>112</v>
      </c>
      <c r="W113" s="46">
        <v>43942</v>
      </c>
      <c r="X113" s="46"/>
      <c r="Y113" s="46" t="str">
        <f t="shared" si="3"/>
        <v>martes</v>
      </c>
      <c r="Z113" s="16"/>
      <c r="AA113" s="24"/>
    </row>
    <row r="114" spans="6:27" x14ac:dyDescent="0.25">
      <c r="F114" s="5">
        <v>48698374</v>
      </c>
      <c r="J114" t="s">
        <v>65</v>
      </c>
      <c r="K114" s="92" t="s">
        <v>387</v>
      </c>
      <c r="L114" s="96" t="s">
        <v>231</v>
      </c>
      <c r="M114" s="96">
        <v>60</v>
      </c>
      <c r="N114" t="s">
        <v>228</v>
      </c>
      <c r="O114" s="3">
        <v>113</v>
      </c>
      <c r="W114" s="46">
        <v>43943</v>
      </c>
      <c r="X114" s="86"/>
      <c r="Y114" s="46" t="str">
        <f t="shared" si="3"/>
        <v>miércoles</v>
      </c>
      <c r="Z114" s="16"/>
      <c r="AA114" s="24"/>
    </row>
    <row r="115" spans="6:27" x14ac:dyDescent="0.25">
      <c r="F115" s="5">
        <v>16723336</v>
      </c>
      <c r="J115" t="s">
        <v>65</v>
      </c>
      <c r="K115" s="92" t="s">
        <v>389</v>
      </c>
      <c r="L115" s="96" t="s">
        <v>231</v>
      </c>
      <c r="M115" s="96">
        <v>55</v>
      </c>
      <c r="N115" t="s">
        <v>228</v>
      </c>
      <c r="O115" s="3">
        <v>114</v>
      </c>
      <c r="W115" s="46">
        <v>43944</v>
      </c>
      <c r="X115" s="46"/>
      <c r="Y115" s="46" t="str">
        <f t="shared" si="3"/>
        <v>jueves</v>
      </c>
      <c r="Z115" s="16"/>
      <c r="AA115" s="24"/>
    </row>
    <row r="116" spans="6:27" x14ac:dyDescent="0.25">
      <c r="F116" s="5">
        <v>48359730</v>
      </c>
      <c r="J116" t="s">
        <v>65</v>
      </c>
      <c r="K116" s="92" t="s">
        <v>390</v>
      </c>
      <c r="L116" s="96" t="s">
        <v>231</v>
      </c>
      <c r="M116" s="96">
        <v>55</v>
      </c>
      <c r="N116" t="s">
        <v>228</v>
      </c>
      <c r="O116" s="3">
        <v>115</v>
      </c>
      <c r="W116" s="46">
        <v>43945</v>
      </c>
      <c r="X116" s="46"/>
      <c r="Y116" s="46" t="str">
        <f t="shared" si="3"/>
        <v>viernes</v>
      </c>
      <c r="Z116" s="16"/>
      <c r="AA116" s="24"/>
    </row>
    <row r="117" spans="6:27" x14ac:dyDescent="0.25">
      <c r="F117" s="5">
        <v>77226886</v>
      </c>
      <c r="K117" s="92" t="s">
        <v>391</v>
      </c>
      <c r="L117" s="96" t="s">
        <v>231</v>
      </c>
      <c r="M117" s="96">
        <v>80</v>
      </c>
      <c r="N117" t="s">
        <v>228</v>
      </c>
      <c r="O117" s="5">
        <v>116</v>
      </c>
      <c r="W117" s="46">
        <v>43946</v>
      </c>
      <c r="X117" s="46"/>
      <c r="Y117" s="46" t="str">
        <f t="shared" si="3"/>
        <v>sábado</v>
      </c>
      <c r="Z117" s="16"/>
      <c r="AA117" s="24"/>
    </row>
    <row r="118" spans="6:27" x14ac:dyDescent="0.25">
      <c r="F118" s="5">
        <v>72731813</v>
      </c>
      <c r="K118" s="92" t="s">
        <v>392</v>
      </c>
      <c r="L118" s="96" t="s">
        <v>232</v>
      </c>
      <c r="W118" s="46">
        <v>43947</v>
      </c>
      <c r="X118" s="86">
        <v>1</v>
      </c>
      <c r="Y118" s="46" t="str">
        <f t="shared" si="3"/>
        <v>domingo</v>
      </c>
      <c r="Z118" s="16"/>
      <c r="AA118" s="24"/>
    </row>
    <row r="119" spans="6:27" x14ac:dyDescent="0.25">
      <c r="F119" s="5">
        <v>75561146</v>
      </c>
      <c r="K119" s="92" t="s">
        <v>393</v>
      </c>
      <c r="L119" s="96"/>
      <c r="W119" s="46">
        <v>43948</v>
      </c>
      <c r="X119" s="46"/>
      <c r="Y119" s="46" t="str">
        <f t="shared" si="3"/>
        <v>lunes</v>
      </c>
      <c r="Z119" s="16" t="s">
        <v>258</v>
      </c>
      <c r="AA119" s="24">
        <v>1</v>
      </c>
    </row>
    <row r="120" spans="6:27" x14ac:dyDescent="0.25">
      <c r="F120" s="5">
        <v>47971514</v>
      </c>
      <c r="K120" s="92" t="s">
        <v>394</v>
      </c>
      <c r="W120" s="46">
        <v>43949</v>
      </c>
      <c r="X120" s="46"/>
      <c r="Y120" s="46" t="str">
        <f t="shared" si="3"/>
        <v>martes</v>
      </c>
      <c r="Z120" s="16"/>
      <c r="AA120" s="24"/>
    </row>
    <row r="121" spans="6:27" x14ac:dyDescent="0.25">
      <c r="F121" s="5">
        <v>76847602</v>
      </c>
      <c r="K121" s="92" t="s">
        <v>395</v>
      </c>
      <c r="W121" s="46">
        <v>43950</v>
      </c>
      <c r="X121" s="86"/>
      <c r="Y121" s="46" t="str">
        <f t="shared" si="3"/>
        <v>miércoles</v>
      </c>
      <c r="Z121" s="16"/>
      <c r="AA121" s="24"/>
    </row>
    <row r="122" spans="6:27" x14ac:dyDescent="0.25">
      <c r="F122" s="5">
        <v>40794931</v>
      </c>
      <c r="K122" s="92" t="s">
        <v>396</v>
      </c>
      <c r="W122" s="46">
        <v>43951</v>
      </c>
      <c r="X122" s="46"/>
      <c r="Y122" s="46" t="str">
        <f t="shared" si="3"/>
        <v>jueves</v>
      </c>
      <c r="Z122" s="16"/>
      <c r="AA122" s="24"/>
    </row>
    <row r="123" spans="6:27" x14ac:dyDescent="0.25">
      <c r="F123" s="5">
        <v>48000640</v>
      </c>
      <c r="K123" s="92" t="s">
        <v>397</v>
      </c>
      <c r="W123" s="46">
        <v>43952</v>
      </c>
      <c r="X123" s="86">
        <v>1</v>
      </c>
      <c r="Y123" s="46" t="str">
        <f t="shared" si="3"/>
        <v>viernes</v>
      </c>
      <c r="Z123" s="16"/>
      <c r="AA123" s="24"/>
    </row>
    <row r="124" spans="6:27" x14ac:dyDescent="0.25">
      <c r="F124" s="5">
        <v>71214531</v>
      </c>
      <c r="K124" s="92" t="s">
        <v>399</v>
      </c>
      <c r="L124" t="s">
        <v>232</v>
      </c>
      <c r="W124" s="46">
        <v>43953</v>
      </c>
      <c r="X124" s="46"/>
      <c r="Y124" s="46" t="str">
        <f t="shared" si="3"/>
        <v>sábado</v>
      </c>
      <c r="Z124" s="16"/>
      <c r="AA124" s="24"/>
    </row>
    <row r="125" spans="6:27" x14ac:dyDescent="0.25">
      <c r="F125" s="5">
        <v>41234982</v>
      </c>
      <c r="K125" s="92" t="s">
        <v>400</v>
      </c>
      <c r="L125" t="s">
        <v>231</v>
      </c>
      <c r="W125" s="46">
        <v>43954</v>
      </c>
      <c r="X125" s="86">
        <v>1</v>
      </c>
      <c r="Y125" s="46" t="str">
        <f t="shared" si="3"/>
        <v>domingo</v>
      </c>
      <c r="Z125" s="16"/>
      <c r="AA125" s="24"/>
    </row>
    <row r="126" spans="6:27" x14ac:dyDescent="0.25">
      <c r="F126" s="5">
        <v>17543176</v>
      </c>
      <c r="K126" s="92" t="s">
        <v>401</v>
      </c>
      <c r="W126" s="46">
        <v>43955</v>
      </c>
      <c r="X126" s="46"/>
      <c r="Y126" s="46" t="str">
        <f t="shared" si="3"/>
        <v>lunes</v>
      </c>
      <c r="Z126" s="16"/>
      <c r="AA126" s="24"/>
    </row>
    <row r="127" spans="6:27" x14ac:dyDescent="0.25">
      <c r="W127" s="46">
        <v>43956</v>
      </c>
      <c r="X127" s="46"/>
      <c r="Y127" s="46" t="str">
        <f t="shared" si="3"/>
        <v>martes</v>
      </c>
      <c r="Z127" s="16"/>
      <c r="AA127" s="24"/>
    </row>
    <row r="128" spans="6:27" x14ac:dyDescent="0.25">
      <c r="W128" s="46">
        <v>43957</v>
      </c>
      <c r="X128" s="86"/>
      <c r="Y128" s="46" t="str">
        <f t="shared" si="3"/>
        <v>miércoles</v>
      </c>
      <c r="Z128" s="16"/>
      <c r="AA128" s="24"/>
    </row>
    <row r="129" spans="23:27" x14ac:dyDescent="0.25">
      <c r="W129" s="46">
        <v>43958</v>
      </c>
      <c r="X129" s="46"/>
      <c r="Y129" s="46" t="str">
        <f t="shared" si="3"/>
        <v>jueves</v>
      </c>
      <c r="Z129" s="16"/>
      <c r="AA129" s="24"/>
    </row>
    <row r="130" spans="23:27" x14ac:dyDescent="0.25">
      <c r="W130" s="46">
        <v>43959</v>
      </c>
      <c r="X130" s="46"/>
      <c r="Y130" s="46" t="str">
        <f t="shared" si="3"/>
        <v>viernes</v>
      </c>
      <c r="Z130" s="16"/>
      <c r="AA130" s="24"/>
    </row>
    <row r="131" spans="23:27" x14ac:dyDescent="0.25">
      <c r="W131" s="46">
        <v>43960</v>
      </c>
      <c r="X131" s="46"/>
      <c r="Y131" s="46" t="str">
        <f t="shared" ref="Y131:Y194" si="7">TEXT(W131,"ddddd")</f>
        <v>sábado</v>
      </c>
      <c r="Z131" s="16"/>
      <c r="AA131" s="24"/>
    </row>
    <row r="132" spans="23:27" x14ac:dyDescent="0.25">
      <c r="W132" s="46">
        <v>43961</v>
      </c>
      <c r="X132" s="86">
        <v>1</v>
      </c>
      <c r="Y132" s="46" t="str">
        <f t="shared" si="7"/>
        <v>domingo</v>
      </c>
      <c r="Z132" s="16"/>
      <c r="AA132" s="24"/>
    </row>
    <row r="133" spans="23:27" x14ac:dyDescent="0.25">
      <c r="W133" s="46">
        <v>43962</v>
      </c>
      <c r="X133" s="46"/>
      <c r="Y133" s="46" t="str">
        <f t="shared" si="7"/>
        <v>lunes</v>
      </c>
      <c r="Z133" s="16"/>
      <c r="AA133" s="24"/>
    </row>
    <row r="134" spans="23:27" x14ac:dyDescent="0.25">
      <c r="W134" s="46">
        <v>43963</v>
      </c>
      <c r="X134" s="46"/>
      <c r="Y134" s="46" t="str">
        <f t="shared" si="7"/>
        <v>martes</v>
      </c>
      <c r="Z134" s="16"/>
      <c r="AA134" s="24"/>
    </row>
    <row r="135" spans="23:27" x14ac:dyDescent="0.25">
      <c r="W135" s="46">
        <v>43964</v>
      </c>
      <c r="X135" s="86"/>
      <c r="Y135" s="46" t="str">
        <f t="shared" si="7"/>
        <v>miércoles</v>
      </c>
      <c r="Z135" s="16"/>
      <c r="AA135" s="24"/>
    </row>
    <row r="136" spans="23:27" x14ac:dyDescent="0.25">
      <c r="W136" s="46">
        <v>43965</v>
      </c>
      <c r="X136" s="46"/>
      <c r="Y136" s="46" t="str">
        <f t="shared" si="7"/>
        <v>jueves</v>
      </c>
      <c r="Z136" s="16"/>
      <c r="AA136" s="24"/>
    </row>
    <row r="137" spans="23:27" x14ac:dyDescent="0.25">
      <c r="W137" s="46">
        <v>43966</v>
      </c>
      <c r="X137" s="46"/>
      <c r="Y137" s="46" t="str">
        <f t="shared" si="7"/>
        <v>viernes</v>
      </c>
      <c r="Z137" s="16"/>
      <c r="AA137" s="24"/>
    </row>
    <row r="138" spans="23:27" x14ac:dyDescent="0.25">
      <c r="W138" s="46">
        <v>43967</v>
      </c>
      <c r="X138" s="46"/>
      <c r="Y138" s="46" t="str">
        <f t="shared" si="7"/>
        <v>sábado</v>
      </c>
      <c r="Z138" s="16"/>
      <c r="AA138" s="24"/>
    </row>
    <row r="139" spans="23:27" x14ac:dyDescent="0.25">
      <c r="W139" s="46">
        <v>43968</v>
      </c>
      <c r="X139" s="86">
        <v>1</v>
      </c>
      <c r="Y139" s="46" t="str">
        <f t="shared" si="7"/>
        <v>domingo</v>
      </c>
      <c r="Z139" s="16"/>
      <c r="AA139" s="24"/>
    </row>
    <row r="140" spans="23:27" x14ac:dyDescent="0.25">
      <c r="W140" s="46">
        <v>43969</v>
      </c>
      <c r="X140" s="46"/>
      <c r="Y140" s="46" t="str">
        <f t="shared" si="7"/>
        <v>lunes</v>
      </c>
      <c r="Z140" s="16"/>
      <c r="AA140" s="24"/>
    </row>
    <row r="141" spans="23:27" x14ac:dyDescent="0.25">
      <c r="W141" s="46">
        <v>43970</v>
      </c>
      <c r="X141" s="46"/>
      <c r="Y141" s="46" t="str">
        <f t="shared" si="7"/>
        <v>martes</v>
      </c>
      <c r="Z141" s="16"/>
      <c r="AA141" s="24"/>
    </row>
    <row r="142" spans="23:27" x14ac:dyDescent="0.25">
      <c r="W142" s="46">
        <v>43971</v>
      </c>
      <c r="X142" s="86"/>
      <c r="Y142" s="46" t="str">
        <f t="shared" si="7"/>
        <v>miércoles</v>
      </c>
      <c r="Z142" s="16"/>
      <c r="AA142" s="24"/>
    </row>
    <row r="143" spans="23:27" x14ac:dyDescent="0.25">
      <c r="W143" s="46">
        <v>43972</v>
      </c>
      <c r="X143" s="46"/>
      <c r="Y143" s="46" t="str">
        <f t="shared" si="7"/>
        <v>jueves</v>
      </c>
      <c r="Z143" s="16"/>
      <c r="AA143" s="24"/>
    </row>
    <row r="144" spans="23:27" x14ac:dyDescent="0.25">
      <c r="W144" s="46">
        <v>43973</v>
      </c>
      <c r="X144" s="46"/>
      <c r="Y144" s="46" t="str">
        <f t="shared" si="7"/>
        <v>viernes</v>
      </c>
      <c r="Z144" s="16"/>
      <c r="AA144" s="24"/>
    </row>
    <row r="145" spans="23:27" x14ac:dyDescent="0.25">
      <c r="W145" s="46">
        <v>43974</v>
      </c>
      <c r="X145" s="46"/>
      <c r="Y145" s="46" t="str">
        <f t="shared" si="7"/>
        <v>sábado</v>
      </c>
      <c r="Z145" s="16"/>
      <c r="AA145" s="24"/>
    </row>
    <row r="146" spans="23:27" x14ac:dyDescent="0.25">
      <c r="W146" s="46">
        <v>43975</v>
      </c>
      <c r="X146" s="86">
        <v>1</v>
      </c>
      <c r="Y146" s="46" t="str">
        <f t="shared" si="7"/>
        <v>domingo</v>
      </c>
      <c r="Z146" s="16"/>
      <c r="AA146" s="24"/>
    </row>
    <row r="147" spans="23:27" x14ac:dyDescent="0.25">
      <c r="W147" s="46">
        <v>43976</v>
      </c>
      <c r="X147" s="46"/>
      <c r="Y147" s="46" t="str">
        <f t="shared" si="7"/>
        <v>lunes</v>
      </c>
      <c r="Z147" s="16"/>
      <c r="AA147" s="24"/>
    </row>
    <row r="148" spans="23:27" x14ac:dyDescent="0.25">
      <c r="W148" s="46">
        <v>43977</v>
      </c>
      <c r="X148" s="46"/>
      <c r="Y148" s="46" t="str">
        <f t="shared" si="7"/>
        <v>martes</v>
      </c>
      <c r="Z148" s="16"/>
      <c r="AA148" s="24"/>
    </row>
    <row r="149" spans="23:27" x14ac:dyDescent="0.25">
      <c r="W149" s="46">
        <v>43978</v>
      </c>
      <c r="X149" s="86"/>
      <c r="Y149" s="46" t="str">
        <f t="shared" si="7"/>
        <v>miércoles</v>
      </c>
      <c r="Z149" s="16"/>
      <c r="AA149" s="24"/>
    </row>
    <row r="150" spans="23:27" x14ac:dyDescent="0.25">
      <c r="W150" s="46">
        <v>43979</v>
      </c>
      <c r="X150" s="46"/>
      <c r="Y150" s="46" t="str">
        <f t="shared" si="7"/>
        <v>jueves</v>
      </c>
      <c r="Z150" s="16"/>
      <c r="AA150" s="24"/>
    </row>
    <row r="151" spans="23:27" x14ac:dyDescent="0.25">
      <c r="W151" s="46">
        <v>43980</v>
      </c>
      <c r="X151" s="46"/>
      <c r="Y151" s="46" t="str">
        <f t="shared" si="7"/>
        <v>viernes</v>
      </c>
      <c r="Z151" s="16"/>
      <c r="AA151" s="24"/>
    </row>
    <row r="152" spans="23:27" x14ac:dyDescent="0.25">
      <c r="W152" s="46">
        <v>43981</v>
      </c>
      <c r="X152" s="46"/>
      <c r="Y152" s="46" t="str">
        <f t="shared" si="7"/>
        <v>sábado</v>
      </c>
      <c r="Z152" s="16"/>
      <c r="AA152" s="24"/>
    </row>
    <row r="153" spans="23:27" x14ac:dyDescent="0.25">
      <c r="W153" s="46">
        <v>43982</v>
      </c>
      <c r="X153" s="86">
        <v>1</v>
      </c>
      <c r="Y153" s="46" t="str">
        <f t="shared" si="7"/>
        <v>domingo</v>
      </c>
      <c r="Z153" s="16"/>
      <c r="AA153" s="24"/>
    </row>
    <row r="154" spans="23:27" x14ac:dyDescent="0.25">
      <c r="W154" s="46">
        <v>43983</v>
      </c>
      <c r="X154" s="46"/>
      <c r="Y154" s="46" t="str">
        <f t="shared" si="7"/>
        <v>lunes</v>
      </c>
      <c r="Z154" s="16"/>
      <c r="AA154" s="24"/>
    </row>
    <row r="155" spans="23:27" x14ac:dyDescent="0.25">
      <c r="W155" s="46">
        <v>43984</v>
      </c>
      <c r="X155" s="46"/>
      <c r="Y155" s="46" t="str">
        <f t="shared" si="7"/>
        <v>martes</v>
      </c>
      <c r="Z155" s="16"/>
      <c r="AA155" s="24"/>
    </row>
    <row r="156" spans="23:27" x14ac:dyDescent="0.25">
      <c r="W156" s="46">
        <v>43985</v>
      </c>
      <c r="X156" s="86"/>
      <c r="Y156" s="46" t="str">
        <f t="shared" si="7"/>
        <v>miércoles</v>
      </c>
      <c r="Z156" s="16"/>
      <c r="AA156" s="24"/>
    </row>
    <row r="157" spans="23:27" x14ac:dyDescent="0.25">
      <c r="W157" s="46">
        <v>43986</v>
      </c>
      <c r="X157" s="46"/>
      <c r="Y157" s="46" t="str">
        <f t="shared" si="7"/>
        <v>jueves</v>
      </c>
      <c r="Z157" s="16"/>
      <c r="AA157" s="24"/>
    </row>
    <row r="158" spans="23:27" x14ac:dyDescent="0.25">
      <c r="W158" s="46">
        <v>43987</v>
      </c>
      <c r="X158" s="46"/>
      <c r="Y158" s="46" t="str">
        <f t="shared" si="7"/>
        <v>viernes</v>
      </c>
      <c r="Z158" s="16"/>
      <c r="AA158" s="24"/>
    </row>
    <row r="159" spans="23:27" x14ac:dyDescent="0.25">
      <c r="W159" s="46">
        <v>43988</v>
      </c>
      <c r="X159" s="46"/>
      <c r="Y159" s="46" t="str">
        <f t="shared" si="7"/>
        <v>sábado</v>
      </c>
      <c r="Z159" s="16"/>
      <c r="AA159" s="24"/>
    </row>
    <row r="160" spans="23:27" x14ac:dyDescent="0.25">
      <c r="W160" s="46">
        <v>43989</v>
      </c>
      <c r="X160" s="86">
        <v>1</v>
      </c>
      <c r="Y160" s="46" t="str">
        <f t="shared" si="7"/>
        <v>domingo</v>
      </c>
      <c r="Z160" s="16"/>
      <c r="AA160" s="24"/>
    </row>
    <row r="161" spans="23:27" x14ac:dyDescent="0.25">
      <c r="W161" s="46">
        <v>43990</v>
      </c>
      <c r="X161" s="46"/>
      <c r="Y161" s="46" t="str">
        <f t="shared" si="7"/>
        <v>lunes</v>
      </c>
      <c r="Z161" s="16"/>
      <c r="AA161" s="24"/>
    </row>
    <row r="162" spans="23:27" x14ac:dyDescent="0.25">
      <c r="W162" s="46">
        <v>43991</v>
      </c>
      <c r="X162" s="46"/>
      <c r="Y162" s="46" t="str">
        <f t="shared" si="7"/>
        <v>martes</v>
      </c>
      <c r="Z162" s="16"/>
      <c r="AA162" s="24"/>
    </row>
    <row r="163" spans="23:27" x14ac:dyDescent="0.25">
      <c r="W163" s="46">
        <v>43992</v>
      </c>
      <c r="X163" s="86"/>
      <c r="Y163" s="46" t="str">
        <f t="shared" si="7"/>
        <v>miércoles</v>
      </c>
      <c r="Z163" s="16"/>
      <c r="AA163" s="24"/>
    </row>
    <row r="164" spans="23:27" x14ac:dyDescent="0.25">
      <c r="W164" s="46">
        <v>43993</v>
      </c>
      <c r="X164" s="46"/>
      <c r="Y164" s="46" t="str">
        <f t="shared" si="7"/>
        <v>jueves</v>
      </c>
      <c r="Z164" s="16"/>
      <c r="AA164" s="24"/>
    </row>
    <row r="165" spans="23:27" x14ac:dyDescent="0.25">
      <c r="W165" s="46">
        <v>43994</v>
      </c>
      <c r="X165" s="46"/>
      <c r="Y165" s="46" t="str">
        <f t="shared" si="7"/>
        <v>viernes</v>
      </c>
      <c r="Z165" s="16"/>
      <c r="AA165" s="24"/>
    </row>
    <row r="166" spans="23:27" x14ac:dyDescent="0.25">
      <c r="W166" s="46">
        <v>43995</v>
      </c>
      <c r="X166" s="46"/>
      <c r="Y166" s="46" t="str">
        <f t="shared" si="7"/>
        <v>sábado</v>
      </c>
      <c r="Z166" s="16"/>
      <c r="AA166" s="24"/>
    </row>
    <row r="167" spans="23:27" x14ac:dyDescent="0.25">
      <c r="W167" s="46">
        <v>43996</v>
      </c>
      <c r="X167" s="86">
        <v>1</v>
      </c>
      <c r="Y167" s="46" t="str">
        <f t="shared" si="7"/>
        <v>domingo</v>
      </c>
      <c r="Z167" s="16"/>
      <c r="AA167" s="24"/>
    </row>
    <row r="168" spans="23:27" x14ac:dyDescent="0.25">
      <c r="W168" s="46">
        <v>43997</v>
      </c>
      <c r="X168" s="46"/>
      <c r="Y168" s="46" t="str">
        <f t="shared" si="7"/>
        <v>lunes</v>
      </c>
      <c r="Z168" s="16"/>
      <c r="AA168" s="24"/>
    </row>
    <row r="169" spans="23:27" x14ac:dyDescent="0.25">
      <c r="W169" s="46">
        <v>43998</v>
      </c>
      <c r="X169" s="46"/>
      <c r="Y169" s="46" t="str">
        <f t="shared" si="7"/>
        <v>martes</v>
      </c>
      <c r="Z169" s="16"/>
      <c r="AA169" s="24"/>
    </row>
    <row r="170" spans="23:27" x14ac:dyDescent="0.25">
      <c r="W170" s="46">
        <v>43999</v>
      </c>
      <c r="X170" s="86"/>
      <c r="Y170" s="46" t="str">
        <f t="shared" si="7"/>
        <v>miércoles</v>
      </c>
      <c r="Z170" s="16"/>
      <c r="AA170" s="24"/>
    </row>
    <row r="171" spans="23:27" x14ac:dyDescent="0.25">
      <c r="W171" s="46">
        <v>44000</v>
      </c>
      <c r="X171" s="46"/>
      <c r="Y171" s="46" t="str">
        <f t="shared" si="7"/>
        <v>jueves</v>
      </c>
      <c r="Z171" s="16"/>
      <c r="AA171" s="24"/>
    </row>
    <row r="172" spans="23:27" x14ac:dyDescent="0.25">
      <c r="W172" s="46">
        <v>44001</v>
      </c>
      <c r="X172" s="46"/>
      <c r="Y172" s="46" t="str">
        <f t="shared" si="7"/>
        <v>viernes</v>
      </c>
      <c r="Z172" s="16"/>
      <c r="AA172" s="24"/>
    </row>
    <row r="173" spans="23:27" x14ac:dyDescent="0.25">
      <c r="W173" s="46">
        <v>44002</v>
      </c>
      <c r="X173" s="46"/>
      <c r="Y173" s="46" t="str">
        <f t="shared" si="7"/>
        <v>sábado</v>
      </c>
      <c r="Z173" s="16"/>
      <c r="AA173" s="24"/>
    </row>
    <row r="174" spans="23:27" x14ac:dyDescent="0.25">
      <c r="W174" s="46">
        <v>44003</v>
      </c>
      <c r="X174" s="86">
        <v>1</v>
      </c>
      <c r="Y174" s="46" t="str">
        <f t="shared" si="7"/>
        <v>domingo</v>
      </c>
      <c r="Z174" s="16"/>
      <c r="AA174" s="24"/>
    </row>
    <row r="175" spans="23:27" x14ac:dyDescent="0.25">
      <c r="W175" s="46">
        <v>44004</v>
      </c>
      <c r="X175" s="46"/>
      <c r="Y175" s="46" t="str">
        <f t="shared" si="7"/>
        <v>lunes</v>
      </c>
      <c r="Z175" s="16"/>
      <c r="AA175" s="24"/>
    </row>
    <row r="176" spans="23:27" x14ac:dyDescent="0.25">
      <c r="W176" s="46">
        <v>44005</v>
      </c>
      <c r="X176" s="46"/>
      <c r="Y176" s="46" t="str">
        <f t="shared" si="7"/>
        <v>martes</v>
      </c>
      <c r="Z176" s="16"/>
      <c r="AA176" s="24"/>
    </row>
    <row r="177" spans="23:27" x14ac:dyDescent="0.25">
      <c r="W177" s="46">
        <v>44006</v>
      </c>
      <c r="X177" s="86"/>
      <c r="Y177" s="46" t="str">
        <f t="shared" si="7"/>
        <v>miércoles</v>
      </c>
      <c r="Z177" s="16"/>
      <c r="AA177" s="24"/>
    </row>
    <row r="178" spans="23:27" x14ac:dyDescent="0.25">
      <c r="W178" s="46">
        <v>44007</v>
      </c>
      <c r="X178" s="46"/>
      <c r="Y178" s="46" t="str">
        <f t="shared" si="7"/>
        <v>jueves</v>
      </c>
      <c r="Z178" s="16"/>
      <c r="AA178" s="24"/>
    </row>
    <row r="179" spans="23:27" x14ac:dyDescent="0.25">
      <c r="W179" s="46">
        <v>44008</v>
      </c>
      <c r="X179" s="46"/>
      <c r="Y179" s="46" t="str">
        <f t="shared" si="7"/>
        <v>viernes</v>
      </c>
      <c r="Z179" s="16"/>
      <c r="AA179" s="24"/>
    </row>
    <row r="180" spans="23:27" x14ac:dyDescent="0.25">
      <c r="W180" s="46">
        <v>44009</v>
      </c>
      <c r="X180" s="46"/>
      <c r="Y180" s="46" t="str">
        <f t="shared" si="7"/>
        <v>sábado</v>
      </c>
      <c r="Z180" s="16"/>
      <c r="AA180" s="24"/>
    </row>
    <row r="181" spans="23:27" x14ac:dyDescent="0.25">
      <c r="W181" s="46">
        <v>44010</v>
      </c>
      <c r="X181" s="86">
        <v>1</v>
      </c>
      <c r="Y181" s="46" t="str">
        <f t="shared" si="7"/>
        <v>domingo</v>
      </c>
      <c r="Z181" s="16"/>
      <c r="AA181" s="24"/>
    </row>
    <row r="182" spans="23:27" x14ac:dyDescent="0.25">
      <c r="W182" s="46">
        <v>44011</v>
      </c>
      <c r="X182" s="86">
        <v>1</v>
      </c>
      <c r="Y182" s="46" t="str">
        <f t="shared" si="7"/>
        <v>lunes</v>
      </c>
      <c r="Z182" s="16"/>
      <c r="AA182" s="24"/>
    </row>
    <row r="183" spans="23:27" x14ac:dyDescent="0.25">
      <c r="W183" s="46">
        <v>44012</v>
      </c>
      <c r="X183" s="46"/>
      <c r="Y183" s="46" t="str">
        <f t="shared" si="7"/>
        <v>martes</v>
      </c>
      <c r="Z183" s="16"/>
      <c r="AA183" s="24"/>
    </row>
    <row r="184" spans="23:27" x14ac:dyDescent="0.25">
      <c r="W184" s="46">
        <v>44013</v>
      </c>
      <c r="X184" s="86"/>
      <c r="Y184" s="46" t="str">
        <f t="shared" si="7"/>
        <v>miércoles</v>
      </c>
      <c r="Z184" s="16"/>
      <c r="AA184" s="24"/>
    </row>
    <row r="185" spans="23:27" x14ac:dyDescent="0.25">
      <c r="W185" s="46">
        <v>44014</v>
      </c>
      <c r="X185" s="46"/>
      <c r="Y185" s="46" t="str">
        <f t="shared" si="7"/>
        <v>jueves</v>
      </c>
      <c r="Z185" s="16"/>
      <c r="AA185" s="24"/>
    </row>
    <row r="186" spans="23:27" x14ac:dyDescent="0.25">
      <c r="W186" s="46">
        <v>44015</v>
      </c>
      <c r="X186" s="46"/>
      <c r="Y186" s="46" t="str">
        <f t="shared" si="7"/>
        <v>viernes</v>
      </c>
      <c r="Z186" s="16"/>
      <c r="AA186" s="24"/>
    </row>
    <row r="187" spans="23:27" x14ac:dyDescent="0.25">
      <c r="W187" s="46">
        <v>44016</v>
      </c>
      <c r="X187" s="46"/>
      <c r="Y187" s="46" t="str">
        <f t="shared" si="7"/>
        <v>sábado</v>
      </c>
      <c r="Z187" s="16"/>
      <c r="AA187" s="24"/>
    </row>
    <row r="188" spans="23:27" x14ac:dyDescent="0.25">
      <c r="W188" s="46">
        <v>44017</v>
      </c>
      <c r="X188" s="86">
        <v>1</v>
      </c>
      <c r="Y188" s="46" t="str">
        <f t="shared" si="7"/>
        <v>domingo</v>
      </c>
      <c r="Z188" s="16"/>
      <c r="AA188" s="24"/>
    </row>
    <row r="189" spans="23:27" x14ac:dyDescent="0.25">
      <c r="W189" s="46">
        <v>44018</v>
      </c>
      <c r="X189" s="46"/>
      <c r="Y189" s="46" t="str">
        <f t="shared" si="7"/>
        <v>lunes</v>
      </c>
      <c r="Z189" s="16"/>
      <c r="AA189" s="24"/>
    </row>
    <row r="190" spans="23:27" x14ac:dyDescent="0.25">
      <c r="W190" s="46">
        <v>44019</v>
      </c>
      <c r="X190" s="46"/>
      <c r="Y190" s="46" t="str">
        <f t="shared" si="7"/>
        <v>martes</v>
      </c>
      <c r="Z190" s="16"/>
      <c r="AA190" s="24"/>
    </row>
    <row r="191" spans="23:27" x14ac:dyDescent="0.25">
      <c r="W191" s="46">
        <v>44020</v>
      </c>
      <c r="X191" s="86"/>
      <c r="Y191" s="46" t="str">
        <f t="shared" si="7"/>
        <v>miércoles</v>
      </c>
      <c r="Z191" s="16"/>
      <c r="AA191" s="24"/>
    </row>
    <row r="192" spans="23:27" x14ac:dyDescent="0.25">
      <c r="W192" s="46">
        <v>44021</v>
      </c>
      <c r="X192" s="46"/>
      <c r="Y192" s="46" t="str">
        <f t="shared" si="7"/>
        <v>jueves</v>
      </c>
      <c r="Z192" s="16"/>
      <c r="AA192" s="24"/>
    </row>
    <row r="193" spans="23:27" x14ac:dyDescent="0.25">
      <c r="W193" s="46">
        <v>44022</v>
      </c>
      <c r="X193" s="46"/>
      <c r="Y193" s="46" t="str">
        <f t="shared" si="7"/>
        <v>viernes</v>
      </c>
      <c r="Z193" s="16"/>
      <c r="AA193" s="24"/>
    </row>
    <row r="194" spans="23:27" x14ac:dyDescent="0.25">
      <c r="W194" s="46">
        <v>44023</v>
      </c>
      <c r="X194" s="46"/>
      <c r="Y194" s="46" t="str">
        <f t="shared" si="7"/>
        <v>sábado</v>
      </c>
      <c r="Z194" s="16"/>
      <c r="AA194" s="24"/>
    </row>
    <row r="195" spans="23:27" x14ac:dyDescent="0.25">
      <c r="W195" s="46">
        <v>44024</v>
      </c>
      <c r="X195" s="86">
        <v>1</v>
      </c>
      <c r="Y195" s="46" t="str">
        <f t="shared" ref="Y195:Y258" si="8">TEXT(W195,"ddddd")</f>
        <v>domingo</v>
      </c>
      <c r="Z195" s="16"/>
      <c r="AA195" s="24"/>
    </row>
    <row r="196" spans="23:27" x14ac:dyDescent="0.25">
      <c r="W196" s="46">
        <v>44025</v>
      </c>
      <c r="X196" s="46"/>
      <c r="Y196" s="46" t="str">
        <f t="shared" si="8"/>
        <v>lunes</v>
      </c>
      <c r="Z196" s="16"/>
      <c r="AA196" s="24"/>
    </row>
    <row r="197" spans="23:27" x14ac:dyDescent="0.25">
      <c r="W197" s="46">
        <v>44026</v>
      </c>
      <c r="X197" s="46"/>
      <c r="Y197" s="46" t="str">
        <f t="shared" si="8"/>
        <v>martes</v>
      </c>
      <c r="Z197" s="16"/>
      <c r="AA197" s="24"/>
    </row>
    <row r="198" spans="23:27" x14ac:dyDescent="0.25">
      <c r="W198" s="46">
        <v>44027</v>
      </c>
      <c r="X198" s="86"/>
      <c r="Y198" s="46" t="str">
        <f t="shared" si="8"/>
        <v>miércoles</v>
      </c>
      <c r="Z198" s="16"/>
      <c r="AA198" s="24"/>
    </row>
    <row r="199" spans="23:27" x14ac:dyDescent="0.25">
      <c r="W199" s="46">
        <v>44028</v>
      </c>
      <c r="X199" s="46"/>
      <c r="Y199" s="46" t="str">
        <f t="shared" si="8"/>
        <v>jueves</v>
      </c>
      <c r="Z199" s="16"/>
      <c r="AA199" s="24"/>
    </row>
    <row r="200" spans="23:27" x14ac:dyDescent="0.25">
      <c r="W200" s="46">
        <v>44029</v>
      </c>
      <c r="X200" s="46"/>
      <c r="Y200" s="46" t="str">
        <f t="shared" si="8"/>
        <v>viernes</v>
      </c>
      <c r="Z200" s="16"/>
      <c r="AA200" s="24"/>
    </row>
    <row r="201" spans="23:27" x14ac:dyDescent="0.25">
      <c r="W201" s="46">
        <v>44030</v>
      </c>
      <c r="X201" s="46"/>
      <c r="Y201" s="46" t="str">
        <f t="shared" si="8"/>
        <v>sábado</v>
      </c>
      <c r="Z201" s="16"/>
      <c r="AA201" s="24"/>
    </row>
    <row r="202" spans="23:27" x14ac:dyDescent="0.25">
      <c r="W202" s="46">
        <v>44031</v>
      </c>
      <c r="X202" s="86">
        <v>1</v>
      </c>
      <c r="Y202" s="46" t="str">
        <f t="shared" si="8"/>
        <v>domingo</v>
      </c>
      <c r="Z202" s="16"/>
      <c r="AA202" s="24"/>
    </row>
    <row r="203" spans="23:27" x14ac:dyDescent="0.25">
      <c r="W203" s="46">
        <v>44032</v>
      </c>
      <c r="X203" s="46"/>
      <c r="Y203" s="46" t="str">
        <f t="shared" si="8"/>
        <v>lunes</v>
      </c>
      <c r="Z203" s="16"/>
      <c r="AA203" s="24"/>
    </row>
    <row r="204" spans="23:27" x14ac:dyDescent="0.25">
      <c r="W204" s="46">
        <v>44033</v>
      </c>
      <c r="X204" s="46"/>
      <c r="Y204" s="46" t="str">
        <f t="shared" si="8"/>
        <v>martes</v>
      </c>
      <c r="Z204" s="16"/>
      <c r="AA204" s="24"/>
    </row>
    <row r="205" spans="23:27" x14ac:dyDescent="0.25">
      <c r="W205" s="46">
        <v>44034</v>
      </c>
      <c r="X205" s="86"/>
      <c r="Y205" s="46" t="str">
        <f t="shared" si="8"/>
        <v>miércoles</v>
      </c>
      <c r="Z205" s="16"/>
      <c r="AA205" s="24"/>
    </row>
    <row r="206" spans="23:27" x14ac:dyDescent="0.25">
      <c r="W206" s="46">
        <v>44035</v>
      </c>
      <c r="X206" s="46"/>
      <c r="Y206" s="46" t="str">
        <f t="shared" si="8"/>
        <v>jueves</v>
      </c>
      <c r="Z206" s="16" t="s">
        <v>328</v>
      </c>
      <c r="AA206" s="24"/>
    </row>
    <row r="207" spans="23:27" x14ac:dyDescent="0.25">
      <c r="W207" s="46">
        <v>44036</v>
      </c>
      <c r="X207" s="46"/>
      <c r="Y207" s="46" t="str">
        <f t="shared" si="8"/>
        <v>viernes</v>
      </c>
      <c r="Z207" s="16" t="s">
        <v>329</v>
      </c>
      <c r="AA207" s="24"/>
    </row>
    <row r="208" spans="23:27" x14ac:dyDescent="0.25">
      <c r="W208" s="46">
        <v>44037</v>
      </c>
      <c r="X208" s="46"/>
      <c r="Y208" s="46" t="str">
        <f t="shared" si="8"/>
        <v>sábado</v>
      </c>
      <c r="Z208" s="16" t="s">
        <v>330</v>
      </c>
      <c r="AA208" s="24"/>
    </row>
    <row r="209" spans="23:27" x14ac:dyDescent="0.25">
      <c r="W209" s="46">
        <v>44038</v>
      </c>
      <c r="X209" s="86">
        <v>1</v>
      </c>
      <c r="Y209" s="46" t="str">
        <f t="shared" si="8"/>
        <v>domingo</v>
      </c>
      <c r="Z209" s="16"/>
      <c r="AA209" s="24"/>
    </row>
    <row r="210" spans="23:27" x14ac:dyDescent="0.25">
      <c r="W210" s="46">
        <v>44039</v>
      </c>
      <c r="X210" s="46"/>
      <c r="Y210" s="46" t="str">
        <f t="shared" si="8"/>
        <v>lunes</v>
      </c>
      <c r="Z210" s="16"/>
      <c r="AA210" s="24"/>
    </row>
    <row r="211" spans="23:27" x14ac:dyDescent="0.25">
      <c r="W211" s="46">
        <v>44040</v>
      </c>
      <c r="X211" s="86">
        <v>1</v>
      </c>
      <c r="Y211" s="46" t="str">
        <f t="shared" si="8"/>
        <v>martes</v>
      </c>
      <c r="Z211" s="16"/>
      <c r="AA211" s="24"/>
    </row>
    <row r="212" spans="23:27" x14ac:dyDescent="0.25">
      <c r="W212" s="46">
        <v>44041</v>
      </c>
      <c r="X212" s="86"/>
      <c r="Y212" s="46" t="str">
        <f t="shared" si="8"/>
        <v>miércoles</v>
      </c>
      <c r="Z212" s="16"/>
      <c r="AA212" s="24"/>
    </row>
    <row r="213" spans="23:27" x14ac:dyDescent="0.25">
      <c r="W213" s="46">
        <v>44042</v>
      </c>
      <c r="X213" s="46"/>
      <c r="Y213" s="46" t="str">
        <f t="shared" si="8"/>
        <v>jueves</v>
      </c>
      <c r="Z213" s="16"/>
      <c r="AA213" s="24"/>
    </row>
    <row r="214" spans="23:27" x14ac:dyDescent="0.25">
      <c r="W214" s="46">
        <v>44043</v>
      </c>
      <c r="X214" s="46"/>
      <c r="Y214" s="46" t="str">
        <f t="shared" si="8"/>
        <v>viernes</v>
      </c>
      <c r="Z214" s="16"/>
      <c r="AA214" s="24"/>
    </row>
    <row r="215" spans="23:27" x14ac:dyDescent="0.25">
      <c r="W215" s="46">
        <v>44044</v>
      </c>
      <c r="X215" s="46"/>
      <c r="Y215" s="46" t="str">
        <f t="shared" si="8"/>
        <v>sábado</v>
      </c>
      <c r="Z215" s="16"/>
      <c r="AA215" s="24"/>
    </row>
    <row r="216" spans="23:27" x14ac:dyDescent="0.25">
      <c r="W216" s="46">
        <v>44045</v>
      </c>
      <c r="X216" s="86">
        <v>1</v>
      </c>
      <c r="Y216" s="46" t="str">
        <f t="shared" si="8"/>
        <v>domingo</v>
      </c>
      <c r="Z216" s="16"/>
      <c r="AA216" s="24"/>
    </row>
    <row r="217" spans="23:27" x14ac:dyDescent="0.25">
      <c r="W217" s="46">
        <v>44046</v>
      </c>
      <c r="X217" s="46"/>
      <c r="Y217" s="46" t="str">
        <f t="shared" si="8"/>
        <v>lunes</v>
      </c>
      <c r="Z217" s="16"/>
      <c r="AA217" s="24"/>
    </row>
    <row r="218" spans="23:27" x14ac:dyDescent="0.25">
      <c r="W218" s="46">
        <v>44047</v>
      </c>
      <c r="X218" s="46"/>
      <c r="Y218" s="46" t="str">
        <f t="shared" si="8"/>
        <v>martes</v>
      </c>
      <c r="Z218" s="16"/>
      <c r="AA218" s="24"/>
    </row>
    <row r="219" spans="23:27" x14ac:dyDescent="0.25">
      <c r="W219" s="46">
        <v>44048</v>
      </c>
      <c r="X219" s="86"/>
      <c r="Y219" s="46" t="str">
        <f t="shared" si="8"/>
        <v>miércoles</v>
      </c>
      <c r="Z219" s="16"/>
      <c r="AA219" s="24"/>
    </row>
    <row r="220" spans="23:27" x14ac:dyDescent="0.25">
      <c r="W220" s="46">
        <v>44049</v>
      </c>
      <c r="X220" s="46"/>
      <c r="Y220" s="46" t="str">
        <f t="shared" si="8"/>
        <v>jueves</v>
      </c>
      <c r="Z220" s="16"/>
      <c r="AA220" s="24"/>
    </row>
    <row r="221" spans="23:27" x14ac:dyDescent="0.25">
      <c r="W221" s="46">
        <v>44050</v>
      </c>
      <c r="X221" s="46"/>
      <c r="Y221" s="46" t="str">
        <f t="shared" si="8"/>
        <v>viernes</v>
      </c>
      <c r="Z221" s="16"/>
      <c r="AA221" s="24"/>
    </row>
    <row r="222" spans="23:27" x14ac:dyDescent="0.25">
      <c r="W222" s="46">
        <v>44051</v>
      </c>
      <c r="X222" s="46"/>
      <c r="Y222" s="46" t="str">
        <f t="shared" si="8"/>
        <v>sábado</v>
      </c>
      <c r="Z222" s="16"/>
      <c r="AA222" s="24"/>
    </row>
    <row r="223" spans="23:27" x14ac:dyDescent="0.25">
      <c r="W223" s="46">
        <v>44052</v>
      </c>
      <c r="X223" s="86">
        <v>1</v>
      </c>
      <c r="Y223" s="46" t="str">
        <f t="shared" si="8"/>
        <v>domingo</v>
      </c>
      <c r="Z223" s="16"/>
      <c r="AA223" s="24"/>
    </row>
    <row r="224" spans="23:27" x14ac:dyDescent="0.25">
      <c r="W224" s="46">
        <v>44053</v>
      </c>
      <c r="X224" s="46"/>
      <c r="Y224" s="46" t="str">
        <f t="shared" si="8"/>
        <v>lunes</v>
      </c>
      <c r="Z224" s="16"/>
      <c r="AA224" s="24"/>
    </row>
    <row r="225" spans="23:27" x14ac:dyDescent="0.25">
      <c r="W225" s="46">
        <v>44054</v>
      </c>
      <c r="X225" s="46"/>
      <c r="Y225" s="46" t="str">
        <f t="shared" si="8"/>
        <v>martes</v>
      </c>
      <c r="Z225" s="16"/>
      <c r="AA225" s="24"/>
    </row>
    <row r="226" spans="23:27" x14ac:dyDescent="0.25">
      <c r="W226" s="46">
        <v>44055</v>
      </c>
      <c r="X226" s="86"/>
      <c r="Y226" s="46" t="str">
        <f t="shared" si="8"/>
        <v>miércoles</v>
      </c>
      <c r="Z226" s="16"/>
      <c r="AA226" s="24"/>
    </row>
    <row r="227" spans="23:27" x14ac:dyDescent="0.25">
      <c r="W227" s="46">
        <v>44056</v>
      </c>
      <c r="X227" s="46"/>
      <c r="Y227" s="46" t="str">
        <f t="shared" si="8"/>
        <v>jueves</v>
      </c>
      <c r="Z227" s="16"/>
      <c r="AA227" s="24"/>
    </row>
    <row r="228" spans="23:27" x14ac:dyDescent="0.25">
      <c r="W228" s="46">
        <v>44057</v>
      </c>
      <c r="X228" s="46"/>
      <c r="Y228" s="46" t="str">
        <f t="shared" si="8"/>
        <v>viernes</v>
      </c>
      <c r="Z228" s="16"/>
      <c r="AA228" s="24"/>
    </row>
    <row r="229" spans="23:27" x14ac:dyDescent="0.25">
      <c r="W229" s="46">
        <v>44058</v>
      </c>
      <c r="X229" s="46"/>
      <c r="Y229" s="46" t="str">
        <f t="shared" si="8"/>
        <v>sábado</v>
      </c>
      <c r="Z229" s="16"/>
      <c r="AA229" s="24"/>
    </row>
    <row r="230" spans="23:27" x14ac:dyDescent="0.25">
      <c r="W230" s="46">
        <v>44059</v>
      </c>
      <c r="X230" s="86">
        <v>1</v>
      </c>
      <c r="Y230" s="46" t="str">
        <f t="shared" si="8"/>
        <v>domingo</v>
      </c>
      <c r="Z230" s="16"/>
      <c r="AA230" s="24"/>
    </row>
    <row r="231" spans="23:27" x14ac:dyDescent="0.25">
      <c r="W231" s="46">
        <v>44060</v>
      </c>
      <c r="X231" s="46"/>
      <c r="Y231" s="46" t="str">
        <f t="shared" si="8"/>
        <v>lunes</v>
      </c>
      <c r="Z231" s="16"/>
      <c r="AA231" s="24"/>
    </row>
    <row r="232" spans="23:27" x14ac:dyDescent="0.25">
      <c r="W232" s="46">
        <v>44061</v>
      </c>
      <c r="X232" s="46"/>
      <c r="Y232" s="46" t="str">
        <f t="shared" si="8"/>
        <v>martes</v>
      </c>
      <c r="Z232" s="16"/>
      <c r="AA232" s="24"/>
    </row>
    <row r="233" spans="23:27" x14ac:dyDescent="0.25">
      <c r="W233" s="46">
        <v>44062</v>
      </c>
      <c r="X233" s="86"/>
      <c r="Y233" s="46" t="str">
        <f t="shared" si="8"/>
        <v>miércoles</v>
      </c>
      <c r="Z233" s="16"/>
      <c r="AA233" s="24"/>
    </row>
    <row r="234" spans="23:27" x14ac:dyDescent="0.25">
      <c r="W234" s="46">
        <v>44063</v>
      </c>
      <c r="X234" s="46"/>
      <c r="Y234" s="46" t="str">
        <f t="shared" si="8"/>
        <v>jueves</v>
      </c>
      <c r="Z234" s="16"/>
      <c r="AA234" s="24"/>
    </row>
    <row r="235" spans="23:27" x14ac:dyDescent="0.25">
      <c r="W235" s="46">
        <v>44064</v>
      </c>
      <c r="X235" s="46"/>
      <c r="Y235" s="46" t="str">
        <f t="shared" si="8"/>
        <v>viernes</v>
      </c>
      <c r="Z235" s="16"/>
      <c r="AA235" s="24"/>
    </row>
    <row r="236" spans="23:27" x14ac:dyDescent="0.25">
      <c r="W236" s="46">
        <v>44065</v>
      </c>
      <c r="X236" s="46"/>
      <c r="Y236" s="46" t="str">
        <f t="shared" si="8"/>
        <v>sábado</v>
      </c>
      <c r="Z236" s="16"/>
      <c r="AA236" s="24"/>
    </row>
    <row r="237" spans="23:27" x14ac:dyDescent="0.25">
      <c r="W237" s="46">
        <v>44066</v>
      </c>
      <c r="X237" s="86">
        <v>1</v>
      </c>
      <c r="Y237" s="46" t="str">
        <f t="shared" si="8"/>
        <v>domingo</v>
      </c>
      <c r="Z237" s="16"/>
      <c r="AA237" s="24"/>
    </row>
    <row r="238" spans="23:27" x14ac:dyDescent="0.25">
      <c r="W238" s="46">
        <v>44067</v>
      </c>
      <c r="X238" s="46"/>
      <c r="Y238" s="46" t="str">
        <f t="shared" si="8"/>
        <v>lunes</v>
      </c>
      <c r="Z238" s="16"/>
      <c r="AA238" s="24"/>
    </row>
    <row r="239" spans="23:27" x14ac:dyDescent="0.25">
      <c r="W239" s="46">
        <v>44068</v>
      </c>
      <c r="X239" s="46"/>
      <c r="Y239" s="46" t="str">
        <f t="shared" si="8"/>
        <v>martes</v>
      </c>
      <c r="Z239" s="16"/>
      <c r="AA239" s="24"/>
    </row>
    <row r="240" spans="23:27" x14ac:dyDescent="0.25">
      <c r="W240" s="46">
        <v>44069</v>
      </c>
      <c r="X240" s="86"/>
      <c r="Y240" s="46" t="str">
        <f t="shared" si="8"/>
        <v>miércoles</v>
      </c>
      <c r="Z240" s="16" t="s">
        <v>331</v>
      </c>
      <c r="AA240" s="24">
        <v>1</v>
      </c>
    </row>
    <row r="241" spans="23:27" x14ac:dyDescent="0.25">
      <c r="W241" s="46">
        <v>44070</v>
      </c>
      <c r="X241" s="46"/>
      <c r="Y241" s="46" t="str">
        <f t="shared" si="8"/>
        <v>jueves</v>
      </c>
      <c r="Z241" s="16"/>
      <c r="AA241" s="24"/>
    </row>
    <row r="242" spans="23:27" x14ac:dyDescent="0.25">
      <c r="W242" s="46">
        <v>44071</v>
      </c>
      <c r="X242" s="46"/>
      <c r="Y242" s="46" t="str">
        <f t="shared" si="8"/>
        <v>viernes</v>
      </c>
      <c r="Z242" s="16"/>
      <c r="AA242" s="24"/>
    </row>
    <row r="243" spans="23:27" x14ac:dyDescent="0.25">
      <c r="W243" s="46">
        <v>44072</v>
      </c>
      <c r="X243" s="46"/>
      <c r="Y243" s="46" t="str">
        <f t="shared" si="8"/>
        <v>sábado</v>
      </c>
      <c r="Z243" s="16"/>
      <c r="AA243" s="24"/>
    </row>
    <row r="244" spans="23:27" x14ac:dyDescent="0.25">
      <c r="W244" s="46">
        <v>44073</v>
      </c>
      <c r="X244" s="86">
        <v>1</v>
      </c>
      <c r="Y244" s="46" t="str">
        <f t="shared" si="8"/>
        <v>domingo</v>
      </c>
      <c r="Z244" s="16"/>
      <c r="AA244" s="24"/>
    </row>
    <row r="245" spans="23:27" x14ac:dyDescent="0.25">
      <c r="W245" s="46">
        <v>44074</v>
      </c>
      <c r="X245" s="46"/>
      <c r="Y245" s="46" t="str">
        <f t="shared" si="8"/>
        <v>lunes</v>
      </c>
      <c r="Z245" s="16"/>
      <c r="AA245" s="24"/>
    </row>
    <row r="246" spans="23:27" x14ac:dyDescent="0.25">
      <c r="W246" s="46">
        <v>44075</v>
      </c>
      <c r="X246" s="46"/>
      <c r="Y246" s="46" t="str">
        <f t="shared" si="8"/>
        <v>martes</v>
      </c>
      <c r="Z246" s="16"/>
      <c r="AA246" s="24"/>
    </row>
    <row r="247" spans="23:27" x14ac:dyDescent="0.25">
      <c r="W247" s="46">
        <v>44076</v>
      </c>
      <c r="X247" s="86"/>
      <c r="Y247" s="46" t="str">
        <f t="shared" si="8"/>
        <v>miércoles</v>
      </c>
      <c r="Z247" s="16"/>
      <c r="AA247" s="24"/>
    </row>
    <row r="248" spans="23:27" x14ac:dyDescent="0.25">
      <c r="W248" s="46">
        <v>44077</v>
      </c>
      <c r="X248" s="46"/>
      <c r="Y248" s="46" t="str">
        <f t="shared" si="8"/>
        <v>jueves</v>
      </c>
      <c r="Z248" s="16"/>
      <c r="AA248" s="24"/>
    </row>
    <row r="249" spans="23:27" x14ac:dyDescent="0.25">
      <c r="W249" s="46">
        <v>44078</v>
      </c>
      <c r="X249" s="46"/>
      <c r="Y249" s="46" t="str">
        <f t="shared" si="8"/>
        <v>viernes</v>
      </c>
      <c r="Z249" s="16"/>
      <c r="AA249" s="24"/>
    </row>
    <row r="250" spans="23:27" x14ac:dyDescent="0.25">
      <c r="W250" s="46">
        <v>44079</v>
      </c>
      <c r="X250" s="46"/>
      <c r="Y250" s="46" t="str">
        <f t="shared" si="8"/>
        <v>sábado</v>
      </c>
      <c r="Z250" s="16"/>
      <c r="AA250" s="24"/>
    </row>
    <row r="251" spans="23:27" x14ac:dyDescent="0.25">
      <c r="W251" s="46">
        <v>44080</v>
      </c>
      <c r="X251" s="86">
        <v>1</v>
      </c>
      <c r="Y251" s="46" t="str">
        <f t="shared" si="8"/>
        <v>domingo</v>
      </c>
      <c r="Z251" s="16"/>
      <c r="AA251" s="24"/>
    </row>
    <row r="252" spans="23:27" x14ac:dyDescent="0.25">
      <c r="W252" s="46">
        <v>44081</v>
      </c>
      <c r="X252" s="46"/>
      <c r="Y252" s="46" t="str">
        <f t="shared" si="8"/>
        <v>lunes</v>
      </c>
      <c r="Z252" s="16"/>
      <c r="AA252" s="24"/>
    </row>
    <row r="253" spans="23:27" x14ac:dyDescent="0.25">
      <c r="W253" s="46">
        <v>44082</v>
      </c>
      <c r="X253" s="46"/>
      <c r="Y253" s="46" t="str">
        <f t="shared" si="8"/>
        <v>martes</v>
      </c>
      <c r="Z253" s="16"/>
      <c r="AA253" s="24"/>
    </row>
    <row r="254" spans="23:27" x14ac:dyDescent="0.25">
      <c r="W254" s="46">
        <v>44083</v>
      </c>
      <c r="X254" s="86"/>
      <c r="Y254" s="46" t="str">
        <f t="shared" si="8"/>
        <v>miércoles</v>
      </c>
      <c r="Z254" s="16"/>
      <c r="AA254" s="24"/>
    </row>
    <row r="255" spans="23:27" x14ac:dyDescent="0.25">
      <c r="W255" s="46">
        <v>44084</v>
      </c>
      <c r="X255" s="46"/>
      <c r="Y255" s="46" t="str">
        <f t="shared" si="8"/>
        <v>jueves</v>
      </c>
      <c r="Z255" s="16"/>
      <c r="AA255" s="24"/>
    </row>
    <row r="256" spans="23:27" x14ac:dyDescent="0.25">
      <c r="W256" s="46">
        <v>44085</v>
      </c>
      <c r="X256" s="46"/>
      <c r="Y256" s="46" t="str">
        <f t="shared" si="8"/>
        <v>viernes</v>
      </c>
      <c r="Z256" s="16"/>
      <c r="AA256" s="24"/>
    </row>
    <row r="257" spans="23:27" x14ac:dyDescent="0.25">
      <c r="W257" s="46">
        <v>44086</v>
      </c>
      <c r="X257" s="46"/>
      <c r="Y257" s="46" t="str">
        <f t="shared" si="8"/>
        <v>sábado</v>
      </c>
      <c r="Z257" s="16"/>
      <c r="AA257" s="24"/>
    </row>
    <row r="258" spans="23:27" x14ac:dyDescent="0.25">
      <c r="W258" s="46">
        <v>44087</v>
      </c>
      <c r="X258" s="86">
        <v>1</v>
      </c>
      <c r="Y258" s="46" t="str">
        <f t="shared" si="8"/>
        <v>domingo</v>
      </c>
      <c r="Z258" s="16"/>
      <c r="AA258" s="24"/>
    </row>
    <row r="259" spans="23:27" x14ac:dyDescent="0.25">
      <c r="W259" s="46">
        <v>44088</v>
      </c>
      <c r="X259" s="46"/>
      <c r="Y259" s="46" t="str">
        <f t="shared" ref="Y259:Y322" si="9">TEXT(W259,"ddddd")</f>
        <v>lunes</v>
      </c>
      <c r="Z259" s="16"/>
      <c r="AA259" s="24"/>
    </row>
    <row r="260" spans="23:27" x14ac:dyDescent="0.25">
      <c r="W260" s="46">
        <v>44089</v>
      </c>
      <c r="X260" s="46"/>
      <c r="Y260" s="46" t="str">
        <f t="shared" si="9"/>
        <v>martes</v>
      </c>
      <c r="Z260" s="16"/>
      <c r="AA260" s="24"/>
    </row>
    <row r="261" spans="23:27" x14ac:dyDescent="0.25">
      <c r="W261" s="46">
        <v>44090</v>
      </c>
      <c r="X261" s="86"/>
      <c r="Y261" s="46" t="str">
        <f t="shared" si="9"/>
        <v>miércoles</v>
      </c>
      <c r="Z261" s="16"/>
      <c r="AA261" s="24"/>
    </row>
    <row r="262" spans="23:27" x14ac:dyDescent="0.25">
      <c r="W262" s="46">
        <v>44091</v>
      </c>
      <c r="X262" s="46"/>
      <c r="Y262" s="46" t="str">
        <f t="shared" si="9"/>
        <v>jueves</v>
      </c>
      <c r="Z262" s="16"/>
      <c r="AA262" s="24"/>
    </row>
    <row r="263" spans="23:27" x14ac:dyDescent="0.25">
      <c r="W263" s="46">
        <v>44092</v>
      </c>
      <c r="X263" s="46"/>
      <c r="Y263" s="46" t="str">
        <f t="shared" si="9"/>
        <v>viernes</v>
      </c>
      <c r="Z263" s="16"/>
      <c r="AA263" s="24"/>
    </row>
    <row r="264" spans="23:27" x14ac:dyDescent="0.25">
      <c r="W264" s="46">
        <v>44093</v>
      </c>
      <c r="X264" s="46"/>
      <c r="Y264" s="46" t="str">
        <f t="shared" si="9"/>
        <v>sábado</v>
      </c>
      <c r="Z264" s="16"/>
      <c r="AA264" s="24"/>
    </row>
    <row r="265" spans="23:27" x14ac:dyDescent="0.25">
      <c r="W265" s="46">
        <v>44094</v>
      </c>
      <c r="X265" s="86">
        <v>1</v>
      </c>
      <c r="Y265" s="46" t="str">
        <f t="shared" si="9"/>
        <v>domingo</v>
      </c>
      <c r="Z265" s="16"/>
      <c r="AA265" s="24"/>
    </row>
    <row r="266" spans="23:27" x14ac:dyDescent="0.25">
      <c r="W266" s="46">
        <v>44095</v>
      </c>
      <c r="X266" s="46"/>
      <c r="Y266" s="46" t="str">
        <f t="shared" si="9"/>
        <v>lunes</v>
      </c>
      <c r="Z266" s="16"/>
      <c r="AA266" s="24"/>
    </row>
    <row r="267" spans="23:27" x14ac:dyDescent="0.25">
      <c r="W267" s="46">
        <v>44096</v>
      </c>
      <c r="X267" s="46"/>
      <c r="Y267" s="46" t="str">
        <f t="shared" si="9"/>
        <v>martes</v>
      </c>
      <c r="Z267" s="16"/>
      <c r="AA267" s="24"/>
    </row>
    <row r="268" spans="23:27" x14ac:dyDescent="0.25">
      <c r="W268" s="46">
        <v>44097</v>
      </c>
      <c r="X268" s="86"/>
      <c r="Y268" s="46" t="str">
        <f t="shared" si="9"/>
        <v>miércoles</v>
      </c>
      <c r="Z268" s="16"/>
      <c r="AA268" s="24"/>
    </row>
    <row r="269" spans="23:27" x14ac:dyDescent="0.25">
      <c r="W269" s="46">
        <v>44098</v>
      </c>
      <c r="X269" s="46"/>
      <c r="Y269" s="46" t="str">
        <f t="shared" si="9"/>
        <v>jueves</v>
      </c>
      <c r="Z269" s="16"/>
      <c r="AA269" s="24"/>
    </row>
    <row r="270" spans="23:27" x14ac:dyDescent="0.25">
      <c r="W270" s="46">
        <v>44099</v>
      </c>
      <c r="X270" s="46"/>
      <c r="Y270" s="46" t="str">
        <f t="shared" si="9"/>
        <v>viernes</v>
      </c>
      <c r="Z270" s="16"/>
      <c r="AA270" s="24"/>
    </row>
    <row r="271" spans="23:27" x14ac:dyDescent="0.25">
      <c r="W271" s="46">
        <v>44100</v>
      </c>
      <c r="X271" s="46"/>
      <c r="Y271" s="46" t="str">
        <f t="shared" si="9"/>
        <v>sábado</v>
      </c>
      <c r="Z271" s="16"/>
      <c r="AA271" s="24"/>
    </row>
    <row r="272" spans="23:27" x14ac:dyDescent="0.25">
      <c r="W272" s="46">
        <v>44101</v>
      </c>
      <c r="X272" s="86">
        <v>1</v>
      </c>
      <c r="Y272" s="46" t="str">
        <f t="shared" si="9"/>
        <v>domingo</v>
      </c>
      <c r="Z272" s="16"/>
      <c r="AA272" s="24"/>
    </row>
    <row r="273" spans="23:27" x14ac:dyDescent="0.25">
      <c r="W273" s="46">
        <v>44102</v>
      </c>
      <c r="X273" s="46"/>
      <c r="Y273" s="46" t="str">
        <f t="shared" si="9"/>
        <v>lunes</v>
      </c>
      <c r="Z273" s="16"/>
      <c r="AA273" s="24"/>
    </row>
    <row r="274" spans="23:27" x14ac:dyDescent="0.25">
      <c r="W274" s="46">
        <v>44103</v>
      </c>
      <c r="X274" s="46"/>
      <c r="Y274" s="46" t="str">
        <f t="shared" si="9"/>
        <v>martes</v>
      </c>
      <c r="Z274" s="16"/>
      <c r="AA274" s="24"/>
    </row>
    <row r="275" spans="23:27" x14ac:dyDescent="0.25">
      <c r="W275" s="46">
        <v>44104</v>
      </c>
      <c r="X275" s="86"/>
      <c r="Y275" s="46" t="str">
        <f t="shared" si="9"/>
        <v>miércoles</v>
      </c>
      <c r="Z275" s="16"/>
      <c r="AA275" s="24"/>
    </row>
    <row r="276" spans="23:27" x14ac:dyDescent="0.25">
      <c r="W276" s="46">
        <v>44105</v>
      </c>
      <c r="X276" s="46"/>
      <c r="Y276" s="46" t="str">
        <f t="shared" si="9"/>
        <v>jueves</v>
      </c>
      <c r="Z276" s="16"/>
      <c r="AA276" s="24"/>
    </row>
    <row r="277" spans="23:27" x14ac:dyDescent="0.25">
      <c r="W277" s="46">
        <v>44106</v>
      </c>
      <c r="X277" s="46"/>
      <c r="Y277" s="46" t="str">
        <f t="shared" si="9"/>
        <v>viernes</v>
      </c>
      <c r="Z277" s="16"/>
      <c r="AA277" s="24"/>
    </row>
    <row r="278" spans="23:27" x14ac:dyDescent="0.25">
      <c r="W278" s="46">
        <v>44107</v>
      </c>
      <c r="X278" s="46"/>
      <c r="Y278" s="46" t="str">
        <f t="shared" si="9"/>
        <v>sábado</v>
      </c>
      <c r="Z278" s="16"/>
      <c r="AA278" s="24"/>
    </row>
    <row r="279" spans="23:27" x14ac:dyDescent="0.25">
      <c r="W279" s="46">
        <v>44108</v>
      </c>
      <c r="X279" s="86">
        <v>1</v>
      </c>
      <c r="Y279" s="46" t="str">
        <f t="shared" si="9"/>
        <v>domingo</v>
      </c>
      <c r="Z279" s="16" t="s">
        <v>332</v>
      </c>
      <c r="AA279" s="24">
        <v>1</v>
      </c>
    </row>
    <row r="280" spans="23:27" x14ac:dyDescent="0.25">
      <c r="W280" s="46">
        <v>44109</v>
      </c>
      <c r="X280" s="46"/>
      <c r="Y280" s="46" t="str">
        <f t="shared" si="9"/>
        <v>lunes</v>
      </c>
      <c r="Z280" s="16" t="s">
        <v>328</v>
      </c>
      <c r="AA280" s="24">
        <v>1</v>
      </c>
    </row>
    <row r="281" spans="23:27" x14ac:dyDescent="0.25">
      <c r="W281" s="46">
        <v>44110</v>
      </c>
      <c r="X281" s="46"/>
      <c r="Y281" s="46" t="str">
        <f t="shared" si="9"/>
        <v>martes</v>
      </c>
      <c r="Z281" s="16"/>
      <c r="AA281" s="24"/>
    </row>
    <row r="282" spans="23:27" x14ac:dyDescent="0.25">
      <c r="W282" s="46">
        <v>44111</v>
      </c>
      <c r="X282" s="86"/>
      <c r="Y282" s="46" t="str">
        <f t="shared" si="9"/>
        <v>miércoles</v>
      </c>
      <c r="Z282" s="16"/>
      <c r="AA282" s="24"/>
    </row>
    <row r="283" spans="23:27" x14ac:dyDescent="0.25">
      <c r="W283" s="46">
        <v>44112</v>
      </c>
      <c r="X283" s="46"/>
      <c r="Y283" s="46" t="str">
        <f t="shared" si="9"/>
        <v>jueves</v>
      </c>
      <c r="Z283" s="16"/>
      <c r="AA283" s="24"/>
    </row>
    <row r="284" spans="23:27" x14ac:dyDescent="0.25">
      <c r="W284" s="46">
        <v>44113</v>
      </c>
      <c r="X284" s="46"/>
      <c r="Y284" s="46" t="str">
        <f t="shared" si="9"/>
        <v>viernes</v>
      </c>
      <c r="Z284" s="16"/>
      <c r="AA284" s="24"/>
    </row>
    <row r="285" spans="23:27" x14ac:dyDescent="0.25">
      <c r="W285" s="46">
        <v>44114</v>
      </c>
      <c r="X285" s="46"/>
      <c r="Y285" s="46" t="str">
        <f t="shared" si="9"/>
        <v>sábado</v>
      </c>
      <c r="Z285" s="16"/>
      <c r="AA285" s="24"/>
    </row>
    <row r="286" spans="23:27" x14ac:dyDescent="0.25">
      <c r="W286" s="46">
        <v>44115</v>
      </c>
      <c r="X286" s="86">
        <v>1</v>
      </c>
      <c r="Y286" s="46" t="str">
        <f t="shared" si="9"/>
        <v>domingo</v>
      </c>
      <c r="Z286" s="16"/>
      <c r="AA286" s="24"/>
    </row>
    <row r="287" spans="23:27" x14ac:dyDescent="0.25">
      <c r="W287" s="46">
        <v>44116</v>
      </c>
      <c r="X287" s="46"/>
      <c r="Y287" s="46" t="str">
        <f t="shared" si="9"/>
        <v>lunes</v>
      </c>
      <c r="Z287" s="16"/>
      <c r="AA287" s="24"/>
    </row>
    <row r="288" spans="23:27" x14ac:dyDescent="0.25">
      <c r="W288" s="46">
        <v>44117</v>
      </c>
      <c r="X288" s="46"/>
      <c r="Y288" s="46" t="str">
        <f t="shared" si="9"/>
        <v>martes</v>
      </c>
      <c r="Z288" s="16"/>
      <c r="AA288" s="24"/>
    </row>
    <row r="289" spans="23:27" x14ac:dyDescent="0.25">
      <c r="W289" s="46">
        <v>44118</v>
      </c>
      <c r="X289" s="86"/>
      <c r="Y289" s="46" t="str">
        <f t="shared" si="9"/>
        <v>miércoles</v>
      </c>
      <c r="Z289" s="16"/>
      <c r="AA289" s="24"/>
    </row>
    <row r="290" spans="23:27" x14ac:dyDescent="0.25">
      <c r="W290" s="46">
        <v>44119</v>
      </c>
      <c r="X290" s="46"/>
      <c r="Y290" s="46" t="str">
        <f t="shared" si="9"/>
        <v>jueves</v>
      </c>
      <c r="Z290" s="16"/>
      <c r="AA290" s="24"/>
    </row>
    <row r="291" spans="23:27" x14ac:dyDescent="0.25">
      <c r="W291" s="46">
        <v>44120</v>
      </c>
      <c r="X291" s="46"/>
      <c r="Y291" s="46" t="str">
        <f t="shared" si="9"/>
        <v>viernes</v>
      </c>
      <c r="Z291" s="16"/>
      <c r="AA291" s="24"/>
    </row>
    <row r="292" spans="23:27" x14ac:dyDescent="0.25">
      <c r="W292" s="46">
        <v>44121</v>
      </c>
      <c r="X292" s="46"/>
      <c r="Y292" s="46" t="str">
        <f t="shared" si="9"/>
        <v>sábado</v>
      </c>
      <c r="Z292" s="16"/>
      <c r="AA292" s="24"/>
    </row>
    <row r="293" spans="23:27" x14ac:dyDescent="0.25">
      <c r="W293" s="46">
        <v>44122</v>
      </c>
      <c r="X293" s="86">
        <v>1</v>
      </c>
      <c r="Y293" s="46" t="str">
        <f t="shared" si="9"/>
        <v>domingo</v>
      </c>
      <c r="Z293" s="16"/>
      <c r="AA293" s="24"/>
    </row>
    <row r="294" spans="23:27" x14ac:dyDescent="0.25">
      <c r="W294" s="46">
        <v>44123</v>
      </c>
      <c r="X294" s="46"/>
      <c r="Y294" s="46" t="str">
        <f t="shared" si="9"/>
        <v>lunes</v>
      </c>
      <c r="Z294" s="16"/>
      <c r="AA294" s="24"/>
    </row>
    <row r="295" spans="23:27" x14ac:dyDescent="0.25">
      <c r="W295" s="46">
        <v>44124</v>
      </c>
      <c r="X295" s="46"/>
      <c r="Y295" s="46" t="str">
        <f t="shared" si="9"/>
        <v>martes</v>
      </c>
      <c r="Z295" s="16"/>
      <c r="AA295" s="24"/>
    </row>
    <row r="296" spans="23:27" x14ac:dyDescent="0.25">
      <c r="W296" s="46">
        <v>44125</v>
      </c>
      <c r="X296" s="86"/>
      <c r="Y296" s="46" t="str">
        <f t="shared" si="9"/>
        <v>miércoles</v>
      </c>
      <c r="Z296" s="16"/>
      <c r="AA296" s="24"/>
    </row>
    <row r="297" spans="23:27" x14ac:dyDescent="0.25">
      <c r="W297" s="46">
        <v>44126</v>
      </c>
      <c r="X297" s="46"/>
      <c r="Y297" s="46" t="str">
        <f t="shared" si="9"/>
        <v>jueves</v>
      </c>
      <c r="Z297" s="16"/>
      <c r="AA297" s="24"/>
    </row>
    <row r="298" spans="23:27" x14ac:dyDescent="0.25">
      <c r="W298" s="46">
        <v>44127</v>
      </c>
      <c r="X298" s="46"/>
      <c r="Y298" s="46" t="str">
        <f t="shared" si="9"/>
        <v>viernes</v>
      </c>
      <c r="Z298" s="16"/>
      <c r="AA298" s="24"/>
    </row>
    <row r="299" spans="23:27" x14ac:dyDescent="0.25">
      <c r="W299" s="46">
        <v>44128</v>
      </c>
      <c r="X299" s="46"/>
      <c r="Y299" s="46" t="str">
        <f t="shared" si="9"/>
        <v>sábado</v>
      </c>
      <c r="Z299" s="16"/>
      <c r="AA299" s="24"/>
    </row>
    <row r="300" spans="23:27" x14ac:dyDescent="0.25">
      <c r="W300" s="46">
        <v>44129</v>
      </c>
      <c r="X300" s="86">
        <v>1</v>
      </c>
      <c r="Y300" s="46" t="str">
        <f t="shared" si="9"/>
        <v>domingo</v>
      </c>
      <c r="Z300" s="16"/>
      <c r="AA300" s="24"/>
    </row>
    <row r="301" spans="23:27" x14ac:dyDescent="0.25">
      <c r="W301" s="46">
        <v>44130</v>
      </c>
      <c r="X301" s="46"/>
      <c r="Y301" s="46" t="str">
        <f t="shared" si="9"/>
        <v>lunes</v>
      </c>
      <c r="Z301" s="16"/>
      <c r="AA301" s="24"/>
    </row>
    <row r="302" spans="23:27" x14ac:dyDescent="0.25">
      <c r="W302" s="46">
        <v>44131</v>
      </c>
      <c r="X302" s="46"/>
      <c r="Y302" s="46" t="str">
        <f t="shared" si="9"/>
        <v>martes</v>
      </c>
      <c r="Z302" s="16"/>
      <c r="AA302" s="24"/>
    </row>
    <row r="303" spans="23:27" x14ac:dyDescent="0.25">
      <c r="W303" s="46">
        <v>44132</v>
      </c>
      <c r="X303" s="86"/>
      <c r="Y303" s="46" t="str">
        <f t="shared" si="9"/>
        <v>miércoles</v>
      </c>
      <c r="Z303" s="16" t="s">
        <v>333</v>
      </c>
      <c r="AA303" s="24">
        <v>1</v>
      </c>
    </row>
    <row r="304" spans="23:27" x14ac:dyDescent="0.25">
      <c r="W304" s="46">
        <v>44133</v>
      </c>
      <c r="X304" s="46"/>
      <c r="Y304" s="46" t="str">
        <f t="shared" si="9"/>
        <v>jueves</v>
      </c>
      <c r="Z304" s="16"/>
      <c r="AA304" s="24"/>
    </row>
    <row r="305" spans="23:27" x14ac:dyDescent="0.25">
      <c r="W305" s="46">
        <v>44134</v>
      </c>
      <c r="X305" s="46"/>
      <c r="Y305" s="46" t="str">
        <f t="shared" si="9"/>
        <v>viernes</v>
      </c>
      <c r="Z305" s="16"/>
      <c r="AA305" s="24"/>
    </row>
    <row r="306" spans="23:27" x14ac:dyDescent="0.25">
      <c r="W306" s="46">
        <v>44135</v>
      </c>
      <c r="X306" s="46"/>
      <c r="Y306" s="46" t="str">
        <f t="shared" si="9"/>
        <v>sábado</v>
      </c>
      <c r="Z306" s="16"/>
      <c r="AA306" s="24"/>
    </row>
    <row r="307" spans="23:27" x14ac:dyDescent="0.25">
      <c r="W307" s="46">
        <v>44136</v>
      </c>
      <c r="X307" s="86">
        <v>1</v>
      </c>
      <c r="Y307" s="46" t="str">
        <f t="shared" si="9"/>
        <v>domingo</v>
      </c>
      <c r="Z307" s="16"/>
      <c r="AA307" s="24"/>
    </row>
    <row r="308" spans="23:27" x14ac:dyDescent="0.25">
      <c r="W308" s="46">
        <v>44137</v>
      </c>
      <c r="X308" s="46"/>
      <c r="Y308" s="46" t="str">
        <f t="shared" si="9"/>
        <v>lunes</v>
      </c>
      <c r="Z308" s="16"/>
      <c r="AA308" s="24"/>
    </row>
    <row r="309" spans="23:27" x14ac:dyDescent="0.25">
      <c r="W309" s="46">
        <v>44138</v>
      </c>
      <c r="X309" s="46"/>
      <c r="Y309" s="46" t="str">
        <f t="shared" si="9"/>
        <v>martes</v>
      </c>
      <c r="Z309" s="16"/>
      <c r="AA309" s="24"/>
    </row>
    <row r="310" spans="23:27" x14ac:dyDescent="0.25">
      <c r="W310" s="46">
        <v>44139</v>
      </c>
      <c r="X310" s="86"/>
      <c r="Y310" s="46" t="str">
        <f t="shared" si="9"/>
        <v>miércoles</v>
      </c>
      <c r="Z310" s="16"/>
      <c r="AA310" s="24"/>
    </row>
    <row r="311" spans="23:27" x14ac:dyDescent="0.25">
      <c r="W311" s="46">
        <v>44140</v>
      </c>
      <c r="X311" s="46"/>
      <c r="Y311" s="46" t="str">
        <f t="shared" si="9"/>
        <v>jueves</v>
      </c>
      <c r="Z311" s="16"/>
      <c r="AA311" s="24"/>
    </row>
    <row r="312" spans="23:27" x14ac:dyDescent="0.25">
      <c r="W312" s="46">
        <v>44141</v>
      </c>
      <c r="X312" s="46"/>
      <c r="Y312" s="46" t="str">
        <f t="shared" si="9"/>
        <v>viernes</v>
      </c>
      <c r="Z312" s="16"/>
      <c r="AA312" s="24"/>
    </row>
    <row r="313" spans="23:27" x14ac:dyDescent="0.25">
      <c r="W313" s="46">
        <v>44142</v>
      </c>
      <c r="X313" s="46"/>
      <c r="Y313" s="46" t="str">
        <f t="shared" si="9"/>
        <v>sábado</v>
      </c>
      <c r="Z313" s="16"/>
      <c r="AA313" s="24"/>
    </row>
    <row r="314" spans="23:27" x14ac:dyDescent="0.25">
      <c r="W314" s="46">
        <v>44143</v>
      </c>
      <c r="X314" s="86">
        <v>1</v>
      </c>
      <c r="Y314" s="46" t="str">
        <f t="shared" si="9"/>
        <v>domingo</v>
      </c>
      <c r="Z314" s="16"/>
      <c r="AA314" s="24"/>
    </row>
    <row r="315" spans="23:27" x14ac:dyDescent="0.25">
      <c r="W315" s="46">
        <v>44144</v>
      </c>
      <c r="X315" s="46"/>
      <c r="Y315" s="46" t="str">
        <f t="shared" si="9"/>
        <v>lunes</v>
      </c>
      <c r="Z315" s="16"/>
      <c r="AA315" s="24"/>
    </row>
    <row r="316" spans="23:27" x14ac:dyDescent="0.25">
      <c r="W316" s="46">
        <v>44145</v>
      </c>
      <c r="X316" s="46"/>
      <c r="Y316" s="46" t="str">
        <f t="shared" si="9"/>
        <v>martes</v>
      </c>
      <c r="Z316" s="16"/>
      <c r="AA316" s="24"/>
    </row>
    <row r="317" spans="23:27" x14ac:dyDescent="0.25">
      <c r="W317" s="46">
        <v>44146</v>
      </c>
      <c r="X317" s="86"/>
      <c r="Y317" s="46" t="str">
        <f t="shared" si="9"/>
        <v>miércoles</v>
      </c>
      <c r="Z317" s="16"/>
      <c r="AA317" s="24"/>
    </row>
    <row r="318" spans="23:27" x14ac:dyDescent="0.25">
      <c r="W318" s="46">
        <v>44147</v>
      </c>
      <c r="X318" s="46"/>
      <c r="Y318" s="46" t="str">
        <f t="shared" si="9"/>
        <v>jueves</v>
      </c>
      <c r="Z318" s="16"/>
      <c r="AA318" s="24"/>
    </row>
    <row r="319" spans="23:27" x14ac:dyDescent="0.25">
      <c r="W319" s="46">
        <v>44148</v>
      </c>
      <c r="X319" s="46"/>
      <c r="Y319" s="46" t="str">
        <f t="shared" si="9"/>
        <v>viernes</v>
      </c>
      <c r="Z319" s="16"/>
      <c r="AA319" s="24"/>
    </row>
    <row r="320" spans="23:27" x14ac:dyDescent="0.25">
      <c r="W320" s="46">
        <v>44149</v>
      </c>
      <c r="X320" s="46"/>
      <c r="Y320" s="46" t="str">
        <f t="shared" si="9"/>
        <v>sábado</v>
      </c>
      <c r="Z320" s="16"/>
      <c r="AA320" s="24"/>
    </row>
    <row r="321" spans="23:27" x14ac:dyDescent="0.25">
      <c r="W321" s="46">
        <v>44150</v>
      </c>
      <c r="X321" s="86">
        <v>1</v>
      </c>
      <c r="Y321" s="46" t="str">
        <f t="shared" si="9"/>
        <v>domingo</v>
      </c>
      <c r="Z321" s="16"/>
      <c r="AA321" s="24"/>
    </row>
    <row r="322" spans="23:27" x14ac:dyDescent="0.25">
      <c r="W322" s="46">
        <v>44151</v>
      </c>
      <c r="X322" s="46"/>
      <c r="Y322" s="46" t="str">
        <f t="shared" si="9"/>
        <v>lunes</v>
      </c>
      <c r="Z322" s="16"/>
      <c r="AA322" s="24"/>
    </row>
    <row r="323" spans="23:27" x14ac:dyDescent="0.25">
      <c r="W323" s="46">
        <v>44152</v>
      </c>
      <c r="X323" s="46"/>
      <c r="Y323" s="46" t="str">
        <f t="shared" ref="Y323:Y386" si="10">TEXT(W323,"ddddd")</f>
        <v>martes</v>
      </c>
      <c r="Z323" s="16"/>
      <c r="AA323" s="24"/>
    </row>
    <row r="324" spans="23:27" x14ac:dyDescent="0.25">
      <c r="W324" s="46">
        <v>44153</v>
      </c>
      <c r="X324" s="86"/>
      <c r="Y324" s="46" t="str">
        <f t="shared" si="10"/>
        <v>miércoles</v>
      </c>
      <c r="Z324" s="16"/>
      <c r="AA324" s="24"/>
    </row>
    <row r="325" spans="23:27" x14ac:dyDescent="0.25">
      <c r="W325" s="46">
        <v>44154</v>
      </c>
      <c r="X325" s="46"/>
      <c r="Y325" s="46" t="str">
        <f t="shared" si="10"/>
        <v>jueves</v>
      </c>
      <c r="Z325" s="16"/>
      <c r="AA325" s="24"/>
    </row>
    <row r="326" spans="23:27" x14ac:dyDescent="0.25">
      <c r="W326" s="46">
        <v>44155</v>
      </c>
      <c r="X326" s="46"/>
      <c r="Y326" s="46" t="str">
        <f t="shared" si="10"/>
        <v>viernes</v>
      </c>
      <c r="Z326" s="16"/>
      <c r="AA326" s="24"/>
    </row>
    <row r="327" spans="23:27" x14ac:dyDescent="0.25">
      <c r="W327" s="46">
        <v>44156</v>
      </c>
      <c r="X327" s="46"/>
      <c r="Y327" s="46" t="str">
        <f t="shared" si="10"/>
        <v>sábado</v>
      </c>
      <c r="Z327" s="16"/>
      <c r="AA327" s="24"/>
    </row>
    <row r="328" spans="23:27" x14ac:dyDescent="0.25">
      <c r="W328" s="46">
        <v>44157</v>
      </c>
      <c r="X328" s="86">
        <v>1</v>
      </c>
      <c r="Y328" s="46" t="str">
        <f t="shared" si="10"/>
        <v>domingo</v>
      </c>
      <c r="Z328" s="16"/>
      <c r="AA328" s="24"/>
    </row>
    <row r="329" spans="23:27" x14ac:dyDescent="0.25">
      <c r="W329" s="46">
        <v>44158</v>
      </c>
      <c r="X329" s="46"/>
      <c r="Y329" s="46" t="str">
        <f t="shared" si="10"/>
        <v>lunes</v>
      </c>
      <c r="Z329" s="16"/>
      <c r="AA329" s="24"/>
    </row>
    <row r="330" spans="23:27" x14ac:dyDescent="0.25">
      <c r="W330" s="46">
        <v>44159</v>
      </c>
      <c r="X330" s="46"/>
      <c r="Y330" s="46" t="str">
        <f t="shared" si="10"/>
        <v>martes</v>
      </c>
      <c r="Z330" s="16"/>
      <c r="AA330" s="24"/>
    </row>
    <row r="331" spans="23:27" x14ac:dyDescent="0.25">
      <c r="W331" s="46">
        <v>44160</v>
      </c>
      <c r="X331" s="86"/>
      <c r="Y331" s="46" t="str">
        <f t="shared" si="10"/>
        <v>miércoles</v>
      </c>
      <c r="Z331" s="16"/>
      <c r="AA331" s="24"/>
    </row>
    <row r="332" spans="23:27" x14ac:dyDescent="0.25">
      <c r="W332" s="46">
        <v>44161</v>
      </c>
      <c r="X332" s="46"/>
      <c r="Y332" s="46" t="str">
        <f t="shared" si="10"/>
        <v>jueves</v>
      </c>
      <c r="Z332" s="16"/>
      <c r="AA332" s="24"/>
    </row>
    <row r="333" spans="23:27" x14ac:dyDescent="0.25">
      <c r="W333" s="46">
        <v>44162</v>
      </c>
      <c r="X333" s="46"/>
      <c r="Y333" s="46" t="str">
        <f t="shared" si="10"/>
        <v>viernes</v>
      </c>
      <c r="Z333" s="16"/>
      <c r="AA333" s="24"/>
    </row>
    <row r="334" spans="23:27" x14ac:dyDescent="0.25">
      <c r="W334" s="46">
        <v>44163</v>
      </c>
      <c r="X334" s="46"/>
      <c r="Y334" s="46" t="str">
        <f t="shared" si="10"/>
        <v>sábado</v>
      </c>
      <c r="Z334" s="16"/>
      <c r="AA334" s="24"/>
    </row>
    <row r="335" spans="23:27" x14ac:dyDescent="0.25">
      <c r="W335" s="46">
        <v>44164</v>
      </c>
      <c r="X335" s="86">
        <v>1</v>
      </c>
      <c r="Y335" s="46" t="str">
        <f t="shared" si="10"/>
        <v>domingo</v>
      </c>
      <c r="Z335" s="16"/>
      <c r="AA335" s="24"/>
    </row>
    <row r="336" spans="23:27" x14ac:dyDescent="0.25">
      <c r="W336" s="46">
        <v>44165</v>
      </c>
      <c r="X336" s="46"/>
      <c r="Y336" s="46" t="str">
        <f t="shared" si="10"/>
        <v>lunes</v>
      </c>
      <c r="Z336" s="16"/>
      <c r="AA336" s="24"/>
    </row>
    <row r="337" spans="23:27" x14ac:dyDescent="0.25">
      <c r="W337" s="46">
        <v>44166</v>
      </c>
      <c r="X337" s="46"/>
      <c r="Y337" s="46" t="str">
        <f t="shared" si="10"/>
        <v>martes</v>
      </c>
      <c r="Z337" s="16"/>
      <c r="AA337" s="24"/>
    </row>
    <row r="338" spans="23:27" x14ac:dyDescent="0.25">
      <c r="W338" s="46">
        <v>44167</v>
      </c>
      <c r="X338" s="86"/>
      <c r="Y338" s="46" t="str">
        <f t="shared" si="10"/>
        <v>miércoles</v>
      </c>
      <c r="Z338" s="16"/>
      <c r="AA338" s="24"/>
    </row>
    <row r="339" spans="23:27" x14ac:dyDescent="0.25">
      <c r="W339" s="46">
        <v>44168</v>
      </c>
      <c r="X339" s="46"/>
      <c r="Y339" s="46" t="str">
        <f t="shared" si="10"/>
        <v>jueves</v>
      </c>
      <c r="Z339" s="16"/>
      <c r="AA339" s="24"/>
    </row>
    <row r="340" spans="23:27" x14ac:dyDescent="0.25">
      <c r="W340" s="46">
        <v>44169</v>
      </c>
      <c r="X340" s="46"/>
      <c r="Y340" s="46" t="str">
        <f t="shared" si="10"/>
        <v>viernes</v>
      </c>
      <c r="Z340" s="16" t="s">
        <v>334</v>
      </c>
      <c r="AA340" s="24">
        <v>1</v>
      </c>
    </row>
    <row r="341" spans="23:27" x14ac:dyDescent="0.25">
      <c r="W341" s="46">
        <v>44170</v>
      </c>
      <c r="X341" s="46"/>
      <c r="Y341" s="46" t="str">
        <f t="shared" si="10"/>
        <v>sábado</v>
      </c>
      <c r="Z341" s="16"/>
      <c r="AA341" s="24"/>
    </row>
    <row r="342" spans="23:27" x14ac:dyDescent="0.25">
      <c r="W342" s="46">
        <v>44171</v>
      </c>
      <c r="X342" s="86">
        <v>1</v>
      </c>
      <c r="Y342" s="46" t="str">
        <f t="shared" si="10"/>
        <v>domingo</v>
      </c>
      <c r="Z342" s="16"/>
      <c r="AA342" s="24"/>
    </row>
    <row r="343" spans="23:27" x14ac:dyDescent="0.25">
      <c r="W343" s="46">
        <v>44172</v>
      </c>
      <c r="X343" s="46"/>
      <c r="Y343" s="46" t="str">
        <f t="shared" si="10"/>
        <v>lunes</v>
      </c>
      <c r="Z343" s="16"/>
      <c r="AA343" s="24"/>
    </row>
    <row r="344" spans="23:27" x14ac:dyDescent="0.25">
      <c r="W344" s="46">
        <v>44173</v>
      </c>
      <c r="X344" s="46"/>
      <c r="Y344" s="46" t="str">
        <f t="shared" si="10"/>
        <v>martes</v>
      </c>
      <c r="Z344" s="16"/>
      <c r="AA344" s="24"/>
    </row>
    <row r="345" spans="23:27" x14ac:dyDescent="0.25">
      <c r="W345" s="46">
        <v>44174</v>
      </c>
      <c r="X345" s="86"/>
      <c r="Y345" s="46" t="str">
        <f t="shared" si="10"/>
        <v>miércoles</v>
      </c>
      <c r="Z345" s="16"/>
      <c r="AA345" s="24"/>
    </row>
    <row r="346" spans="23:27" x14ac:dyDescent="0.25">
      <c r="W346" s="46">
        <v>44175</v>
      </c>
      <c r="X346" s="46"/>
      <c r="Y346" s="46" t="str">
        <f t="shared" si="10"/>
        <v>jueves</v>
      </c>
      <c r="Z346" s="16"/>
      <c r="AA346" s="24"/>
    </row>
    <row r="347" spans="23:27" x14ac:dyDescent="0.25">
      <c r="W347" s="46">
        <v>44176</v>
      </c>
      <c r="X347" s="46"/>
      <c r="Y347" s="46" t="str">
        <f t="shared" si="10"/>
        <v>viernes</v>
      </c>
      <c r="Z347" s="16"/>
      <c r="AA347" s="24"/>
    </row>
    <row r="348" spans="23:27" x14ac:dyDescent="0.25">
      <c r="W348" s="46">
        <v>44177</v>
      </c>
      <c r="X348" s="46"/>
      <c r="Y348" s="46" t="str">
        <f t="shared" si="10"/>
        <v>sábado</v>
      </c>
      <c r="Z348" s="16"/>
      <c r="AA348" s="24"/>
    </row>
    <row r="349" spans="23:27" x14ac:dyDescent="0.25">
      <c r="W349" s="46">
        <v>44178</v>
      </c>
      <c r="X349" s="86">
        <v>1</v>
      </c>
      <c r="Y349" s="46" t="str">
        <f t="shared" si="10"/>
        <v>domingo</v>
      </c>
      <c r="Z349" s="16"/>
      <c r="AA349" s="24"/>
    </row>
    <row r="350" spans="23:27" x14ac:dyDescent="0.25">
      <c r="W350" s="46">
        <v>44179</v>
      </c>
      <c r="X350" s="46"/>
      <c r="Y350" s="46" t="str">
        <f t="shared" si="10"/>
        <v>lunes</v>
      </c>
      <c r="Z350" s="16"/>
      <c r="AA350" s="24"/>
    </row>
    <row r="351" spans="23:27" x14ac:dyDescent="0.25">
      <c r="W351" s="46">
        <v>44180</v>
      </c>
      <c r="X351" s="46"/>
      <c r="Y351" s="46" t="str">
        <f t="shared" si="10"/>
        <v>martes</v>
      </c>
      <c r="Z351" s="16"/>
      <c r="AA351" s="24"/>
    </row>
    <row r="352" spans="23:27" x14ac:dyDescent="0.25">
      <c r="W352" s="46">
        <v>44181</v>
      </c>
      <c r="X352" s="86"/>
      <c r="Y352" s="46" t="str">
        <f t="shared" si="10"/>
        <v>miércoles</v>
      </c>
      <c r="Z352" s="16"/>
      <c r="AA352" s="24"/>
    </row>
    <row r="353" spans="23:27" x14ac:dyDescent="0.25">
      <c r="W353" s="46">
        <v>44182</v>
      </c>
      <c r="X353" s="46"/>
      <c r="Y353" s="46" t="str">
        <f t="shared" si="10"/>
        <v>jueves</v>
      </c>
      <c r="Z353" s="16"/>
      <c r="AA353" s="24"/>
    </row>
    <row r="354" spans="23:27" x14ac:dyDescent="0.25">
      <c r="W354" s="46">
        <v>44183</v>
      </c>
      <c r="X354" s="46"/>
      <c r="Y354" s="46" t="str">
        <f t="shared" si="10"/>
        <v>viernes</v>
      </c>
      <c r="Z354" s="16"/>
      <c r="AA354" s="24"/>
    </row>
    <row r="355" spans="23:27" x14ac:dyDescent="0.25">
      <c r="W355" s="46">
        <v>44184</v>
      </c>
      <c r="X355" s="46"/>
      <c r="Y355" s="46" t="str">
        <f t="shared" si="10"/>
        <v>sábado</v>
      </c>
      <c r="Z355" s="16"/>
      <c r="AA355" s="24"/>
    </row>
    <row r="356" spans="23:27" x14ac:dyDescent="0.25">
      <c r="W356" s="46">
        <v>44185</v>
      </c>
      <c r="X356" s="86">
        <v>1</v>
      </c>
      <c r="Y356" s="46" t="str">
        <f t="shared" si="10"/>
        <v>domingo</v>
      </c>
      <c r="Z356" s="16"/>
      <c r="AA356" s="24"/>
    </row>
    <row r="357" spans="23:27" x14ac:dyDescent="0.25">
      <c r="W357" s="46">
        <v>44186</v>
      </c>
      <c r="X357" s="46"/>
      <c r="Y357" s="46" t="str">
        <f t="shared" si="10"/>
        <v>lunes</v>
      </c>
      <c r="Z357" s="16" t="s">
        <v>335</v>
      </c>
      <c r="AA357" s="24">
        <v>1</v>
      </c>
    </row>
    <row r="358" spans="23:27" x14ac:dyDescent="0.25">
      <c r="W358" s="46">
        <v>44187</v>
      </c>
      <c r="X358" s="46"/>
      <c r="Y358" s="46" t="str">
        <f t="shared" si="10"/>
        <v>martes</v>
      </c>
      <c r="Z358" s="16"/>
      <c r="AA358" s="24"/>
    </row>
    <row r="359" spans="23:27" x14ac:dyDescent="0.25">
      <c r="W359" s="46">
        <v>44188</v>
      </c>
      <c r="X359" s="86"/>
      <c r="Y359" s="46" t="str">
        <f t="shared" si="10"/>
        <v>miércoles</v>
      </c>
      <c r="Z359" s="16"/>
      <c r="AA359" s="24"/>
    </row>
    <row r="360" spans="23:27" x14ac:dyDescent="0.25">
      <c r="W360" s="46">
        <v>44189</v>
      </c>
      <c r="X360" s="46"/>
      <c r="Y360" s="46" t="str">
        <f t="shared" si="10"/>
        <v>jueves</v>
      </c>
      <c r="Z360" s="16"/>
      <c r="AA360" s="24"/>
    </row>
    <row r="361" spans="23:27" x14ac:dyDescent="0.25">
      <c r="W361" s="46">
        <v>44190</v>
      </c>
      <c r="X361" s="46"/>
      <c r="Y361" s="46" t="str">
        <f t="shared" si="10"/>
        <v>viernes</v>
      </c>
      <c r="Z361" s="16"/>
      <c r="AA361" s="24"/>
    </row>
    <row r="362" spans="23:27" x14ac:dyDescent="0.25">
      <c r="W362" s="46">
        <v>44191</v>
      </c>
      <c r="X362" s="46"/>
      <c r="Y362" s="46" t="str">
        <f t="shared" si="10"/>
        <v>sábado</v>
      </c>
      <c r="Z362" s="16"/>
      <c r="AA362" s="24"/>
    </row>
    <row r="363" spans="23:27" x14ac:dyDescent="0.25">
      <c r="W363" s="46">
        <v>44192</v>
      </c>
      <c r="X363" s="86">
        <v>1</v>
      </c>
      <c r="Y363" s="46" t="str">
        <f t="shared" si="10"/>
        <v>domingo</v>
      </c>
      <c r="Z363" s="16" t="s">
        <v>328</v>
      </c>
      <c r="AA363" s="24">
        <v>1</v>
      </c>
    </row>
    <row r="364" spans="23:27" x14ac:dyDescent="0.25">
      <c r="W364" s="46">
        <v>44193</v>
      </c>
      <c r="Y364" s="46" t="str">
        <f t="shared" si="10"/>
        <v>lunes</v>
      </c>
    </row>
    <row r="365" spans="23:27" x14ac:dyDescent="0.25">
      <c r="W365" s="46">
        <v>44194</v>
      </c>
      <c r="Y365" s="46" t="str">
        <f t="shared" si="10"/>
        <v>martes</v>
      </c>
    </row>
    <row r="366" spans="23:27" x14ac:dyDescent="0.25">
      <c r="W366" s="46">
        <v>44195</v>
      </c>
      <c r="Y366" s="46" t="str">
        <f t="shared" si="10"/>
        <v>miércoles</v>
      </c>
    </row>
    <row r="367" spans="23:27" x14ac:dyDescent="0.25">
      <c r="W367" s="46">
        <v>44196</v>
      </c>
      <c r="Y367" s="46" t="str">
        <f t="shared" si="10"/>
        <v>jueves</v>
      </c>
    </row>
    <row r="368" spans="23:27" x14ac:dyDescent="0.25">
      <c r="W368" s="46">
        <v>44197</v>
      </c>
      <c r="Y368" s="46" t="str">
        <f t="shared" si="10"/>
        <v>viernes</v>
      </c>
    </row>
    <row r="369" spans="23:25" x14ac:dyDescent="0.25">
      <c r="W369" s="46">
        <v>44198</v>
      </c>
      <c r="Y369" s="46" t="str">
        <f t="shared" si="10"/>
        <v>sábado</v>
      </c>
    </row>
    <row r="370" spans="23:25" x14ac:dyDescent="0.25">
      <c r="W370" s="46">
        <v>44199</v>
      </c>
      <c r="X370" s="86">
        <v>1</v>
      </c>
      <c r="Y370" s="46" t="str">
        <f t="shared" si="10"/>
        <v>domingo</v>
      </c>
    </row>
    <row r="371" spans="23:25" x14ac:dyDescent="0.25">
      <c r="W371" s="46">
        <v>44200</v>
      </c>
      <c r="Y371" s="46" t="str">
        <f t="shared" si="10"/>
        <v>lunes</v>
      </c>
    </row>
    <row r="372" spans="23:25" x14ac:dyDescent="0.25">
      <c r="W372" s="46">
        <v>44201</v>
      </c>
      <c r="Y372" s="46" t="str">
        <f t="shared" si="10"/>
        <v>martes</v>
      </c>
    </row>
    <row r="373" spans="23:25" x14ac:dyDescent="0.25">
      <c r="W373" s="46">
        <v>44202</v>
      </c>
      <c r="Y373" s="46" t="str">
        <f t="shared" si="10"/>
        <v>miércoles</v>
      </c>
    </row>
    <row r="374" spans="23:25" x14ac:dyDescent="0.25">
      <c r="W374" s="46">
        <v>44203</v>
      </c>
      <c r="Y374" s="46" t="str">
        <f t="shared" si="10"/>
        <v>jueves</v>
      </c>
    </row>
    <row r="375" spans="23:25" x14ac:dyDescent="0.25">
      <c r="W375" s="46">
        <v>44204</v>
      </c>
      <c r="Y375" s="46" t="str">
        <f t="shared" si="10"/>
        <v>viernes</v>
      </c>
    </row>
    <row r="376" spans="23:25" x14ac:dyDescent="0.25">
      <c r="W376" s="46">
        <v>44205</v>
      </c>
      <c r="Y376" s="46" t="str">
        <f t="shared" si="10"/>
        <v>sábado</v>
      </c>
    </row>
    <row r="377" spans="23:25" x14ac:dyDescent="0.25">
      <c r="W377" s="46">
        <v>44206</v>
      </c>
      <c r="X377" s="86">
        <v>1</v>
      </c>
      <c r="Y377" s="46" t="str">
        <f t="shared" si="10"/>
        <v>domingo</v>
      </c>
    </row>
    <row r="378" spans="23:25" x14ac:dyDescent="0.25">
      <c r="W378" s="46">
        <v>44207</v>
      </c>
      <c r="Y378" s="46" t="str">
        <f t="shared" si="10"/>
        <v>lunes</v>
      </c>
    </row>
    <row r="379" spans="23:25" x14ac:dyDescent="0.25">
      <c r="W379" s="46">
        <v>44208</v>
      </c>
      <c r="Y379" s="46" t="str">
        <f t="shared" si="10"/>
        <v>martes</v>
      </c>
    </row>
    <row r="380" spans="23:25" x14ac:dyDescent="0.25">
      <c r="W380" s="46">
        <v>44209</v>
      </c>
      <c r="Y380" s="46" t="str">
        <f t="shared" si="10"/>
        <v>miércoles</v>
      </c>
    </row>
    <row r="381" spans="23:25" x14ac:dyDescent="0.25">
      <c r="W381" s="46">
        <v>44210</v>
      </c>
      <c r="Y381" s="46" t="str">
        <f t="shared" si="10"/>
        <v>jueves</v>
      </c>
    </row>
    <row r="382" spans="23:25" x14ac:dyDescent="0.25">
      <c r="W382" s="46">
        <v>44211</v>
      </c>
      <c r="Y382" s="46" t="str">
        <f t="shared" si="10"/>
        <v>viernes</v>
      </c>
    </row>
    <row r="383" spans="23:25" x14ac:dyDescent="0.25">
      <c r="W383" s="46">
        <v>44212</v>
      </c>
      <c r="Y383" s="46" t="str">
        <f t="shared" si="10"/>
        <v>sábado</v>
      </c>
    </row>
    <row r="384" spans="23:25" x14ac:dyDescent="0.25">
      <c r="W384" s="46">
        <v>44213</v>
      </c>
      <c r="X384" s="86">
        <v>1</v>
      </c>
      <c r="Y384" s="46" t="str">
        <f t="shared" si="10"/>
        <v>domingo</v>
      </c>
    </row>
    <row r="385" spans="23:25" x14ac:dyDescent="0.25">
      <c r="W385" s="46">
        <v>44214</v>
      </c>
      <c r="Y385" s="46" t="str">
        <f t="shared" si="10"/>
        <v>lunes</v>
      </c>
    </row>
    <row r="386" spans="23:25" x14ac:dyDescent="0.25">
      <c r="W386" s="46">
        <v>44215</v>
      </c>
      <c r="Y386" s="46" t="str">
        <f t="shared" si="10"/>
        <v>martes</v>
      </c>
    </row>
    <row r="387" spans="23:25" x14ac:dyDescent="0.25">
      <c r="W387" s="46">
        <v>44216</v>
      </c>
      <c r="Y387" s="46" t="str">
        <f t="shared" ref="Y387:Y450" si="11">TEXT(W387,"ddddd")</f>
        <v>miércoles</v>
      </c>
    </row>
    <row r="388" spans="23:25" x14ac:dyDescent="0.25">
      <c r="W388" s="46">
        <v>44217</v>
      </c>
      <c r="Y388" s="46" t="str">
        <f t="shared" si="11"/>
        <v>jueves</v>
      </c>
    </row>
    <row r="389" spans="23:25" x14ac:dyDescent="0.25">
      <c r="W389" s="46">
        <v>44218</v>
      </c>
      <c r="Y389" s="46" t="str">
        <f t="shared" si="11"/>
        <v>viernes</v>
      </c>
    </row>
    <row r="390" spans="23:25" x14ac:dyDescent="0.25">
      <c r="W390" s="46">
        <v>44219</v>
      </c>
      <c r="Y390" s="46" t="str">
        <f t="shared" si="11"/>
        <v>sábado</v>
      </c>
    </row>
    <row r="391" spans="23:25" x14ac:dyDescent="0.25">
      <c r="W391" s="46">
        <v>44220</v>
      </c>
      <c r="X391" s="86">
        <v>1</v>
      </c>
      <c r="Y391" s="46" t="str">
        <f t="shared" si="11"/>
        <v>domingo</v>
      </c>
    </row>
    <row r="392" spans="23:25" x14ac:dyDescent="0.25">
      <c r="W392" s="46">
        <v>44221</v>
      </c>
      <c r="Y392" s="46" t="str">
        <f t="shared" si="11"/>
        <v>lunes</v>
      </c>
    </row>
    <row r="393" spans="23:25" x14ac:dyDescent="0.25">
      <c r="W393" s="46">
        <v>44222</v>
      </c>
      <c r="Y393" s="46" t="str">
        <f t="shared" si="11"/>
        <v>martes</v>
      </c>
    </row>
    <row r="394" spans="23:25" x14ac:dyDescent="0.25">
      <c r="W394" s="46">
        <v>44223</v>
      </c>
      <c r="Y394" s="46" t="str">
        <f t="shared" si="11"/>
        <v>miércoles</v>
      </c>
    </row>
    <row r="395" spans="23:25" x14ac:dyDescent="0.25">
      <c r="W395" s="46">
        <v>44224</v>
      </c>
      <c r="Y395" s="46" t="str">
        <f t="shared" si="11"/>
        <v>jueves</v>
      </c>
    </row>
    <row r="396" spans="23:25" x14ac:dyDescent="0.25">
      <c r="W396" s="46">
        <v>44225</v>
      </c>
      <c r="Y396" s="46" t="str">
        <f t="shared" si="11"/>
        <v>viernes</v>
      </c>
    </row>
    <row r="397" spans="23:25" x14ac:dyDescent="0.25">
      <c r="W397" s="46">
        <v>44226</v>
      </c>
      <c r="Y397" s="46" t="str">
        <f t="shared" si="11"/>
        <v>sábado</v>
      </c>
    </row>
    <row r="398" spans="23:25" x14ac:dyDescent="0.25">
      <c r="W398" s="46">
        <v>44227</v>
      </c>
      <c r="X398" s="86">
        <v>1</v>
      </c>
      <c r="Y398" s="46" t="str">
        <f t="shared" si="11"/>
        <v>domingo</v>
      </c>
    </row>
    <row r="399" spans="23:25" x14ac:dyDescent="0.25">
      <c r="W399" s="46">
        <v>44228</v>
      </c>
      <c r="Y399" s="46" t="str">
        <f t="shared" si="11"/>
        <v>lunes</v>
      </c>
    </row>
    <row r="400" spans="23:25" x14ac:dyDescent="0.25">
      <c r="W400" s="46">
        <v>44229</v>
      </c>
      <c r="Y400" s="46" t="str">
        <f t="shared" si="11"/>
        <v>martes</v>
      </c>
    </row>
    <row r="401" spans="23:25" x14ac:dyDescent="0.25">
      <c r="W401" s="46">
        <v>44230</v>
      </c>
      <c r="Y401" s="46" t="str">
        <f t="shared" si="11"/>
        <v>miércoles</v>
      </c>
    </row>
    <row r="402" spans="23:25" x14ac:dyDescent="0.25">
      <c r="W402" s="46">
        <v>44231</v>
      </c>
      <c r="Y402" s="46" t="str">
        <f t="shared" si="11"/>
        <v>jueves</v>
      </c>
    </row>
    <row r="403" spans="23:25" x14ac:dyDescent="0.25">
      <c r="W403" s="46">
        <v>44232</v>
      </c>
      <c r="Y403" s="46" t="str">
        <f t="shared" si="11"/>
        <v>viernes</v>
      </c>
    </row>
    <row r="404" spans="23:25" x14ac:dyDescent="0.25">
      <c r="W404" s="46">
        <v>44233</v>
      </c>
      <c r="Y404" s="46" t="str">
        <f t="shared" si="11"/>
        <v>sábado</v>
      </c>
    </row>
    <row r="405" spans="23:25" x14ac:dyDescent="0.25">
      <c r="W405" s="46">
        <v>44234</v>
      </c>
      <c r="X405" s="86">
        <v>1</v>
      </c>
      <c r="Y405" s="46" t="str">
        <f t="shared" si="11"/>
        <v>domingo</v>
      </c>
    </row>
    <row r="406" spans="23:25" x14ac:dyDescent="0.25">
      <c r="W406" s="46">
        <v>44235</v>
      </c>
      <c r="Y406" s="46" t="str">
        <f t="shared" si="11"/>
        <v>lunes</v>
      </c>
    </row>
    <row r="407" spans="23:25" x14ac:dyDescent="0.25">
      <c r="W407" s="46">
        <v>44236</v>
      </c>
      <c r="Y407" s="46" t="str">
        <f t="shared" si="11"/>
        <v>martes</v>
      </c>
    </row>
    <row r="408" spans="23:25" x14ac:dyDescent="0.25">
      <c r="W408" s="46">
        <v>44237</v>
      </c>
      <c r="Y408" s="46" t="str">
        <f t="shared" si="11"/>
        <v>miércoles</v>
      </c>
    </row>
    <row r="409" spans="23:25" x14ac:dyDescent="0.25">
      <c r="W409" s="46">
        <v>44238</v>
      </c>
      <c r="Y409" s="46" t="str">
        <f t="shared" si="11"/>
        <v>jueves</v>
      </c>
    </row>
    <row r="410" spans="23:25" x14ac:dyDescent="0.25">
      <c r="W410" s="46">
        <v>44239</v>
      </c>
      <c r="Y410" s="46" t="str">
        <f t="shared" si="11"/>
        <v>viernes</v>
      </c>
    </row>
    <row r="411" spans="23:25" x14ac:dyDescent="0.25">
      <c r="W411" s="46">
        <v>44240</v>
      </c>
      <c r="Y411" s="46" t="str">
        <f t="shared" si="11"/>
        <v>sábado</v>
      </c>
    </row>
    <row r="412" spans="23:25" x14ac:dyDescent="0.25">
      <c r="W412" s="46">
        <v>44241</v>
      </c>
      <c r="X412" s="86">
        <v>1</v>
      </c>
      <c r="Y412" s="46" t="str">
        <f t="shared" si="11"/>
        <v>domingo</v>
      </c>
    </row>
    <row r="413" spans="23:25" x14ac:dyDescent="0.25">
      <c r="W413" s="46">
        <v>44242</v>
      </c>
      <c r="Y413" s="46" t="str">
        <f t="shared" si="11"/>
        <v>lunes</v>
      </c>
    </row>
    <row r="414" spans="23:25" x14ac:dyDescent="0.25">
      <c r="W414" s="46">
        <v>44243</v>
      </c>
      <c r="Y414" s="46" t="str">
        <f t="shared" si="11"/>
        <v>martes</v>
      </c>
    </row>
    <row r="415" spans="23:25" x14ac:dyDescent="0.25">
      <c r="W415" s="46">
        <v>44244</v>
      </c>
      <c r="Y415" s="46" t="str">
        <f t="shared" si="11"/>
        <v>miércoles</v>
      </c>
    </row>
    <row r="416" spans="23:25" x14ac:dyDescent="0.25">
      <c r="W416" s="46">
        <v>44245</v>
      </c>
      <c r="Y416" s="46" t="str">
        <f t="shared" si="11"/>
        <v>jueves</v>
      </c>
    </row>
    <row r="417" spans="23:25" x14ac:dyDescent="0.25">
      <c r="W417" s="46">
        <v>44246</v>
      </c>
      <c r="Y417" s="46" t="str">
        <f t="shared" si="11"/>
        <v>viernes</v>
      </c>
    </row>
    <row r="418" spans="23:25" x14ac:dyDescent="0.25">
      <c r="W418" s="46">
        <v>44247</v>
      </c>
      <c r="Y418" s="46" t="str">
        <f t="shared" si="11"/>
        <v>sábado</v>
      </c>
    </row>
    <row r="419" spans="23:25" x14ac:dyDescent="0.25">
      <c r="W419" s="46">
        <v>44248</v>
      </c>
      <c r="X419" s="86">
        <v>1</v>
      </c>
      <c r="Y419" s="46" t="str">
        <f t="shared" si="11"/>
        <v>domingo</v>
      </c>
    </row>
    <row r="420" spans="23:25" x14ac:dyDescent="0.25">
      <c r="W420" s="46">
        <v>44249</v>
      </c>
      <c r="Y420" s="46" t="str">
        <f t="shared" si="11"/>
        <v>lunes</v>
      </c>
    </row>
    <row r="421" spans="23:25" x14ac:dyDescent="0.25">
      <c r="W421" s="46">
        <v>44250</v>
      </c>
      <c r="Y421" s="46" t="str">
        <f t="shared" si="11"/>
        <v>martes</v>
      </c>
    </row>
    <row r="422" spans="23:25" x14ac:dyDescent="0.25">
      <c r="W422" s="46">
        <v>44251</v>
      </c>
      <c r="Y422" s="46" t="str">
        <f t="shared" si="11"/>
        <v>miércoles</v>
      </c>
    </row>
    <row r="423" spans="23:25" x14ac:dyDescent="0.25">
      <c r="W423" s="46">
        <v>44252</v>
      </c>
      <c r="Y423" s="46" t="str">
        <f t="shared" si="11"/>
        <v>jueves</v>
      </c>
    </row>
    <row r="424" spans="23:25" x14ac:dyDescent="0.25">
      <c r="W424" s="46">
        <v>44253</v>
      </c>
      <c r="Y424" s="46" t="str">
        <f t="shared" si="11"/>
        <v>viernes</v>
      </c>
    </row>
    <row r="425" spans="23:25" x14ac:dyDescent="0.25">
      <c r="W425" s="46">
        <v>44254</v>
      </c>
      <c r="Y425" s="46" t="str">
        <f t="shared" si="11"/>
        <v>sábado</v>
      </c>
    </row>
    <row r="426" spans="23:25" x14ac:dyDescent="0.25">
      <c r="W426" s="46">
        <v>44255</v>
      </c>
      <c r="X426" s="86">
        <v>1</v>
      </c>
      <c r="Y426" s="46" t="str">
        <f t="shared" si="11"/>
        <v>domingo</v>
      </c>
    </row>
    <row r="427" spans="23:25" x14ac:dyDescent="0.25">
      <c r="W427" s="46">
        <v>44256</v>
      </c>
      <c r="Y427" s="46" t="str">
        <f t="shared" si="11"/>
        <v>lunes</v>
      </c>
    </row>
    <row r="428" spans="23:25" x14ac:dyDescent="0.25">
      <c r="W428" s="46">
        <v>44257</v>
      </c>
      <c r="Y428" s="46" t="str">
        <f t="shared" si="11"/>
        <v>martes</v>
      </c>
    </row>
    <row r="429" spans="23:25" x14ac:dyDescent="0.25">
      <c r="W429" s="46">
        <v>44258</v>
      </c>
      <c r="Y429" s="46" t="str">
        <f t="shared" si="11"/>
        <v>miércoles</v>
      </c>
    </row>
    <row r="430" spans="23:25" x14ac:dyDescent="0.25">
      <c r="W430" s="46">
        <v>44259</v>
      </c>
      <c r="Y430" s="46" t="str">
        <f t="shared" si="11"/>
        <v>jueves</v>
      </c>
    </row>
    <row r="431" spans="23:25" x14ac:dyDescent="0.25">
      <c r="W431" s="46">
        <v>44260</v>
      </c>
      <c r="Y431" s="46" t="str">
        <f t="shared" si="11"/>
        <v>viernes</v>
      </c>
    </row>
    <row r="432" spans="23:25" x14ac:dyDescent="0.25">
      <c r="W432" s="46">
        <v>44261</v>
      </c>
      <c r="Y432" s="46" t="str">
        <f t="shared" si="11"/>
        <v>sábado</v>
      </c>
    </row>
    <row r="433" spans="23:25" x14ac:dyDescent="0.25">
      <c r="W433" s="46">
        <v>44262</v>
      </c>
      <c r="X433" s="86">
        <v>1</v>
      </c>
      <c r="Y433" s="46" t="str">
        <f t="shared" si="11"/>
        <v>domingo</v>
      </c>
    </row>
    <row r="434" spans="23:25" x14ac:dyDescent="0.25">
      <c r="W434" s="46">
        <v>44263</v>
      </c>
      <c r="Y434" s="46" t="str">
        <f t="shared" si="11"/>
        <v>lunes</v>
      </c>
    </row>
    <row r="435" spans="23:25" x14ac:dyDescent="0.25">
      <c r="W435" s="46">
        <v>44264</v>
      </c>
      <c r="Y435" s="46" t="str">
        <f t="shared" si="11"/>
        <v>martes</v>
      </c>
    </row>
    <row r="436" spans="23:25" x14ac:dyDescent="0.25">
      <c r="W436" s="46">
        <v>44265</v>
      </c>
      <c r="Y436" s="46" t="str">
        <f t="shared" si="11"/>
        <v>miércoles</v>
      </c>
    </row>
    <row r="437" spans="23:25" x14ac:dyDescent="0.25">
      <c r="W437" s="46">
        <v>44266</v>
      </c>
      <c r="Y437" s="46" t="str">
        <f t="shared" si="11"/>
        <v>jueves</v>
      </c>
    </row>
    <row r="438" spans="23:25" x14ac:dyDescent="0.25">
      <c r="W438" s="46">
        <v>44267</v>
      </c>
      <c r="Y438" s="46" t="str">
        <f t="shared" si="11"/>
        <v>viernes</v>
      </c>
    </row>
    <row r="439" spans="23:25" x14ac:dyDescent="0.25">
      <c r="W439" s="46">
        <v>44268</v>
      </c>
      <c r="Y439" s="46" t="str">
        <f t="shared" si="11"/>
        <v>sábado</v>
      </c>
    </row>
    <row r="440" spans="23:25" x14ac:dyDescent="0.25">
      <c r="W440" s="46">
        <v>44269</v>
      </c>
      <c r="X440" s="86">
        <v>1</v>
      </c>
      <c r="Y440" s="46" t="str">
        <f t="shared" si="11"/>
        <v>domingo</v>
      </c>
    </row>
    <row r="441" spans="23:25" x14ac:dyDescent="0.25">
      <c r="W441" s="46">
        <v>44270</v>
      </c>
      <c r="Y441" s="46" t="str">
        <f t="shared" si="11"/>
        <v>lunes</v>
      </c>
    </row>
    <row r="442" spans="23:25" x14ac:dyDescent="0.25">
      <c r="W442" s="46">
        <v>44271</v>
      </c>
      <c r="Y442" s="46" t="str">
        <f t="shared" si="11"/>
        <v>martes</v>
      </c>
    </row>
    <row r="443" spans="23:25" x14ac:dyDescent="0.25">
      <c r="W443" s="46">
        <v>44272</v>
      </c>
      <c r="Y443" s="46" t="str">
        <f t="shared" si="11"/>
        <v>miércoles</v>
      </c>
    </row>
    <row r="444" spans="23:25" x14ac:dyDescent="0.25">
      <c r="W444" s="46">
        <v>44273</v>
      </c>
      <c r="Y444" s="46" t="str">
        <f t="shared" si="11"/>
        <v>jueves</v>
      </c>
    </row>
    <row r="445" spans="23:25" x14ac:dyDescent="0.25">
      <c r="W445" s="46">
        <v>44274</v>
      </c>
      <c r="Y445" s="46" t="str">
        <f t="shared" si="11"/>
        <v>viernes</v>
      </c>
    </row>
    <row r="446" spans="23:25" x14ac:dyDescent="0.25">
      <c r="W446" s="46">
        <v>44275</v>
      </c>
      <c r="Y446" s="46" t="str">
        <f t="shared" si="11"/>
        <v>sábado</v>
      </c>
    </row>
    <row r="447" spans="23:25" x14ac:dyDescent="0.25">
      <c r="W447" s="46">
        <v>44276</v>
      </c>
      <c r="X447" s="86">
        <v>1</v>
      </c>
      <c r="Y447" s="46" t="str">
        <f t="shared" si="11"/>
        <v>domingo</v>
      </c>
    </row>
    <row r="448" spans="23:25" x14ac:dyDescent="0.25">
      <c r="W448" s="46">
        <v>44277</v>
      </c>
      <c r="Y448" s="46" t="str">
        <f t="shared" si="11"/>
        <v>lunes</v>
      </c>
    </row>
    <row r="449" spans="23:25" x14ac:dyDescent="0.25">
      <c r="W449" s="46">
        <v>44278</v>
      </c>
      <c r="Y449" s="46" t="str">
        <f t="shared" si="11"/>
        <v>martes</v>
      </c>
    </row>
    <row r="450" spans="23:25" x14ac:dyDescent="0.25">
      <c r="W450" s="46">
        <v>44279</v>
      </c>
      <c r="Y450" s="46" t="str">
        <f t="shared" si="11"/>
        <v>miércoles</v>
      </c>
    </row>
    <row r="451" spans="23:25" x14ac:dyDescent="0.25">
      <c r="W451" s="46">
        <v>44280</v>
      </c>
      <c r="Y451" s="46" t="str">
        <f t="shared" ref="Y451:Y514" si="12">TEXT(W451,"ddddd")</f>
        <v>jueves</v>
      </c>
    </row>
    <row r="452" spans="23:25" x14ac:dyDescent="0.25">
      <c r="W452" s="46">
        <v>44281</v>
      </c>
      <c r="Y452" s="46" t="str">
        <f t="shared" si="12"/>
        <v>viernes</v>
      </c>
    </row>
    <row r="453" spans="23:25" x14ac:dyDescent="0.25">
      <c r="W453" s="46">
        <v>44282</v>
      </c>
      <c r="Y453" s="46" t="str">
        <f t="shared" si="12"/>
        <v>sábado</v>
      </c>
    </row>
    <row r="454" spans="23:25" x14ac:dyDescent="0.25">
      <c r="W454" s="46">
        <v>44283</v>
      </c>
      <c r="X454" s="86">
        <v>1</v>
      </c>
      <c r="Y454" s="46" t="str">
        <f t="shared" si="12"/>
        <v>domingo</v>
      </c>
    </row>
    <row r="455" spans="23:25" x14ac:dyDescent="0.25">
      <c r="W455" s="46">
        <v>44284</v>
      </c>
      <c r="Y455" s="46" t="str">
        <f t="shared" si="12"/>
        <v>lunes</v>
      </c>
    </row>
    <row r="456" spans="23:25" x14ac:dyDescent="0.25">
      <c r="W456" s="46">
        <v>44285</v>
      </c>
      <c r="Y456" s="46" t="str">
        <f t="shared" si="12"/>
        <v>martes</v>
      </c>
    </row>
    <row r="457" spans="23:25" x14ac:dyDescent="0.25">
      <c r="W457" s="46">
        <v>44286</v>
      </c>
      <c r="Y457" s="46" t="str">
        <f t="shared" si="12"/>
        <v>miércoles</v>
      </c>
    </row>
    <row r="458" spans="23:25" x14ac:dyDescent="0.25">
      <c r="W458" s="46">
        <v>44287</v>
      </c>
      <c r="Y458" s="46" t="str">
        <f t="shared" si="12"/>
        <v>jueves</v>
      </c>
    </row>
    <row r="459" spans="23:25" x14ac:dyDescent="0.25">
      <c r="W459" s="46">
        <v>44288</v>
      </c>
      <c r="Y459" s="46" t="str">
        <f t="shared" si="12"/>
        <v>viernes</v>
      </c>
    </row>
    <row r="460" spans="23:25" x14ac:dyDescent="0.25">
      <c r="W460" s="46">
        <v>44289</v>
      </c>
      <c r="Y460" s="46" t="str">
        <f t="shared" si="12"/>
        <v>sábado</v>
      </c>
    </row>
    <row r="461" spans="23:25" x14ac:dyDescent="0.25">
      <c r="W461" s="46">
        <v>44290</v>
      </c>
      <c r="X461" s="86">
        <v>1</v>
      </c>
      <c r="Y461" s="46" t="str">
        <f t="shared" si="12"/>
        <v>domingo</v>
      </c>
    </row>
    <row r="462" spans="23:25" x14ac:dyDescent="0.25">
      <c r="W462" s="46">
        <v>44291</v>
      </c>
      <c r="Y462" s="46" t="str">
        <f t="shared" si="12"/>
        <v>lunes</v>
      </c>
    </row>
    <row r="463" spans="23:25" x14ac:dyDescent="0.25">
      <c r="W463" s="46">
        <v>44292</v>
      </c>
      <c r="Y463" s="46" t="str">
        <f t="shared" si="12"/>
        <v>martes</v>
      </c>
    </row>
    <row r="464" spans="23:25" x14ac:dyDescent="0.25">
      <c r="W464" s="46">
        <v>44293</v>
      </c>
      <c r="Y464" s="46" t="str">
        <f t="shared" si="12"/>
        <v>miércoles</v>
      </c>
    </row>
    <row r="465" spans="23:25" x14ac:dyDescent="0.25">
      <c r="W465" s="46">
        <v>44294</v>
      </c>
      <c r="Y465" s="46" t="str">
        <f t="shared" si="12"/>
        <v>jueves</v>
      </c>
    </row>
    <row r="466" spans="23:25" x14ac:dyDescent="0.25">
      <c r="W466" s="46">
        <v>44295</v>
      </c>
      <c r="Y466" s="46" t="str">
        <f t="shared" si="12"/>
        <v>viernes</v>
      </c>
    </row>
    <row r="467" spans="23:25" x14ac:dyDescent="0.25">
      <c r="W467" s="46">
        <v>44296</v>
      </c>
      <c r="Y467" s="46" t="str">
        <f t="shared" si="12"/>
        <v>sábado</v>
      </c>
    </row>
    <row r="468" spans="23:25" x14ac:dyDescent="0.25">
      <c r="W468" s="46">
        <v>44297</v>
      </c>
      <c r="X468" s="86">
        <v>1</v>
      </c>
      <c r="Y468" s="46" t="str">
        <f t="shared" si="12"/>
        <v>domingo</v>
      </c>
    </row>
    <row r="469" spans="23:25" x14ac:dyDescent="0.25">
      <c r="W469" s="46">
        <v>44298</v>
      </c>
      <c r="Y469" s="46" t="str">
        <f t="shared" si="12"/>
        <v>lunes</v>
      </c>
    </row>
    <row r="470" spans="23:25" x14ac:dyDescent="0.25">
      <c r="W470" s="46">
        <v>44299</v>
      </c>
      <c r="Y470" s="46" t="str">
        <f t="shared" si="12"/>
        <v>martes</v>
      </c>
    </row>
    <row r="471" spans="23:25" x14ac:dyDescent="0.25">
      <c r="W471" s="46">
        <v>44300</v>
      </c>
      <c r="Y471" s="46" t="str">
        <f t="shared" si="12"/>
        <v>miércoles</v>
      </c>
    </row>
    <row r="472" spans="23:25" x14ac:dyDescent="0.25">
      <c r="W472" s="46">
        <v>44301</v>
      </c>
      <c r="Y472" s="46" t="str">
        <f t="shared" si="12"/>
        <v>jueves</v>
      </c>
    </row>
    <row r="473" spans="23:25" x14ac:dyDescent="0.25">
      <c r="W473" s="46">
        <v>44302</v>
      </c>
      <c r="Y473" s="46" t="str">
        <f t="shared" si="12"/>
        <v>viernes</v>
      </c>
    </row>
    <row r="474" spans="23:25" x14ac:dyDescent="0.25">
      <c r="W474" s="46">
        <v>44303</v>
      </c>
      <c r="Y474" s="46" t="str">
        <f t="shared" si="12"/>
        <v>sábado</v>
      </c>
    </row>
    <row r="475" spans="23:25" x14ac:dyDescent="0.25">
      <c r="W475" s="46">
        <v>44304</v>
      </c>
      <c r="X475" s="86">
        <v>1</v>
      </c>
      <c r="Y475" s="46" t="str">
        <f t="shared" si="12"/>
        <v>domingo</v>
      </c>
    </row>
    <row r="476" spans="23:25" x14ac:dyDescent="0.25">
      <c r="W476" s="46">
        <v>44305</v>
      </c>
      <c r="Y476" s="46" t="str">
        <f t="shared" si="12"/>
        <v>lunes</v>
      </c>
    </row>
    <row r="477" spans="23:25" x14ac:dyDescent="0.25">
      <c r="W477" s="46">
        <v>44306</v>
      </c>
      <c r="Y477" s="46" t="str">
        <f t="shared" si="12"/>
        <v>martes</v>
      </c>
    </row>
    <row r="478" spans="23:25" x14ac:dyDescent="0.25">
      <c r="W478" s="46">
        <v>44307</v>
      </c>
      <c r="Y478" s="46" t="str">
        <f t="shared" si="12"/>
        <v>miércoles</v>
      </c>
    </row>
    <row r="479" spans="23:25" x14ac:dyDescent="0.25">
      <c r="W479" s="46">
        <v>44308</v>
      </c>
      <c r="Y479" s="46" t="str">
        <f t="shared" si="12"/>
        <v>jueves</v>
      </c>
    </row>
    <row r="480" spans="23:25" x14ac:dyDescent="0.25">
      <c r="W480" s="46">
        <v>44309</v>
      </c>
      <c r="Y480" s="46" t="str">
        <f t="shared" si="12"/>
        <v>viernes</v>
      </c>
    </row>
    <row r="481" spans="23:25" x14ac:dyDescent="0.25">
      <c r="W481" s="46">
        <v>44310</v>
      </c>
      <c r="Y481" s="46" t="str">
        <f t="shared" si="12"/>
        <v>sábado</v>
      </c>
    </row>
    <row r="482" spans="23:25" x14ac:dyDescent="0.25">
      <c r="W482" s="46">
        <v>44311</v>
      </c>
      <c r="X482" s="86">
        <v>1</v>
      </c>
      <c r="Y482" s="46" t="str">
        <f t="shared" si="12"/>
        <v>domingo</v>
      </c>
    </row>
    <row r="483" spans="23:25" x14ac:dyDescent="0.25">
      <c r="W483" s="46">
        <v>44312</v>
      </c>
      <c r="Y483" s="46" t="str">
        <f t="shared" si="12"/>
        <v>lunes</v>
      </c>
    </row>
    <row r="484" spans="23:25" x14ac:dyDescent="0.25">
      <c r="W484" s="46">
        <v>44313</v>
      </c>
      <c r="Y484" s="46" t="str">
        <f t="shared" si="12"/>
        <v>martes</v>
      </c>
    </row>
    <row r="485" spans="23:25" x14ac:dyDescent="0.25">
      <c r="W485" s="46">
        <v>44314</v>
      </c>
      <c r="Y485" s="46" t="str">
        <f t="shared" si="12"/>
        <v>miércoles</v>
      </c>
    </row>
    <row r="486" spans="23:25" x14ac:dyDescent="0.25">
      <c r="W486" s="46">
        <v>44315</v>
      </c>
      <c r="Y486" s="46" t="str">
        <f t="shared" si="12"/>
        <v>jueves</v>
      </c>
    </row>
    <row r="487" spans="23:25" x14ac:dyDescent="0.25">
      <c r="W487" s="46">
        <v>44316</v>
      </c>
      <c r="Y487" s="46" t="str">
        <f t="shared" si="12"/>
        <v>viernes</v>
      </c>
    </row>
    <row r="488" spans="23:25" x14ac:dyDescent="0.25">
      <c r="W488" s="46">
        <v>44317</v>
      </c>
      <c r="Y488" s="46" t="str">
        <f t="shared" si="12"/>
        <v>sábado</v>
      </c>
    </row>
    <row r="489" spans="23:25" x14ac:dyDescent="0.25">
      <c r="W489" s="46">
        <v>44318</v>
      </c>
      <c r="X489" s="86">
        <v>1</v>
      </c>
      <c r="Y489" s="46" t="str">
        <f t="shared" si="12"/>
        <v>domingo</v>
      </c>
    </row>
    <row r="490" spans="23:25" x14ac:dyDescent="0.25">
      <c r="W490" s="46">
        <v>44319</v>
      </c>
      <c r="Y490" s="46" t="str">
        <f t="shared" si="12"/>
        <v>lunes</v>
      </c>
    </row>
    <row r="491" spans="23:25" x14ac:dyDescent="0.25">
      <c r="W491" s="46">
        <v>44320</v>
      </c>
      <c r="Y491" s="46" t="str">
        <f t="shared" si="12"/>
        <v>martes</v>
      </c>
    </row>
    <row r="492" spans="23:25" x14ac:dyDescent="0.25">
      <c r="W492" s="46">
        <v>44321</v>
      </c>
      <c r="Y492" s="46" t="str">
        <f t="shared" si="12"/>
        <v>miércoles</v>
      </c>
    </row>
    <row r="493" spans="23:25" x14ac:dyDescent="0.25">
      <c r="W493" s="46">
        <v>44322</v>
      </c>
      <c r="Y493" s="46" t="str">
        <f t="shared" si="12"/>
        <v>jueves</v>
      </c>
    </row>
    <row r="494" spans="23:25" x14ac:dyDescent="0.25">
      <c r="W494" s="46">
        <v>44323</v>
      </c>
      <c r="Y494" s="46" t="str">
        <f t="shared" si="12"/>
        <v>viernes</v>
      </c>
    </row>
    <row r="495" spans="23:25" x14ac:dyDescent="0.25">
      <c r="W495" s="46">
        <v>44324</v>
      </c>
      <c r="Y495" s="46" t="str">
        <f t="shared" si="12"/>
        <v>sábado</v>
      </c>
    </row>
    <row r="496" spans="23:25" x14ac:dyDescent="0.25">
      <c r="W496" s="46">
        <v>44325</v>
      </c>
      <c r="X496" s="86">
        <v>1</v>
      </c>
      <c r="Y496" s="46" t="str">
        <f t="shared" si="12"/>
        <v>domingo</v>
      </c>
    </row>
    <row r="497" spans="23:25" x14ac:dyDescent="0.25">
      <c r="W497" s="46">
        <v>44326</v>
      </c>
      <c r="Y497" s="46" t="str">
        <f t="shared" si="12"/>
        <v>lunes</v>
      </c>
    </row>
    <row r="498" spans="23:25" x14ac:dyDescent="0.25">
      <c r="W498" s="46">
        <v>44327</v>
      </c>
      <c r="Y498" s="46" t="str">
        <f t="shared" si="12"/>
        <v>martes</v>
      </c>
    </row>
    <row r="499" spans="23:25" x14ac:dyDescent="0.25">
      <c r="W499" s="46">
        <v>44328</v>
      </c>
      <c r="Y499" s="46" t="str">
        <f t="shared" si="12"/>
        <v>miércoles</v>
      </c>
    </row>
    <row r="500" spans="23:25" x14ac:dyDescent="0.25">
      <c r="W500" s="46">
        <v>44329</v>
      </c>
      <c r="Y500" s="46" t="str">
        <f t="shared" si="12"/>
        <v>jueves</v>
      </c>
    </row>
    <row r="501" spans="23:25" x14ac:dyDescent="0.25">
      <c r="W501" s="46">
        <v>44330</v>
      </c>
      <c r="Y501" s="46" t="str">
        <f t="shared" si="12"/>
        <v>viernes</v>
      </c>
    </row>
    <row r="502" spans="23:25" x14ac:dyDescent="0.25">
      <c r="W502" s="46">
        <v>44331</v>
      </c>
      <c r="Y502" s="46" t="str">
        <f t="shared" si="12"/>
        <v>sábado</v>
      </c>
    </row>
    <row r="503" spans="23:25" x14ac:dyDescent="0.25">
      <c r="W503" s="46">
        <v>44332</v>
      </c>
      <c r="X503" s="86">
        <v>1</v>
      </c>
      <c r="Y503" s="46" t="str">
        <f t="shared" si="12"/>
        <v>domingo</v>
      </c>
    </row>
    <row r="504" spans="23:25" x14ac:dyDescent="0.25">
      <c r="W504" s="46">
        <v>44333</v>
      </c>
      <c r="Y504" s="46" t="str">
        <f t="shared" si="12"/>
        <v>lunes</v>
      </c>
    </row>
    <row r="505" spans="23:25" x14ac:dyDescent="0.25">
      <c r="W505" s="46">
        <v>44334</v>
      </c>
      <c r="Y505" s="46" t="str">
        <f t="shared" si="12"/>
        <v>martes</v>
      </c>
    </row>
    <row r="506" spans="23:25" x14ac:dyDescent="0.25">
      <c r="W506" s="46">
        <v>44335</v>
      </c>
      <c r="Y506" s="46" t="str">
        <f t="shared" si="12"/>
        <v>miércoles</v>
      </c>
    </row>
    <row r="507" spans="23:25" x14ac:dyDescent="0.25">
      <c r="W507" s="46">
        <v>44336</v>
      </c>
      <c r="Y507" s="46" t="str">
        <f t="shared" si="12"/>
        <v>jueves</v>
      </c>
    </row>
    <row r="508" spans="23:25" x14ac:dyDescent="0.25">
      <c r="W508" s="46">
        <v>44337</v>
      </c>
      <c r="Y508" s="46" t="str">
        <f t="shared" si="12"/>
        <v>viernes</v>
      </c>
    </row>
    <row r="509" spans="23:25" x14ac:dyDescent="0.25">
      <c r="W509" s="46">
        <v>44338</v>
      </c>
      <c r="Y509" s="46" t="str">
        <f t="shared" si="12"/>
        <v>sábado</v>
      </c>
    </row>
    <row r="510" spans="23:25" x14ac:dyDescent="0.25">
      <c r="W510" s="46">
        <v>44339</v>
      </c>
      <c r="X510" s="86">
        <v>1</v>
      </c>
      <c r="Y510" s="46" t="str">
        <f t="shared" si="12"/>
        <v>domingo</v>
      </c>
    </row>
    <row r="511" spans="23:25" x14ac:dyDescent="0.25">
      <c r="W511" s="46">
        <v>44340</v>
      </c>
      <c r="Y511" s="46" t="str">
        <f t="shared" si="12"/>
        <v>lunes</v>
      </c>
    </row>
    <row r="512" spans="23:25" x14ac:dyDescent="0.25">
      <c r="W512" s="46">
        <v>44341</v>
      </c>
      <c r="Y512" s="46" t="str">
        <f t="shared" si="12"/>
        <v>martes</v>
      </c>
    </row>
    <row r="513" spans="23:25" x14ac:dyDescent="0.25">
      <c r="W513" s="46">
        <v>44342</v>
      </c>
      <c r="Y513" s="46" t="str">
        <f t="shared" si="12"/>
        <v>miércoles</v>
      </c>
    </row>
    <row r="514" spans="23:25" x14ac:dyDescent="0.25">
      <c r="W514" s="46">
        <v>44343</v>
      </c>
      <c r="Y514" s="46" t="str">
        <f t="shared" si="12"/>
        <v>jueves</v>
      </c>
    </row>
    <row r="515" spans="23:25" x14ac:dyDescent="0.25">
      <c r="W515" s="46">
        <v>44344</v>
      </c>
      <c r="Y515" s="46" t="str">
        <f t="shared" ref="Y515:Y578" si="13">TEXT(W515,"ddddd")</f>
        <v>viernes</v>
      </c>
    </row>
    <row r="516" spans="23:25" x14ac:dyDescent="0.25">
      <c r="W516" s="46">
        <v>44345</v>
      </c>
      <c r="Y516" s="46" t="str">
        <f t="shared" si="13"/>
        <v>sábado</v>
      </c>
    </row>
    <row r="517" spans="23:25" x14ac:dyDescent="0.25">
      <c r="W517" s="46">
        <v>44346</v>
      </c>
      <c r="X517" s="86">
        <v>1</v>
      </c>
      <c r="Y517" s="46" t="str">
        <f t="shared" si="13"/>
        <v>domingo</v>
      </c>
    </row>
    <row r="518" spans="23:25" x14ac:dyDescent="0.25">
      <c r="W518" s="46">
        <v>44347</v>
      </c>
      <c r="Y518" s="46" t="str">
        <f t="shared" si="13"/>
        <v>lunes</v>
      </c>
    </row>
    <row r="519" spans="23:25" x14ac:dyDescent="0.25">
      <c r="W519" s="46">
        <v>44348</v>
      </c>
      <c r="Y519" s="46" t="str">
        <f t="shared" si="13"/>
        <v>martes</v>
      </c>
    </row>
    <row r="520" spans="23:25" x14ac:dyDescent="0.25">
      <c r="W520" s="46">
        <v>44349</v>
      </c>
      <c r="Y520" s="46" t="str">
        <f t="shared" si="13"/>
        <v>miércoles</v>
      </c>
    </row>
    <row r="521" spans="23:25" x14ac:dyDescent="0.25">
      <c r="W521" s="46">
        <v>44350</v>
      </c>
      <c r="Y521" s="46" t="str">
        <f t="shared" si="13"/>
        <v>jueves</v>
      </c>
    </row>
    <row r="522" spans="23:25" x14ac:dyDescent="0.25">
      <c r="W522" s="46">
        <v>44351</v>
      </c>
      <c r="Y522" s="46" t="str">
        <f t="shared" si="13"/>
        <v>viernes</v>
      </c>
    </row>
    <row r="523" spans="23:25" x14ac:dyDescent="0.25">
      <c r="W523" s="46">
        <v>44352</v>
      </c>
      <c r="Y523" s="46" t="str">
        <f t="shared" si="13"/>
        <v>sábado</v>
      </c>
    </row>
    <row r="524" spans="23:25" x14ac:dyDescent="0.25">
      <c r="W524" s="46">
        <v>44353</v>
      </c>
      <c r="X524" s="86">
        <v>1</v>
      </c>
      <c r="Y524" s="46" t="str">
        <f t="shared" si="13"/>
        <v>domingo</v>
      </c>
    </row>
    <row r="525" spans="23:25" x14ac:dyDescent="0.25">
      <c r="W525" s="46">
        <v>44354</v>
      </c>
      <c r="Y525" s="46" t="str">
        <f t="shared" si="13"/>
        <v>lunes</v>
      </c>
    </row>
    <row r="526" spans="23:25" x14ac:dyDescent="0.25">
      <c r="W526" s="46">
        <v>44355</v>
      </c>
      <c r="Y526" s="46" t="str">
        <f t="shared" si="13"/>
        <v>martes</v>
      </c>
    </row>
    <row r="527" spans="23:25" x14ac:dyDescent="0.25">
      <c r="W527" s="46">
        <v>44356</v>
      </c>
      <c r="Y527" s="46" t="str">
        <f t="shared" si="13"/>
        <v>miércoles</v>
      </c>
    </row>
    <row r="528" spans="23:25" x14ac:dyDescent="0.25">
      <c r="W528" s="46">
        <v>44357</v>
      </c>
      <c r="Y528" s="46" t="str">
        <f t="shared" si="13"/>
        <v>jueves</v>
      </c>
    </row>
    <row r="529" spans="23:25" x14ac:dyDescent="0.25">
      <c r="W529" s="46">
        <v>44358</v>
      </c>
      <c r="Y529" s="46" t="str">
        <f t="shared" si="13"/>
        <v>viernes</v>
      </c>
    </row>
    <row r="530" spans="23:25" x14ac:dyDescent="0.25">
      <c r="W530" s="46">
        <v>44359</v>
      </c>
      <c r="Y530" s="46" t="str">
        <f t="shared" si="13"/>
        <v>sábado</v>
      </c>
    </row>
    <row r="531" spans="23:25" x14ac:dyDescent="0.25">
      <c r="W531" s="46">
        <v>44360</v>
      </c>
      <c r="X531" s="86">
        <v>1</v>
      </c>
      <c r="Y531" s="46" t="str">
        <f t="shared" si="13"/>
        <v>domingo</v>
      </c>
    </row>
    <row r="532" spans="23:25" x14ac:dyDescent="0.25">
      <c r="W532" s="46">
        <v>44361</v>
      </c>
      <c r="Y532" s="46" t="str">
        <f t="shared" si="13"/>
        <v>lunes</v>
      </c>
    </row>
    <row r="533" spans="23:25" x14ac:dyDescent="0.25">
      <c r="W533" s="46">
        <v>44362</v>
      </c>
      <c r="Y533" s="46" t="str">
        <f t="shared" si="13"/>
        <v>martes</v>
      </c>
    </row>
    <row r="534" spans="23:25" x14ac:dyDescent="0.25">
      <c r="W534" s="46">
        <v>44363</v>
      </c>
      <c r="Y534" s="46" t="str">
        <f t="shared" si="13"/>
        <v>miércoles</v>
      </c>
    </row>
    <row r="535" spans="23:25" x14ac:dyDescent="0.25">
      <c r="W535" s="46">
        <v>44364</v>
      </c>
      <c r="Y535" s="46" t="str">
        <f t="shared" si="13"/>
        <v>jueves</v>
      </c>
    </row>
    <row r="536" spans="23:25" x14ac:dyDescent="0.25">
      <c r="W536" s="46">
        <v>44365</v>
      </c>
      <c r="Y536" s="46" t="str">
        <f t="shared" si="13"/>
        <v>viernes</v>
      </c>
    </row>
    <row r="537" spans="23:25" x14ac:dyDescent="0.25">
      <c r="W537" s="46">
        <v>44366</v>
      </c>
      <c r="Y537" s="46" t="str">
        <f t="shared" si="13"/>
        <v>sábado</v>
      </c>
    </row>
    <row r="538" spans="23:25" x14ac:dyDescent="0.25">
      <c r="W538" s="46">
        <v>44367</v>
      </c>
      <c r="X538" s="86">
        <v>1</v>
      </c>
      <c r="Y538" s="46" t="str">
        <f t="shared" si="13"/>
        <v>domingo</v>
      </c>
    </row>
    <row r="539" spans="23:25" x14ac:dyDescent="0.25">
      <c r="W539" s="46">
        <v>44368</v>
      </c>
      <c r="Y539" s="46" t="str">
        <f t="shared" si="13"/>
        <v>lunes</v>
      </c>
    </row>
    <row r="540" spans="23:25" x14ac:dyDescent="0.25">
      <c r="W540" s="46">
        <v>44369</v>
      </c>
      <c r="Y540" s="46" t="str">
        <f t="shared" si="13"/>
        <v>martes</v>
      </c>
    </row>
    <row r="541" spans="23:25" x14ac:dyDescent="0.25">
      <c r="W541" s="46">
        <v>44370</v>
      </c>
      <c r="Y541" s="46" t="str">
        <f t="shared" si="13"/>
        <v>miércoles</v>
      </c>
    </row>
    <row r="542" spans="23:25" x14ac:dyDescent="0.25">
      <c r="W542" s="46">
        <v>44371</v>
      </c>
      <c r="Y542" s="46" t="str">
        <f t="shared" si="13"/>
        <v>jueves</v>
      </c>
    </row>
    <row r="543" spans="23:25" x14ac:dyDescent="0.25">
      <c r="W543" s="46">
        <v>44372</v>
      </c>
      <c r="Y543" s="46" t="str">
        <f t="shared" si="13"/>
        <v>viernes</v>
      </c>
    </row>
    <row r="544" spans="23:25" x14ac:dyDescent="0.25">
      <c r="W544" s="46">
        <v>44373</v>
      </c>
      <c r="Y544" s="46" t="str">
        <f t="shared" si="13"/>
        <v>sábado</v>
      </c>
    </row>
    <row r="545" spans="23:25" x14ac:dyDescent="0.25">
      <c r="W545" s="46">
        <v>44374</v>
      </c>
      <c r="X545" s="86">
        <v>1</v>
      </c>
      <c r="Y545" s="46" t="str">
        <f t="shared" si="13"/>
        <v>domingo</v>
      </c>
    </row>
    <row r="546" spans="23:25" x14ac:dyDescent="0.25">
      <c r="W546" s="46">
        <v>44375</v>
      </c>
      <c r="Y546" s="46" t="str">
        <f t="shared" si="13"/>
        <v>lunes</v>
      </c>
    </row>
    <row r="547" spans="23:25" x14ac:dyDescent="0.25">
      <c r="W547" s="46">
        <v>44376</v>
      </c>
      <c r="Y547" s="46" t="str">
        <f t="shared" si="13"/>
        <v>martes</v>
      </c>
    </row>
    <row r="548" spans="23:25" x14ac:dyDescent="0.25">
      <c r="W548" s="46">
        <v>44377</v>
      </c>
      <c r="Y548" s="46" t="str">
        <f t="shared" si="13"/>
        <v>miércoles</v>
      </c>
    </row>
    <row r="549" spans="23:25" x14ac:dyDescent="0.25">
      <c r="W549" s="46">
        <v>44378</v>
      </c>
      <c r="Y549" s="46" t="str">
        <f t="shared" si="13"/>
        <v>jueves</v>
      </c>
    </row>
    <row r="550" spans="23:25" x14ac:dyDescent="0.25">
      <c r="W550" s="46">
        <v>44379</v>
      </c>
      <c r="Y550" s="46" t="str">
        <f t="shared" si="13"/>
        <v>viernes</v>
      </c>
    </row>
    <row r="551" spans="23:25" x14ac:dyDescent="0.25">
      <c r="W551" s="46">
        <v>44380</v>
      </c>
      <c r="Y551" s="46" t="str">
        <f t="shared" si="13"/>
        <v>sábado</v>
      </c>
    </row>
    <row r="552" spans="23:25" x14ac:dyDescent="0.25">
      <c r="W552" s="46">
        <v>44381</v>
      </c>
      <c r="X552" s="86">
        <v>1</v>
      </c>
      <c r="Y552" s="46" t="str">
        <f t="shared" si="13"/>
        <v>domingo</v>
      </c>
    </row>
    <row r="553" spans="23:25" x14ac:dyDescent="0.25">
      <c r="W553" s="46">
        <v>44382</v>
      </c>
      <c r="Y553" s="46" t="str">
        <f t="shared" si="13"/>
        <v>lunes</v>
      </c>
    </row>
    <row r="554" spans="23:25" x14ac:dyDescent="0.25">
      <c r="W554" s="46">
        <v>44383</v>
      </c>
      <c r="Y554" s="46" t="str">
        <f t="shared" si="13"/>
        <v>martes</v>
      </c>
    </row>
    <row r="555" spans="23:25" x14ac:dyDescent="0.25">
      <c r="W555" s="46">
        <v>44384</v>
      </c>
      <c r="Y555" s="46" t="str">
        <f t="shared" si="13"/>
        <v>miércoles</v>
      </c>
    </row>
    <row r="556" spans="23:25" x14ac:dyDescent="0.25">
      <c r="W556" s="46">
        <v>44385</v>
      </c>
      <c r="Y556" s="46" t="str">
        <f t="shared" si="13"/>
        <v>jueves</v>
      </c>
    </row>
    <row r="557" spans="23:25" x14ac:dyDescent="0.25">
      <c r="W557" s="46">
        <v>44386</v>
      </c>
      <c r="Y557" s="46" t="str">
        <f t="shared" si="13"/>
        <v>viernes</v>
      </c>
    </row>
    <row r="558" spans="23:25" x14ac:dyDescent="0.25">
      <c r="W558" s="46">
        <v>44387</v>
      </c>
      <c r="Y558" s="46" t="str">
        <f t="shared" si="13"/>
        <v>sábado</v>
      </c>
    </row>
    <row r="559" spans="23:25" x14ac:dyDescent="0.25">
      <c r="W559" s="46">
        <v>44388</v>
      </c>
      <c r="X559" s="86">
        <v>1</v>
      </c>
      <c r="Y559" s="46" t="str">
        <f t="shared" si="13"/>
        <v>domingo</v>
      </c>
    </row>
    <row r="560" spans="23:25" x14ac:dyDescent="0.25">
      <c r="W560" s="46">
        <v>44389</v>
      </c>
      <c r="Y560" s="46" t="str">
        <f t="shared" si="13"/>
        <v>lunes</v>
      </c>
    </row>
    <row r="561" spans="23:25" x14ac:dyDescent="0.25">
      <c r="W561" s="46">
        <v>44390</v>
      </c>
      <c r="Y561" s="46" t="str">
        <f t="shared" si="13"/>
        <v>martes</v>
      </c>
    </row>
    <row r="562" spans="23:25" x14ac:dyDescent="0.25">
      <c r="W562" s="46">
        <v>44391</v>
      </c>
      <c r="Y562" s="46" t="str">
        <f t="shared" si="13"/>
        <v>miércoles</v>
      </c>
    </row>
    <row r="563" spans="23:25" x14ac:dyDescent="0.25">
      <c r="W563" s="46">
        <v>44392</v>
      </c>
      <c r="Y563" s="46" t="str">
        <f t="shared" si="13"/>
        <v>jueves</v>
      </c>
    </row>
    <row r="564" spans="23:25" x14ac:dyDescent="0.25">
      <c r="W564" s="46">
        <v>44393</v>
      </c>
      <c r="Y564" s="46" t="str">
        <f t="shared" si="13"/>
        <v>viernes</v>
      </c>
    </row>
    <row r="565" spans="23:25" x14ac:dyDescent="0.25">
      <c r="W565" s="46">
        <v>44394</v>
      </c>
      <c r="Y565" s="46" t="str">
        <f t="shared" si="13"/>
        <v>sábado</v>
      </c>
    </row>
    <row r="566" spans="23:25" x14ac:dyDescent="0.25">
      <c r="W566" s="46">
        <v>44395</v>
      </c>
      <c r="X566" s="86">
        <v>1</v>
      </c>
      <c r="Y566" s="46" t="str">
        <f t="shared" si="13"/>
        <v>domingo</v>
      </c>
    </row>
    <row r="567" spans="23:25" x14ac:dyDescent="0.25">
      <c r="W567" s="46">
        <v>44396</v>
      </c>
      <c r="Y567" s="46" t="str">
        <f t="shared" si="13"/>
        <v>lunes</v>
      </c>
    </row>
    <row r="568" spans="23:25" x14ac:dyDescent="0.25">
      <c r="W568" s="46">
        <v>44397</v>
      </c>
      <c r="Y568" s="46" t="str">
        <f t="shared" si="13"/>
        <v>martes</v>
      </c>
    </row>
    <row r="569" spans="23:25" x14ac:dyDescent="0.25">
      <c r="W569" s="46">
        <v>44398</v>
      </c>
      <c r="Y569" s="46" t="str">
        <f t="shared" si="13"/>
        <v>miércoles</v>
      </c>
    </row>
    <row r="570" spans="23:25" x14ac:dyDescent="0.25">
      <c r="W570" s="46">
        <v>44399</v>
      </c>
      <c r="Y570" s="46" t="str">
        <f t="shared" si="13"/>
        <v>jueves</v>
      </c>
    </row>
    <row r="571" spans="23:25" x14ac:dyDescent="0.25">
      <c r="W571" s="46">
        <v>44400</v>
      </c>
      <c r="Y571" s="46" t="str">
        <f t="shared" si="13"/>
        <v>viernes</v>
      </c>
    </row>
    <row r="572" spans="23:25" x14ac:dyDescent="0.25">
      <c r="W572" s="46">
        <v>44401</v>
      </c>
      <c r="Y572" s="46" t="str">
        <f t="shared" si="13"/>
        <v>sábado</v>
      </c>
    </row>
    <row r="573" spans="23:25" x14ac:dyDescent="0.25">
      <c r="W573" s="46">
        <v>44402</v>
      </c>
      <c r="X573" s="86">
        <v>1</v>
      </c>
      <c r="Y573" s="46" t="str">
        <f t="shared" si="13"/>
        <v>domingo</v>
      </c>
    </row>
    <row r="574" spans="23:25" x14ac:dyDescent="0.25">
      <c r="W574" s="46">
        <v>44403</v>
      </c>
      <c r="Y574" s="46" t="str">
        <f t="shared" si="13"/>
        <v>lunes</v>
      </c>
    </row>
    <row r="575" spans="23:25" x14ac:dyDescent="0.25">
      <c r="W575" s="46">
        <v>44404</v>
      </c>
      <c r="Y575" s="46" t="str">
        <f t="shared" si="13"/>
        <v>martes</v>
      </c>
    </row>
    <row r="576" spans="23:25" x14ac:dyDescent="0.25">
      <c r="W576" s="46">
        <v>44405</v>
      </c>
      <c r="Y576" s="46" t="str">
        <f t="shared" si="13"/>
        <v>miércoles</v>
      </c>
    </row>
    <row r="577" spans="23:25" x14ac:dyDescent="0.25">
      <c r="W577" s="46">
        <v>44406</v>
      </c>
      <c r="Y577" s="46" t="str">
        <f t="shared" si="13"/>
        <v>jueves</v>
      </c>
    </row>
    <row r="578" spans="23:25" x14ac:dyDescent="0.25">
      <c r="W578" s="46">
        <v>44407</v>
      </c>
      <c r="Y578" s="46" t="str">
        <f t="shared" si="13"/>
        <v>viernes</v>
      </c>
    </row>
    <row r="579" spans="23:25" x14ac:dyDescent="0.25">
      <c r="W579" s="46">
        <v>44408</v>
      </c>
      <c r="Y579" s="46" t="str">
        <f t="shared" ref="Y579:Y642" si="14">TEXT(W579,"ddddd")</f>
        <v>sábado</v>
      </c>
    </row>
    <row r="580" spans="23:25" x14ac:dyDescent="0.25">
      <c r="W580" s="46">
        <v>44409</v>
      </c>
      <c r="X580" s="86">
        <v>1</v>
      </c>
      <c r="Y580" s="46" t="str">
        <f t="shared" si="14"/>
        <v>domingo</v>
      </c>
    </row>
    <row r="581" spans="23:25" x14ac:dyDescent="0.25">
      <c r="W581" s="46">
        <v>44410</v>
      </c>
      <c r="Y581" s="46" t="str">
        <f t="shared" si="14"/>
        <v>lunes</v>
      </c>
    </row>
    <row r="582" spans="23:25" x14ac:dyDescent="0.25">
      <c r="W582" s="46">
        <v>44411</v>
      </c>
      <c r="Y582" s="46" t="str">
        <f t="shared" si="14"/>
        <v>martes</v>
      </c>
    </row>
    <row r="583" spans="23:25" x14ac:dyDescent="0.25">
      <c r="W583" s="46">
        <v>44412</v>
      </c>
      <c r="Y583" s="46" t="str">
        <f t="shared" si="14"/>
        <v>miércoles</v>
      </c>
    </row>
    <row r="584" spans="23:25" x14ac:dyDescent="0.25">
      <c r="W584" s="46">
        <v>44413</v>
      </c>
      <c r="Y584" s="46" t="str">
        <f t="shared" si="14"/>
        <v>jueves</v>
      </c>
    </row>
    <row r="585" spans="23:25" x14ac:dyDescent="0.25">
      <c r="W585" s="46">
        <v>44414</v>
      </c>
      <c r="Y585" s="46" t="str">
        <f t="shared" si="14"/>
        <v>viernes</v>
      </c>
    </row>
    <row r="586" spans="23:25" x14ac:dyDescent="0.25">
      <c r="W586" s="46">
        <v>44415</v>
      </c>
      <c r="Y586" s="46" t="str">
        <f t="shared" si="14"/>
        <v>sábado</v>
      </c>
    </row>
    <row r="587" spans="23:25" x14ac:dyDescent="0.25">
      <c r="W587" s="46">
        <v>44416</v>
      </c>
      <c r="X587" s="86">
        <v>1</v>
      </c>
      <c r="Y587" s="46" t="str">
        <f t="shared" si="14"/>
        <v>domingo</v>
      </c>
    </row>
    <row r="588" spans="23:25" x14ac:dyDescent="0.25">
      <c r="W588" s="46">
        <v>44417</v>
      </c>
      <c r="Y588" s="46" t="str">
        <f t="shared" si="14"/>
        <v>lunes</v>
      </c>
    </row>
    <row r="589" spans="23:25" x14ac:dyDescent="0.25">
      <c r="W589" s="46">
        <v>44418</v>
      </c>
      <c r="Y589" s="46" t="str">
        <f t="shared" si="14"/>
        <v>martes</v>
      </c>
    </row>
    <row r="590" spans="23:25" x14ac:dyDescent="0.25">
      <c r="W590" s="46">
        <v>44419</v>
      </c>
      <c r="Y590" s="46" t="str">
        <f t="shared" si="14"/>
        <v>miércoles</v>
      </c>
    </row>
    <row r="591" spans="23:25" x14ac:dyDescent="0.25">
      <c r="W591" s="46">
        <v>44420</v>
      </c>
      <c r="Y591" s="46" t="str">
        <f t="shared" si="14"/>
        <v>jueves</v>
      </c>
    </row>
    <row r="592" spans="23:25" x14ac:dyDescent="0.25">
      <c r="W592" s="46">
        <v>44421</v>
      </c>
      <c r="Y592" s="46" t="str">
        <f t="shared" si="14"/>
        <v>viernes</v>
      </c>
    </row>
    <row r="593" spans="23:25" x14ac:dyDescent="0.25">
      <c r="W593" s="46">
        <v>44422</v>
      </c>
      <c r="Y593" s="46" t="str">
        <f t="shared" si="14"/>
        <v>sábado</v>
      </c>
    </row>
    <row r="594" spans="23:25" x14ac:dyDescent="0.25">
      <c r="W594" s="46">
        <v>44423</v>
      </c>
      <c r="X594" s="86">
        <v>1</v>
      </c>
      <c r="Y594" s="46" t="str">
        <f t="shared" si="14"/>
        <v>domingo</v>
      </c>
    </row>
    <row r="595" spans="23:25" x14ac:dyDescent="0.25">
      <c r="W595" s="46">
        <v>44424</v>
      </c>
      <c r="Y595" s="46" t="str">
        <f t="shared" si="14"/>
        <v>lunes</v>
      </c>
    </row>
    <row r="596" spans="23:25" x14ac:dyDescent="0.25">
      <c r="W596" s="46">
        <v>44425</v>
      </c>
      <c r="Y596" s="46" t="str">
        <f t="shared" si="14"/>
        <v>martes</v>
      </c>
    </row>
    <row r="597" spans="23:25" x14ac:dyDescent="0.25">
      <c r="W597" s="46">
        <v>44426</v>
      </c>
      <c r="Y597" s="46" t="str">
        <f t="shared" si="14"/>
        <v>miércoles</v>
      </c>
    </row>
    <row r="598" spans="23:25" x14ac:dyDescent="0.25">
      <c r="W598" s="46">
        <v>44427</v>
      </c>
      <c r="Y598" s="46" t="str">
        <f t="shared" si="14"/>
        <v>jueves</v>
      </c>
    </row>
    <row r="599" spans="23:25" x14ac:dyDescent="0.25">
      <c r="W599" s="46">
        <v>44428</v>
      </c>
      <c r="Y599" s="46" t="str">
        <f t="shared" si="14"/>
        <v>viernes</v>
      </c>
    </row>
    <row r="600" spans="23:25" x14ac:dyDescent="0.25">
      <c r="W600" s="46">
        <v>44429</v>
      </c>
      <c r="Y600" s="46" t="str">
        <f t="shared" si="14"/>
        <v>sábado</v>
      </c>
    </row>
    <row r="601" spans="23:25" x14ac:dyDescent="0.25">
      <c r="W601" s="46">
        <v>44430</v>
      </c>
      <c r="X601" s="86">
        <v>1</v>
      </c>
      <c r="Y601" s="46" t="str">
        <f t="shared" si="14"/>
        <v>domingo</v>
      </c>
    </row>
    <row r="602" spans="23:25" x14ac:dyDescent="0.25">
      <c r="W602" s="46">
        <v>44431</v>
      </c>
      <c r="Y602" s="46" t="str">
        <f t="shared" si="14"/>
        <v>lunes</v>
      </c>
    </row>
    <row r="603" spans="23:25" x14ac:dyDescent="0.25">
      <c r="W603" s="46">
        <v>44432</v>
      </c>
      <c r="Y603" s="46" t="str">
        <f t="shared" si="14"/>
        <v>martes</v>
      </c>
    </row>
    <row r="604" spans="23:25" x14ac:dyDescent="0.25">
      <c r="W604" s="46">
        <v>44433</v>
      </c>
      <c r="Y604" s="46" t="str">
        <f t="shared" si="14"/>
        <v>miércoles</v>
      </c>
    </row>
    <row r="605" spans="23:25" x14ac:dyDescent="0.25">
      <c r="W605" s="46">
        <v>44434</v>
      </c>
      <c r="Y605" s="46" t="str">
        <f t="shared" si="14"/>
        <v>jueves</v>
      </c>
    </row>
    <row r="606" spans="23:25" x14ac:dyDescent="0.25">
      <c r="W606" s="46">
        <v>44435</v>
      </c>
      <c r="Y606" s="46" t="str">
        <f t="shared" si="14"/>
        <v>viernes</v>
      </c>
    </row>
    <row r="607" spans="23:25" x14ac:dyDescent="0.25">
      <c r="W607" s="46">
        <v>44436</v>
      </c>
      <c r="Y607" s="46" t="str">
        <f t="shared" si="14"/>
        <v>sábado</v>
      </c>
    </row>
    <row r="608" spans="23:25" x14ac:dyDescent="0.25">
      <c r="W608" s="46">
        <v>44437</v>
      </c>
      <c r="X608" s="86">
        <v>1</v>
      </c>
      <c r="Y608" s="46" t="str">
        <f t="shared" si="14"/>
        <v>domingo</v>
      </c>
    </row>
    <row r="609" spans="23:25" x14ac:dyDescent="0.25">
      <c r="W609" s="46">
        <v>44438</v>
      </c>
      <c r="Y609" s="46" t="str">
        <f t="shared" si="14"/>
        <v>lunes</v>
      </c>
    </row>
    <row r="610" spans="23:25" x14ac:dyDescent="0.25">
      <c r="W610" s="46">
        <v>44439</v>
      </c>
      <c r="Y610" s="46" t="str">
        <f t="shared" si="14"/>
        <v>martes</v>
      </c>
    </row>
    <row r="611" spans="23:25" x14ac:dyDescent="0.25">
      <c r="W611" s="46">
        <v>44440</v>
      </c>
      <c r="Y611" s="46" t="str">
        <f t="shared" si="14"/>
        <v>miércoles</v>
      </c>
    </row>
    <row r="612" spans="23:25" x14ac:dyDescent="0.25">
      <c r="W612" s="46">
        <v>44441</v>
      </c>
      <c r="Y612" s="46" t="str">
        <f t="shared" si="14"/>
        <v>jueves</v>
      </c>
    </row>
    <row r="613" spans="23:25" x14ac:dyDescent="0.25">
      <c r="W613" s="46">
        <v>44442</v>
      </c>
      <c r="Y613" s="46" t="str">
        <f t="shared" si="14"/>
        <v>viernes</v>
      </c>
    </row>
    <row r="614" spans="23:25" x14ac:dyDescent="0.25">
      <c r="W614" s="46">
        <v>44443</v>
      </c>
      <c r="Y614" s="46" t="str">
        <f t="shared" si="14"/>
        <v>sábado</v>
      </c>
    </row>
    <row r="615" spans="23:25" x14ac:dyDescent="0.25">
      <c r="W615" s="46">
        <v>44444</v>
      </c>
      <c r="X615" s="86">
        <v>1</v>
      </c>
      <c r="Y615" s="46" t="str">
        <f t="shared" si="14"/>
        <v>domingo</v>
      </c>
    </row>
    <row r="616" spans="23:25" x14ac:dyDescent="0.25">
      <c r="W616" s="46">
        <v>44445</v>
      </c>
      <c r="Y616" s="46" t="str">
        <f t="shared" si="14"/>
        <v>lunes</v>
      </c>
    </row>
    <row r="617" spans="23:25" x14ac:dyDescent="0.25">
      <c r="W617" s="46">
        <v>44446</v>
      </c>
      <c r="Y617" s="46" t="str">
        <f t="shared" si="14"/>
        <v>martes</v>
      </c>
    </row>
    <row r="618" spans="23:25" x14ac:dyDescent="0.25">
      <c r="W618" s="46">
        <v>44447</v>
      </c>
      <c r="Y618" s="46" t="str">
        <f t="shared" si="14"/>
        <v>miércoles</v>
      </c>
    </row>
    <row r="619" spans="23:25" x14ac:dyDescent="0.25">
      <c r="W619" s="46">
        <v>44448</v>
      </c>
      <c r="Y619" s="46" t="str">
        <f t="shared" si="14"/>
        <v>jueves</v>
      </c>
    </row>
    <row r="620" spans="23:25" x14ac:dyDescent="0.25">
      <c r="W620" s="46">
        <v>44449</v>
      </c>
      <c r="Y620" s="46" t="str">
        <f t="shared" si="14"/>
        <v>viernes</v>
      </c>
    </row>
    <row r="621" spans="23:25" x14ac:dyDescent="0.25">
      <c r="W621" s="46">
        <v>44450</v>
      </c>
      <c r="Y621" s="46" t="str">
        <f t="shared" si="14"/>
        <v>sábado</v>
      </c>
    </row>
    <row r="622" spans="23:25" x14ac:dyDescent="0.25">
      <c r="W622" s="46">
        <v>44451</v>
      </c>
      <c r="X622" s="86">
        <v>1</v>
      </c>
      <c r="Y622" s="46" t="str">
        <f t="shared" si="14"/>
        <v>domingo</v>
      </c>
    </row>
    <row r="623" spans="23:25" x14ac:dyDescent="0.25">
      <c r="W623" s="46">
        <v>44452</v>
      </c>
      <c r="Y623" s="46" t="str">
        <f t="shared" si="14"/>
        <v>lunes</v>
      </c>
    </row>
    <row r="624" spans="23:25" x14ac:dyDescent="0.25">
      <c r="W624" s="46">
        <v>44453</v>
      </c>
      <c r="Y624" s="46" t="str">
        <f t="shared" si="14"/>
        <v>martes</v>
      </c>
    </row>
    <row r="625" spans="23:25" x14ac:dyDescent="0.25">
      <c r="W625" s="46">
        <v>44454</v>
      </c>
      <c r="Y625" s="46" t="str">
        <f t="shared" si="14"/>
        <v>miércoles</v>
      </c>
    </row>
    <row r="626" spans="23:25" x14ac:dyDescent="0.25">
      <c r="W626" s="46">
        <v>44455</v>
      </c>
      <c r="Y626" s="46" t="str">
        <f t="shared" si="14"/>
        <v>jueves</v>
      </c>
    </row>
    <row r="627" spans="23:25" x14ac:dyDescent="0.25">
      <c r="W627" s="46">
        <v>44456</v>
      </c>
      <c r="Y627" s="46" t="str">
        <f t="shared" si="14"/>
        <v>viernes</v>
      </c>
    </row>
    <row r="628" spans="23:25" x14ac:dyDescent="0.25">
      <c r="W628" s="46">
        <v>44457</v>
      </c>
      <c r="Y628" s="46" t="str">
        <f t="shared" si="14"/>
        <v>sábado</v>
      </c>
    </row>
    <row r="629" spans="23:25" x14ac:dyDescent="0.25">
      <c r="W629" s="46">
        <v>44458</v>
      </c>
      <c r="X629" s="86">
        <v>1</v>
      </c>
      <c r="Y629" s="46" t="str">
        <f t="shared" si="14"/>
        <v>domingo</v>
      </c>
    </row>
    <row r="630" spans="23:25" x14ac:dyDescent="0.25">
      <c r="W630" s="46">
        <v>44459</v>
      </c>
      <c r="Y630" s="46" t="str">
        <f t="shared" si="14"/>
        <v>lunes</v>
      </c>
    </row>
    <row r="631" spans="23:25" x14ac:dyDescent="0.25">
      <c r="W631" s="46">
        <v>44460</v>
      </c>
      <c r="Y631" s="46" t="str">
        <f t="shared" si="14"/>
        <v>martes</v>
      </c>
    </row>
    <row r="632" spans="23:25" x14ac:dyDescent="0.25">
      <c r="W632" s="46">
        <v>44461</v>
      </c>
      <c r="Y632" s="46" t="str">
        <f t="shared" si="14"/>
        <v>miércoles</v>
      </c>
    </row>
    <row r="633" spans="23:25" x14ac:dyDescent="0.25">
      <c r="W633" s="46">
        <v>44462</v>
      </c>
      <c r="Y633" s="46" t="str">
        <f t="shared" si="14"/>
        <v>jueves</v>
      </c>
    </row>
    <row r="634" spans="23:25" x14ac:dyDescent="0.25">
      <c r="W634" s="46">
        <v>44463</v>
      </c>
      <c r="Y634" s="46" t="str">
        <f t="shared" si="14"/>
        <v>viernes</v>
      </c>
    </row>
    <row r="635" spans="23:25" x14ac:dyDescent="0.25">
      <c r="W635" s="46">
        <v>44464</v>
      </c>
      <c r="Y635" s="46" t="str">
        <f t="shared" si="14"/>
        <v>sábado</v>
      </c>
    </row>
    <row r="636" spans="23:25" x14ac:dyDescent="0.25">
      <c r="W636" s="46">
        <v>44465</v>
      </c>
      <c r="X636" s="86">
        <v>1</v>
      </c>
      <c r="Y636" s="46" t="str">
        <f t="shared" si="14"/>
        <v>domingo</v>
      </c>
    </row>
    <row r="637" spans="23:25" x14ac:dyDescent="0.25">
      <c r="W637" s="46">
        <v>44466</v>
      </c>
      <c r="Y637" s="46" t="str">
        <f t="shared" si="14"/>
        <v>lunes</v>
      </c>
    </row>
    <row r="638" spans="23:25" x14ac:dyDescent="0.25">
      <c r="W638" s="46">
        <v>44467</v>
      </c>
      <c r="Y638" s="46" t="str">
        <f t="shared" si="14"/>
        <v>martes</v>
      </c>
    </row>
    <row r="639" spans="23:25" x14ac:dyDescent="0.25">
      <c r="W639" s="46">
        <v>44468</v>
      </c>
      <c r="Y639" s="46" t="str">
        <f t="shared" si="14"/>
        <v>miércoles</v>
      </c>
    </row>
    <row r="640" spans="23:25" x14ac:dyDescent="0.25">
      <c r="W640" s="46">
        <v>44469</v>
      </c>
      <c r="Y640" s="46" t="str">
        <f t="shared" si="14"/>
        <v>jueves</v>
      </c>
    </row>
    <row r="641" spans="23:25" x14ac:dyDescent="0.25">
      <c r="W641" s="46">
        <v>44470</v>
      </c>
      <c r="Y641" s="46" t="str">
        <f t="shared" si="14"/>
        <v>viernes</v>
      </c>
    </row>
    <row r="642" spans="23:25" x14ac:dyDescent="0.25">
      <c r="W642" s="46">
        <v>44471</v>
      </c>
      <c r="Y642" s="46" t="str">
        <f t="shared" si="14"/>
        <v>sábado</v>
      </c>
    </row>
    <row r="643" spans="23:25" x14ac:dyDescent="0.25">
      <c r="W643" s="46">
        <v>44472</v>
      </c>
      <c r="X643" s="86">
        <v>1</v>
      </c>
      <c r="Y643" s="46" t="str">
        <f t="shared" ref="Y643:Y706" si="15">TEXT(W643,"ddddd")</f>
        <v>domingo</v>
      </c>
    </row>
    <row r="644" spans="23:25" x14ac:dyDescent="0.25">
      <c r="W644" s="46">
        <v>44473</v>
      </c>
      <c r="Y644" s="46" t="str">
        <f t="shared" si="15"/>
        <v>lunes</v>
      </c>
    </row>
    <row r="645" spans="23:25" x14ac:dyDescent="0.25">
      <c r="W645" s="46">
        <v>44474</v>
      </c>
      <c r="Y645" s="46" t="str">
        <f t="shared" si="15"/>
        <v>martes</v>
      </c>
    </row>
    <row r="646" spans="23:25" x14ac:dyDescent="0.25">
      <c r="W646" s="46">
        <v>44475</v>
      </c>
      <c r="Y646" s="46" t="str">
        <f t="shared" si="15"/>
        <v>miércoles</v>
      </c>
    </row>
    <row r="647" spans="23:25" x14ac:dyDescent="0.25">
      <c r="W647" s="46">
        <v>44476</v>
      </c>
      <c r="Y647" s="46" t="str">
        <f t="shared" si="15"/>
        <v>jueves</v>
      </c>
    </row>
    <row r="648" spans="23:25" x14ac:dyDescent="0.25">
      <c r="W648" s="46">
        <v>44477</v>
      </c>
      <c r="Y648" s="46" t="str">
        <f t="shared" si="15"/>
        <v>viernes</v>
      </c>
    </row>
    <row r="649" spans="23:25" x14ac:dyDescent="0.25">
      <c r="W649" s="46">
        <v>44478</v>
      </c>
      <c r="Y649" s="46" t="str">
        <f t="shared" si="15"/>
        <v>sábado</v>
      </c>
    </row>
    <row r="650" spans="23:25" x14ac:dyDescent="0.25">
      <c r="W650" s="46">
        <v>44479</v>
      </c>
      <c r="X650" s="86">
        <v>1</v>
      </c>
      <c r="Y650" s="46" t="str">
        <f t="shared" si="15"/>
        <v>domingo</v>
      </c>
    </row>
    <row r="651" spans="23:25" x14ac:dyDescent="0.25">
      <c r="W651" s="46">
        <v>44480</v>
      </c>
      <c r="Y651" s="46" t="str">
        <f t="shared" si="15"/>
        <v>lunes</v>
      </c>
    </row>
    <row r="652" spans="23:25" x14ac:dyDescent="0.25">
      <c r="W652" s="46">
        <v>44481</v>
      </c>
      <c r="Y652" s="46" t="str">
        <f t="shared" si="15"/>
        <v>martes</v>
      </c>
    </row>
    <row r="653" spans="23:25" x14ac:dyDescent="0.25">
      <c r="W653" s="46">
        <v>44482</v>
      </c>
      <c r="Y653" s="46" t="str">
        <f t="shared" si="15"/>
        <v>miércoles</v>
      </c>
    </row>
    <row r="654" spans="23:25" x14ac:dyDescent="0.25">
      <c r="W654" s="46">
        <v>44483</v>
      </c>
      <c r="Y654" s="46" t="str">
        <f t="shared" si="15"/>
        <v>jueves</v>
      </c>
    </row>
    <row r="655" spans="23:25" x14ac:dyDescent="0.25">
      <c r="W655" s="46">
        <v>44484</v>
      </c>
      <c r="Y655" s="46" t="str">
        <f t="shared" si="15"/>
        <v>viernes</v>
      </c>
    </row>
    <row r="656" spans="23:25" x14ac:dyDescent="0.25">
      <c r="W656" s="46">
        <v>44485</v>
      </c>
      <c r="Y656" s="46" t="str">
        <f t="shared" si="15"/>
        <v>sábado</v>
      </c>
    </row>
    <row r="657" spans="23:25" x14ac:dyDescent="0.25">
      <c r="W657" s="46">
        <v>44486</v>
      </c>
      <c r="X657" s="86">
        <v>1</v>
      </c>
      <c r="Y657" s="46" t="str">
        <f t="shared" si="15"/>
        <v>domingo</v>
      </c>
    </row>
    <row r="658" spans="23:25" x14ac:dyDescent="0.25">
      <c r="W658" s="46">
        <v>44487</v>
      </c>
      <c r="Y658" s="46" t="str">
        <f t="shared" si="15"/>
        <v>lunes</v>
      </c>
    </row>
    <row r="659" spans="23:25" x14ac:dyDescent="0.25">
      <c r="W659" s="46">
        <v>44488</v>
      </c>
      <c r="Y659" s="46" t="str">
        <f t="shared" si="15"/>
        <v>martes</v>
      </c>
    </row>
    <row r="660" spans="23:25" x14ac:dyDescent="0.25">
      <c r="W660" s="46">
        <v>44489</v>
      </c>
      <c r="Y660" s="46" t="str">
        <f t="shared" si="15"/>
        <v>miércoles</v>
      </c>
    </row>
    <row r="661" spans="23:25" x14ac:dyDescent="0.25">
      <c r="W661" s="46">
        <v>44490</v>
      </c>
      <c r="Y661" s="46" t="str">
        <f t="shared" si="15"/>
        <v>jueves</v>
      </c>
    </row>
    <row r="662" spans="23:25" x14ac:dyDescent="0.25">
      <c r="W662" s="46">
        <v>44491</v>
      </c>
      <c r="Y662" s="46" t="str">
        <f t="shared" si="15"/>
        <v>viernes</v>
      </c>
    </row>
    <row r="663" spans="23:25" x14ac:dyDescent="0.25">
      <c r="W663" s="46">
        <v>44492</v>
      </c>
      <c r="Y663" s="46" t="str">
        <f t="shared" si="15"/>
        <v>sábado</v>
      </c>
    </row>
    <row r="664" spans="23:25" x14ac:dyDescent="0.25">
      <c r="W664" s="46">
        <v>44493</v>
      </c>
      <c r="X664" s="86">
        <v>1</v>
      </c>
      <c r="Y664" s="46" t="str">
        <f t="shared" si="15"/>
        <v>domingo</v>
      </c>
    </row>
    <row r="665" spans="23:25" x14ac:dyDescent="0.25">
      <c r="W665" s="46">
        <v>44494</v>
      </c>
      <c r="Y665" s="46" t="str">
        <f t="shared" si="15"/>
        <v>lunes</v>
      </c>
    </row>
    <row r="666" spans="23:25" x14ac:dyDescent="0.25">
      <c r="W666" s="46">
        <v>44495</v>
      </c>
      <c r="Y666" s="46" t="str">
        <f t="shared" si="15"/>
        <v>martes</v>
      </c>
    </row>
    <row r="667" spans="23:25" x14ac:dyDescent="0.25">
      <c r="W667" s="46">
        <v>44496</v>
      </c>
      <c r="Y667" s="46" t="str">
        <f t="shared" si="15"/>
        <v>miércoles</v>
      </c>
    </row>
    <row r="668" spans="23:25" x14ac:dyDescent="0.25">
      <c r="W668" s="46">
        <v>44497</v>
      </c>
      <c r="Y668" s="46" t="str">
        <f t="shared" si="15"/>
        <v>jueves</v>
      </c>
    </row>
    <row r="669" spans="23:25" x14ac:dyDescent="0.25">
      <c r="W669" s="46">
        <v>44498</v>
      </c>
      <c r="Y669" s="46" t="str">
        <f t="shared" si="15"/>
        <v>viernes</v>
      </c>
    </row>
    <row r="670" spans="23:25" x14ac:dyDescent="0.25">
      <c r="W670" s="46">
        <v>44499</v>
      </c>
      <c r="Y670" s="46" t="str">
        <f t="shared" si="15"/>
        <v>sábado</v>
      </c>
    </row>
    <row r="671" spans="23:25" x14ac:dyDescent="0.25">
      <c r="W671" s="46">
        <v>44500</v>
      </c>
      <c r="X671" s="86">
        <v>1</v>
      </c>
      <c r="Y671" s="46" t="str">
        <f t="shared" si="15"/>
        <v>domingo</v>
      </c>
    </row>
    <row r="672" spans="23:25" x14ac:dyDescent="0.25">
      <c r="W672" s="46">
        <v>44501</v>
      </c>
      <c r="Y672" s="46" t="str">
        <f t="shared" si="15"/>
        <v>lunes</v>
      </c>
    </row>
    <row r="673" spans="23:25" x14ac:dyDescent="0.25">
      <c r="W673" s="46">
        <v>44502</v>
      </c>
      <c r="Y673" s="46" t="str">
        <f t="shared" si="15"/>
        <v>martes</v>
      </c>
    </row>
    <row r="674" spans="23:25" x14ac:dyDescent="0.25">
      <c r="W674" s="46">
        <v>44503</v>
      </c>
      <c r="Y674" s="46" t="str">
        <f t="shared" si="15"/>
        <v>miércoles</v>
      </c>
    </row>
    <row r="675" spans="23:25" x14ac:dyDescent="0.25">
      <c r="W675" s="46">
        <v>44504</v>
      </c>
      <c r="Y675" s="46" t="str">
        <f t="shared" si="15"/>
        <v>jueves</v>
      </c>
    </row>
    <row r="676" spans="23:25" x14ac:dyDescent="0.25">
      <c r="W676" s="46">
        <v>44505</v>
      </c>
      <c r="Y676" s="46" t="str">
        <f t="shared" si="15"/>
        <v>viernes</v>
      </c>
    </row>
    <row r="677" spans="23:25" x14ac:dyDescent="0.25">
      <c r="W677" s="46">
        <v>44506</v>
      </c>
      <c r="Y677" s="46" t="str">
        <f t="shared" si="15"/>
        <v>sábado</v>
      </c>
    </row>
    <row r="678" spans="23:25" x14ac:dyDescent="0.25">
      <c r="W678" s="46">
        <v>44507</v>
      </c>
      <c r="X678" s="86">
        <v>1</v>
      </c>
      <c r="Y678" s="46" t="str">
        <f t="shared" si="15"/>
        <v>domingo</v>
      </c>
    </row>
    <row r="679" spans="23:25" x14ac:dyDescent="0.25">
      <c r="W679" s="46">
        <v>44508</v>
      </c>
      <c r="Y679" s="46" t="str">
        <f t="shared" si="15"/>
        <v>lunes</v>
      </c>
    </row>
    <row r="680" spans="23:25" x14ac:dyDescent="0.25">
      <c r="W680" s="46">
        <v>44509</v>
      </c>
      <c r="Y680" s="46" t="str">
        <f t="shared" si="15"/>
        <v>martes</v>
      </c>
    </row>
    <row r="681" spans="23:25" x14ac:dyDescent="0.25">
      <c r="W681" s="46">
        <v>44510</v>
      </c>
      <c r="Y681" s="46" t="str">
        <f t="shared" si="15"/>
        <v>miércoles</v>
      </c>
    </row>
    <row r="682" spans="23:25" x14ac:dyDescent="0.25">
      <c r="W682" s="46">
        <v>44511</v>
      </c>
      <c r="Y682" s="46" t="str">
        <f t="shared" si="15"/>
        <v>jueves</v>
      </c>
    </row>
    <row r="683" spans="23:25" x14ac:dyDescent="0.25">
      <c r="W683" s="46">
        <v>44512</v>
      </c>
      <c r="Y683" s="46" t="str">
        <f t="shared" si="15"/>
        <v>viernes</v>
      </c>
    </row>
    <row r="684" spans="23:25" x14ac:dyDescent="0.25">
      <c r="W684" s="46">
        <v>44513</v>
      </c>
      <c r="Y684" s="46" t="str">
        <f t="shared" si="15"/>
        <v>sábado</v>
      </c>
    </row>
    <row r="685" spans="23:25" x14ac:dyDescent="0.25">
      <c r="W685" s="46">
        <v>44514</v>
      </c>
      <c r="X685" s="86">
        <v>1</v>
      </c>
      <c r="Y685" s="46" t="str">
        <f t="shared" si="15"/>
        <v>domingo</v>
      </c>
    </row>
    <row r="686" spans="23:25" x14ac:dyDescent="0.25">
      <c r="W686" s="46">
        <v>44515</v>
      </c>
      <c r="Y686" s="46" t="str">
        <f t="shared" si="15"/>
        <v>lunes</v>
      </c>
    </row>
    <row r="687" spans="23:25" x14ac:dyDescent="0.25">
      <c r="W687" s="46">
        <v>44516</v>
      </c>
      <c r="Y687" s="46" t="str">
        <f t="shared" si="15"/>
        <v>martes</v>
      </c>
    </row>
    <row r="688" spans="23:25" x14ac:dyDescent="0.25">
      <c r="W688" s="46">
        <v>44517</v>
      </c>
      <c r="Y688" s="46" t="str">
        <f t="shared" si="15"/>
        <v>miércoles</v>
      </c>
    </row>
    <row r="689" spans="23:25" x14ac:dyDescent="0.25">
      <c r="W689" s="46">
        <v>44518</v>
      </c>
      <c r="Y689" s="46" t="str">
        <f t="shared" si="15"/>
        <v>jueves</v>
      </c>
    </row>
    <row r="690" spans="23:25" x14ac:dyDescent="0.25">
      <c r="W690" s="46">
        <v>44519</v>
      </c>
      <c r="Y690" s="46" t="str">
        <f t="shared" si="15"/>
        <v>viernes</v>
      </c>
    </row>
    <row r="691" spans="23:25" x14ac:dyDescent="0.25">
      <c r="W691" s="46">
        <v>44520</v>
      </c>
      <c r="Y691" s="46" t="str">
        <f t="shared" si="15"/>
        <v>sábado</v>
      </c>
    </row>
    <row r="692" spans="23:25" x14ac:dyDescent="0.25">
      <c r="W692" s="46">
        <v>44521</v>
      </c>
      <c r="X692" s="86">
        <v>1</v>
      </c>
      <c r="Y692" s="46" t="str">
        <f t="shared" si="15"/>
        <v>domingo</v>
      </c>
    </row>
    <row r="693" spans="23:25" x14ac:dyDescent="0.25">
      <c r="W693" s="46">
        <v>44522</v>
      </c>
      <c r="Y693" s="46" t="str">
        <f t="shared" si="15"/>
        <v>lunes</v>
      </c>
    </row>
    <row r="694" spans="23:25" x14ac:dyDescent="0.25">
      <c r="W694" s="46">
        <v>44523</v>
      </c>
      <c r="Y694" s="46" t="str">
        <f t="shared" si="15"/>
        <v>martes</v>
      </c>
    </row>
    <row r="695" spans="23:25" x14ac:dyDescent="0.25">
      <c r="W695" s="46">
        <v>44524</v>
      </c>
      <c r="Y695" s="46" t="str">
        <f t="shared" si="15"/>
        <v>miércoles</v>
      </c>
    </row>
    <row r="696" spans="23:25" x14ac:dyDescent="0.25">
      <c r="W696" s="46">
        <v>44525</v>
      </c>
      <c r="Y696" s="46" t="str">
        <f t="shared" si="15"/>
        <v>jueves</v>
      </c>
    </row>
    <row r="697" spans="23:25" x14ac:dyDescent="0.25">
      <c r="W697" s="46">
        <v>44526</v>
      </c>
      <c r="Y697" s="46" t="str">
        <f t="shared" si="15"/>
        <v>viernes</v>
      </c>
    </row>
    <row r="698" spans="23:25" x14ac:dyDescent="0.25">
      <c r="W698" s="46">
        <v>44527</v>
      </c>
      <c r="Y698" s="46" t="str">
        <f t="shared" si="15"/>
        <v>sábado</v>
      </c>
    </row>
    <row r="699" spans="23:25" x14ac:dyDescent="0.25">
      <c r="W699" s="46">
        <v>44528</v>
      </c>
      <c r="X699" s="86">
        <v>1</v>
      </c>
      <c r="Y699" s="46" t="str">
        <f t="shared" si="15"/>
        <v>domingo</v>
      </c>
    </row>
    <row r="700" spans="23:25" x14ac:dyDescent="0.25">
      <c r="W700" s="46">
        <v>44529</v>
      </c>
      <c r="Y700" s="46" t="str">
        <f t="shared" si="15"/>
        <v>lunes</v>
      </c>
    </row>
    <row r="701" spans="23:25" x14ac:dyDescent="0.25">
      <c r="W701" s="46">
        <v>44530</v>
      </c>
      <c r="Y701" s="46" t="str">
        <f t="shared" si="15"/>
        <v>martes</v>
      </c>
    </row>
    <row r="702" spans="23:25" x14ac:dyDescent="0.25">
      <c r="W702" s="46">
        <v>44531</v>
      </c>
      <c r="Y702" s="46" t="str">
        <f t="shared" si="15"/>
        <v>miércoles</v>
      </c>
    </row>
    <row r="703" spans="23:25" x14ac:dyDescent="0.25">
      <c r="W703" s="46">
        <v>44532</v>
      </c>
      <c r="Y703" s="46" t="str">
        <f t="shared" si="15"/>
        <v>jueves</v>
      </c>
    </row>
    <row r="704" spans="23:25" x14ac:dyDescent="0.25">
      <c r="W704" s="46">
        <v>44533</v>
      </c>
      <c r="Y704" s="46" t="str">
        <f t="shared" si="15"/>
        <v>viernes</v>
      </c>
    </row>
    <row r="705" spans="23:25" x14ac:dyDescent="0.25">
      <c r="W705" s="46">
        <v>44534</v>
      </c>
      <c r="Y705" s="46" t="str">
        <f t="shared" si="15"/>
        <v>sábado</v>
      </c>
    </row>
    <row r="706" spans="23:25" x14ac:dyDescent="0.25">
      <c r="W706" s="46">
        <v>44535</v>
      </c>
      <c r="X706" s="86">
        <v>1</v>
      </c>
      <c r="Y706" s="46" t="str">
        <f t="shared" si="15"/>
        <v>domingo</v>
      </c>
    </row>
    <row r="707" spans="23:25" x14ac:dyDescent="0.25">
      <c r="W707" s="46">
        <v>44536</v>
      </c>
      <c r="Y707" s="46" t="str">
        <f t="shared" ref="Y707:Y732" si="16">TEXT(W707,"ddddd")</f>
        <v>lunes</v>
      </c>
    </row>
    <row r="708" spans="23:25" x14ac:dyDescent="0.25">
      <c r="W708" s="46">
        <v>44537</v>
      </c>
      <c r="Y708" s="46" t="str">
        <f t="shared" si="16"/>
        <v>martes</v>
      </c>
    </row>
    <row r="709" spans="23:25" x14ac:dyDescent="0.25">
      <c r="W709" s="46">
        <v>44538</v>
      </c>
      <c r="Y709" s="46" t="str">
        <f t="shared" si="16"/>
        <v>miércoles</v>
      </c>
    </row>
    <row r="710" spans="23:25" x14ac:dyDescent="0.25">
      <c r="W710" s="46">
        <v>44539</v>
      </c>
      <c r="Y710" s="46" t="str">
        <f t="shared" si="16"/>
        <v>jueves</v>
      </c>
    </row>
    <row r="711" spans="23:25" x14ac:dyDescent="0.25">
      <c r="W711" s="46">
        <v>44540</v>
      </c>
      <c r="Y711" s="46" t="str">
        <f t="shared" si="16"/>
        <v>viernes</v>
      </c>
    </row>
    <row r="712" spans="23:25" x14ac:dyDescent="0.25">
      <c r="W712" s="46">
        <v>44541</v>
      </c>
      <c r="Y712" s="46" t="str">
        <f t="shared" si="16"/>
        <v>sábado</v>
      </c>
    </row>
    <row r="713" spans="23:25" x14ac:dyDescent="0.25">
      <c r="W713" s="46">
        <v>44542</v>
      </c>
      <c r="X713" s="86">
        <v>1</v>
      </c>
      <c r="Y713" s="46" t="str">
        <f t="shared" si="16"/>
        <v>domingo</v>
      </c>
    </row>
    <row r="714" spans="23:25" x14ac:dyDescent="0.25">
      <c r="W714" s="46">
        <v>44543</v>
      </c>
      <c r="Y714" s="46" t="str">
        <f t="shared" si="16"/>
        <v>lunes</v>
      </c>
    </row>
    <row r="715" spans="23:25" x14ac:dyDescent="0.25">
      <c r="W715" s="46">
        <v>44544</v>
      </c>
      <c r="Y715" s="46" t="str">
        <f t="shared" si="16"/>
        <v>martes</v>
      </c>
    </row>
    <row r="716" spans="23:25" x14ac:dyDescent="0.25">
      <c r="W716" s="46">
        <v>44545</v>
      </c>
      <c r="Y716" s="46" t="str">
        <f t="shared" si="16"/>
        <v>miércoles</v>
      </c>
    </row>
    <row r="717" spans="23:25" x14ac:dyDescent="0.25">
      <c r="W717" s="46">
        <v>44546</v>
      </c>
      <c r="Y717" s="46" t="str">
        <f t="shared" si="16"/>
        <v>jueves</v>
      </c>
    </row>
    <row r="718" spans="23:25" x14ac:dyDescent="0.25">
      <c r="W718" s="46">
        <v>44547</v>
      </c>
      <c r="Y718" s="46" t="str">
        <f t="shared" si="16"/>
        <v>viernes</v>
      </c>
    </row>
    <row r="719" spans="23:25" x14ac:dyDescent="0.25">
      <c r="W719" s="46">
        <v>44548</v>
      </c>
      <c r="Y719" s="46" t="str">
        <f t="shared" si="16"/>
        <v>sábado</v>
      </c>
    </row>
    <row r="720" spans="23:25" x14ac:dyDescent="0.25">
      <c r="W720" s="46">
        <v>44549</v>
      </c>
      <c r="X720" s="86">
        <v>1</v>
      </c>
      <c r="Y720" s="46" t="str">
        <f t="shared" si="16"/>
        <v>domingo</v>
      </c>
    </row>
    <row r="721" spans="23:25" x14ac:dyDescent="0.25">
      <c r="W721" s="46">
        <v>44550</v>
      </c>
      <c r="Y721" s="46" t="str">
        <f t="shared" si="16"/>
        <v>lunes</v>
      </c>
    </row>
    <row r="722" spans="23:25" x14ac:dyDescent="0.25">
      <c r="W722" s="46">
        <v>44551</v>
      </c>
      <c r="Y722" s="46" t="str">
        <f t="shared" si="16"/>
        <v>martes</v>
      </c>
    </row>
    <row r="723" spans="23:25" x14ac:dyDescent="0.25">
      <c r="W723" s="46">
        <v>44552</v>
      </c>
      <c r="Y723" s="46" t="str">
        <f t="shared" si="16"/>
        <v>miércoles</v>
      </c>
    </row>
    <row r="724" spans="23:25" x14ac:dyDescent="0.25">
      <c r="W724" s="46">
        <v>44553</v>
      </c>
      <c r="Y724" s="46" t="str">
        <f t="shared" si="16"/>
        <v>jueves</v>
      </c>
    </row>
    <row r="725" spans="23:25" x14ac:dyDescent="0.25">
      <c r="W725" s="46">
        <v>44554</v>
      </c>
      <c r="Y725" s="46" t="str">
        <f t="shared" si="16"/>
        <v>viernes</v>
      </c>
    </row>
    <row r="726" spans="23:25" x14ac:dyDescent="0.25">
      <c r="W726" s="46">
        <v>44555</v>
      </c>
      <c r="Y726" s="46" t="str">
        <f t="shared" si="16"/>
        <v>sábado</v>
      </c>
    </row>
    <row r="727" spans="23:25" x14ac:dyDescent="0.25">
      <c r="W727" s="46">
        <v>44556</v>
      </c>
      <c r="X727" s="86">
        <v>1</v>
      </c>
      <c r="Y727" s="46" t="str">
        <f t="shared" si="16"/>
        <v>domingo</v>
      </c>
    </row>
    <row r="728" spans="23:25" x14ac:dyDescent="0.25">
      <c r="W728" s="46">
        <v>44557</v>
      </c>
      <c r="Y728" s="46" t="str">
        <f t="shared" si="16"/>
        <v>lunes</v>
      </c>
    </row>
    <row r="729" spans="23:25" x14ac:dyDescent="0.25">
      <c r="W729" s="46">
        <v>44558</v>
      </c>
      <c r="Y729" s="46" t="str">
        <f t="shared" si="16"/>
        <v>martes</v>
      </c>
    </row>
    <row r="730" spans="23:25" x14ac:dyDescent="0.25">
      <c r="W730" s="46">
        <v>44559</v>
      </c>
      <c r="Y730" s="46" t="str">
        <f t="shared" si="16"/>
        <v>miércoles</v>
      </c>
    </row>
    <row r="731" spans="23:25" x14ac:dyDescent="0.25">
      <c r="W731" s="46">
        <v>44560</v>
      </c>
      <c r="Y731" s="46" t="str">
        <f t="shared" si="16"/>
        <v>jueves</v>
      </c>
    </row>
    <row r="732" spans="23:25" x14ac:dyDescent="0.25">
      <c r="W732" s="46">
        <v>44561</v>
      </c>
      <c r="Y732" s="46" t="str">
        <f t="shared" si="16"/>
        <v>viernes</v>
      </c>
    </row>
  </sheetData>
  <autoFilter ref="F1:O126" xr:uid="{00000000-0009-0000-0000-000001000000}"/>
  <mergeCells count="1">
    <mergeCell ref="T1:U1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415"/>
  <sheetViews>
    <sheetView showGridLines="0" topLeftCell="T1" zoomScale="85" zoomScaleNormal="85" workbookViewId="0">
      <selection activeCell="X6" sqref="X6"/>
    </sheetView>
  </sheetViews>
  <sheetFormatPr baseColWidth="10" defaultRowHeight="15" outlineLevelCol="1" x14ac:dyDescent="0.25"/>
  <cols>
    <col min="1" max="1" width="8.85546875" style="2" hidden="1" customWidth="1" outlineLevel="1"/>
    <col min="2" max="2" width="17.140625" style="2" hidden="1" customWidth="1" outlineLevel="1"/>
    <col min="3" max="3" width="15.42578125" hidden="1" customWidth="1" outlineLevel="1"/>
    <col min="4" max="4" width="11.7109375" hidden="1" customWidth="1" outlineLevel="1"/>
    <col min="5" max="5" width="15.28515625" hidden="1" customWidth="1" outlineLevel="1"/>
    <col min="6" max="6" width="11" style="3" hidden="1" customWidth="1" outlineLevel="1"/>
    <col min="7" max="7" width="57.28515625" hidden="1" customWidth="1" outlineLevel="1"/>
    <col min="8" max="8" width="34.7109375" bestFit="1" customWidth="1" collapsed="1"/>
    <col min="9" max="9" width="10.85546875" style="1" bestFit="1" customWidth="1"/>
    <col min="10" max="10" width="8.42578125" style="10" bestFit="1" customWidth="1"/>
    <col min="11" max="11" width="9.28515625" style="3" bestFit="1" customWidth="1"/>
    <col min="12" max="12" width="7.140625" style="5" customWidth="1"/>
    <col min="13" max="13" width="13.28515625" style="27" customWidth="1"/>
    <col min="14" max="14" width="13.28515625" style="31" customWidth="1" outlineLevel="1"/>
    <col min="15" max="15" width="13.28515625" style="28" customWidth="1" outlineLevel="1"/>
    <col min="16" max="16" width="13.28515625" style="27" customWidth="1"/>
    <col min="17" max="17" width="17" style="31" customWidth="1"/>
    <col min="18" max="18" width="15.7109375" style="13" bestFit="1" customWidth="1"/>
    <col min="19" max="19" width="12.7109375" style="33" bestFit="1" customWidth="1"/>
    <col min="20" max="20" width="17.5703125" style="115" customWidth="1"/>
    <col min="21" max="21" width="17.28515625" style="121" customWidth="1"/>
    <col min="22" max="22" width="16.5703125" style="124" customWidth="1"/>
    <col min="23" max="23" width="16.42578125" style="115" customWidth="1"/>
    <col min="24" max="24" width="16.42578125" style="33" customWidth="1"/>
    <col min="25" max="25" width="14.28515625" style="43" customWidth="1"/>
    <col min="26" max="26" width="14.28515625" style="40" customWidth="1"/>
    <col min="27" max="27" width="14.28515625" style="43" customWidth="1"/>
    <col min="28" max="28" width="16.5703125" style="4" customWidth="1"/>
    <col min="29" max="29" width="16.5703125" style="118" customWidth="1"/>
    <col min="30" max="30" width="16" style="4" customWidth="1"/>
    <col min="31" max="31" width="17.5703125" style="4" customWidth="1"/>
    <col min="32" max="32" width="11.140625" style="10" customWidth="1"/>
    <col min="33" max="33" width="14.28515625" style="5" customWidth="1"/>
    <col min="34" max="37" width="11.42578125" style="40" customWidth="1"/>
    <col min="38" max="38" width="25.140625" style="52" customWidth="1"/>
    <col min="39" max="39" width="19.28515625" style="52" customWidth="1"/>
    <col min="40" max="41" width="21.28515625" style="83" customWidth="1"/>
    <col min="42" max="42" width="21.85546875" style="52" customWidth="1"/>
    <col min="43" max="44" width="11.42578125" style="52"/>
  </cols>
  <sheetData>
    <row r="1" spans="1:51" ht="20.25" thickTop="1" thickBot="1" x14ac:dyDescent="0.3">
      <c r="F1" s="5"/>
      <c r="I1" s="5"/>
      <c r="K1" s="5"/>
      <c r="AL1" s="67"/>
      <c r="AM1" s="67"/>
      <c r="AP1" s="67"/>
      <c r="AQ1" s="67"/>
      <c r="AR1" s="67"/>
      <c r="AS1" s="18">
        <v>1</v>
      </c>
      <c r="AT1" s="19" t="s">
        <v>2</v>
      </c>
      <c r="AU1" s="14">
        <v>0.375</v>
      </c>
      <c r="AV1" s="19" t="s">
        <v>241</v>
      </c>
      <c r="AW1" s="15">
        <v>0.33333333333333331</v>
      </c>
      <c r="AX1" s="15">
        <v>0.29166666666666669</v>
      </c>
      <c r="AY1" s="20" t="s">
        <v>242</v>
      </c>
    </row>
    <row r="2" spans="1:51" ht="6" customHeight="1" thickTop="1" thickBot="1" x14ac:dyDescent="0.3">
      <c r="F2" s="5"/>
      <c r="I2" s="5"/>
      <c r="K2" s="5"/>
      <c r="AL2" s="67"/>
      <c r="AM2" s="67"/>
      <c r="AP2" s="67"/>
      <c r="AQ2" s="67"/>
      <c r="AR2" s="67"/>
      <c r="AS2" s="18"/>
      <c r="AT2" s="21"/>
      <c r="AU2" s="14"/>
      <c r="AV2" s="19"/>
      <c r="AW2" s="15"/>
      <c r="AX2" s="15"/>
      <c r="AY2" s="20"/>
    </row>
    <row r="3" spans="1:51" ht="14.25" customHeight="1" thickTop="1" thickBot="1" x14ac:dyDescent="0.3">
      <c r="M3" s="148" t="s">
        <v>237</v>
      </c>
      <c r="N3" s="148"/>
      <c r="O3" s="148"/>
      <c r="P3" s="148"/>
      <c r="Q3" s="149"/>
      <c r="R3" s="149"/>
      <c r="S3" s="149"/>
      <c r="T3" s="116"/>
      <c r="U3" s="117"/>
      <c r="V3" s="118"/>
      <c r="W3" s="116"/>
      <c r="X3" s="114"/>
      <c r="Y3" s="41"/>
      <c r="Z3" s="38"/>
      <c r="AA3" s="41"/>
      <c r="AS3" s="18">
        <v>2</v>
      </c>
      <c r="AT3" s="21" t="s">
        <v>3</v>
      </c>
      <c r="AU3" s="15">
        <v>0.33333333333333331</v>
      </c>
      <c r="AV3" s="19" t="s">
        <v>243</v>
      </c>
      <c r="AW3" s="15"/>
      <c r="AX3" s="19"/>
      <c r="AY3" s="20"/>
    </row>
    <row r="4" spans="1:51" ht="16.5" customHeight="1" thickTop="1" thickBot="1" x14ac:dyDescent="0.3">
      <c r="F4" s="5"/>
      <c r="I4" s="5"/>
      <c r="K4" s="5"/>
      <c r="M4" s="25"/>
      <c r="N4" s="147" t="s">
        <v>247</v>
      </c>
      <c r="O4" s="147"/>
      <c r="P4" s="25"/>
      <c r="Q4" s="29"/>
      <c r="R4" s="23"/>
      <c r="S4" s="29"/>
      <c r="T4" s="150" t="s">
        <v>406</v>
      </c>
      <c r="U4" s="150"/>
      <c r="V4" s="150"/>
      <c r="W4" s="150"/>
      <c r="X4" s="150"/>
      <c r="Y4" s="41"/>
      <c r="Z4" s="38"/>
      <c r="AA4" s="41"/>
      <c r="AF4" s="146" t="s">
        <v>259</v>
      </c>
      <c r="AG4" s="146"/>
      <c r="AH4" s="146" t="s">
        <v>336</v>
      </c>
      <c r="AI4" s="146"/>
      <c r="AJ4" s="146" t="s">
        <v>337</v>
      </c>
      <c r="AK4" s="146"/>
    </row>
    <row r="5" spans="1:51" ht="20.25" thickTop="1" thickBot="1" x14ac:dyDescent="0.3">
      <c r="A5" s="7" t="s">
        <v>41</v>
      </c>
      <c r="B5" s="7" t="s">
        <v>233</v>
      </c>
      <c r="C5" s="6" t="s">
        <v>7</v>
      </c>
      <c r="D5" s="6" t="s">
        <v>8</v>
      </c>
      <c r="E5" s="6" t="s">
        <v>40</v>
      </c>
      <c r="F5" s="6" t="s">
        <v>67</v>
      </c>
      <c r="G5" s="6" t="s">
        <v>68</v>
      </c>
      <c r="H5" s="6" t="s">
        <v>1</v>
      </c>
      <c r="I5" s="12" t="s">
        <v>0</v>
      </c>
      <c r="J5" s="11" t="s">
        <v>5</v>
      </c>
      <c r="K5" s="12" t="s">
        <v>281</v>
      </c>
      <c r="L5" s="12" t="s">
        <v>6</v>
      </c>
      <c r="M5" s="26" t="s">
        <v>245</v>
      </c>
      <c r="N5" s="32" t="s">
        <v>235</v>
      </c>
      <c r="O5" s="26" t="s">
        <v>236</v>
      </c>
      <c r="P5" s="26" t="s">
        <v>246</v>
      </c>
      <c r="Q5" s="30" t="s">
        <v>244</v>
      </c>
      <c r="R5" s="22" t="s">
        <v>238</v>
      </c>
      <c r="S5" s="30" t="s">
        <v>4</v>
      </c>
      <c r="T5" s="140" t="s">
        <v>402</v>
      </c>
      <c r="U5" s="141" t="s">
        <v>403</v>
      </c>
      <c r="V5" s="142" t="s">
        <v>407</v>
      </c>
      <c r="W5" s="140" t="s">
        <v>408</v>
      </c>
      <c r="X5" s="140" t="s">
        <v>410</v>
      </c>
      <c r="Y5" s="30" t="s">
        <v>405</v>
      </c>
      <c r="Z5" s="42" t="s">
        <v>249</v>
      </c>
      <c r="AA5" s="39" t="s">
        <v>250</v>
      </c>
      <c r="AB5" s="42" t="s">
        <v>251</v>
      </c>
      <c r="AC5" s="9" t="s">
        <v>322</v>
      </c>
      <c r="AD5" s="119" t="s">
        <v>404</v>
      </c>
      <c r="AE5" s="9" t="s">
        <v>313</v>
      </c>
      <c r="AF5" s="50" t="s">
        <v>260</v>
      </c>
      <c r="AG5" s="44" t="s">
        <v>261</v>
      </c>
      <c r="AH5" s="49" t="s">
        <v>338</v>
      </c>
      <c r="AI5" s="49" t="s">
        <v>339</v>
      </c>
      <c r="AJ5" s="49" t="s">
        <v>340</v>
      </c>
      <c r="AK5" s="49" t="s">
        <v>341</v>
      </c>
      <c r="AL5" s="65" t="s">
        <v>302</v>
      </c>
      <c r="AM5" s="65" t="s">
        <v>303</v>
      </c>
      <c r="AN5" s="84" t="s">
        <v>304</v>
      </c>
      <c r="AO5" s="84" t="s">
        <v>323</v>
      </c>
      <c r="AP5" s="84" t="s">
        <v>324</v>
      </c>
      <c r="AQ5" s="51"/>
      <c r="AR5" s="51"/>
      <c r="AS5" s="18">
        <v>8</v>
      </c>
      <c r="AT5" s="21" t="s">
        <v>3</v>
      </c>
      <c r="AU5" s="15">
        <v>0.33333333333333331</v>
      </c>
      <c r="AV5" s="19" t="s">
        <v>243</v>
      </c>
      <c r="AW5" s="15"/>
      <c r="AX5" s="19"/>
      <c r="AY5" s="20"/>
    </row>
    <row r="6" spans="1:51" ht="15.75" thickTop="1" x14ac:dyDescent="0.25">
      <c r="A6" s="2" t="str">
        <f>TEXT(Tabla1[[#This Row],[FECHA ]],"DDDDD")</f>
        <v>viernes</v>
      </c>
      <c r="B6" s="2" t="str">
        <f>_xlfn.IFNA(VLOOKUP(Tabla1[[#This Row],[DESTINO]],RUBRO!$Q$1:$R$9996,2,FALSE)," ")</f>
        <v>PLANTA</v>
      </c>
      <c r="C6" s="104">
        <f>WEEKNUM(Tabla1[[#This Row],[FECHA ]],2)</f>
        <v>19</v>
      </c>
      <c r="D6" s="104" t="str">
        <f>TEXT(Tabla1[[#This Row],[FECHA ]],"MMM-YY")</f>
        <v>may-YY</v>
      </c>
      <c r="E6" s="104" t="str">
        <f>VLOOKUP(Tabla1[[#This Row],[DNI ]],RUBRO!$F$1:$O$9996,7,FALSE)</f>
        <v>5ta</v>
      </c>
      <c r="F6" s="104" t="str">
        <f>VLOOKUP(Tabla1[[#This Row],[DNI ]],RUBRO!$F$1:$O$88,3,FALSE)</f>
        <v>TEC-02</v>
      </c>
      <c r="G6" s="104" t="str">
        <f>VLOOKUP(Tabla1[[#This Row],[DNI ]],RUBRO!$F$1:$O$9996,5,FALSE)</f>
        <v>TECNICO MECANICO MONTAJISTA DE MAQUINARIA</v>
      </c>
      <c r="H6" s="66" t="str">
        <f>VLOOKUP(Tabla1[[#This Row],[DNI ]],RUBRO!$F$1:$O$9996,6,FALSE)</f>
        <v>ALVAREZ ALVINES JUAN MANUEL</v>
      </c>
      <c r="I6" s="94">
        <v>44323</v>
      </c>
      <c r="J6" s="10">
        <v>1</v>
      </c>
      <c r="K6" s="2">
        <v>46108491</v>
      </c>
      <c r="L6" s="4">
        <f>VLOOKUP(Tabla1[[#This Row],[DNI ]],RUBRO!$F$2:$O$9996,8,FALSE)</f>
        <v>50</v>
      </c>
      <c r="M6" s="88">
        <v>0.29166666666666669</v>
      </c>
      <c r="N6" s="28">
        <v>0.54166666666666663</v>
      </c>
      <c r="O6" s="28">
        <v>0.58333333333333337</v>
      </c>
      <c r="P6" s="28">
        <v>0.70833333333333337</v>
      </c>
      <c r="Q6" s="31">
        <f>(Tabla1[[#This Row],[SALIDA]]-Tabla1[[#This Row],[FIN ]])+(Tabla1[[#This Row],[INICIO]]-Tabla1[[#This Row],[INGRESO]])</f>
        <v>0.37499999999999994</v>
      </c>
      <c r="R6" s="13">
        <f t="shared" ref="R6:R69" si="0">IF(J6=1,IF(Q6&gt;$AU$1,$AU$1,Q6),0)+IF(J6=2,IF(Q6&gt;$AU$3,$AU$3,Q6),0)+IF(J6=8,IF(Q6&gt;$AU$5,$AU$5,Q6),0)</f>
        <v>0.37499999999999994</v>
      </c>
      <c r="S6" s="31">
        <f t="shared" ref="S6:S69" si="1">IF(J6=1,IF(Q6&gt;$AU$1,(Q6-R6),0),0)+IF(J6=2,IF(Q6&gt;$AU$3,(Q6-R6),0),0)+IF(J6=8,IF(Q6&gt;$AU$5,(Q6-R6),0),0)</f>
        <v>0</v>
      </c>
      <c r="T6" s="136"/>
      <c r="U6" s="136"/>
      <c r="V6" s="137">
        <f>(Tabla1[[#This Row],[COS.BASE 3]]*0.25+Tabla1[[#This Row],[COS.BASE 3]])*Tabla1[[#This Row],[HORAS 25 % ]]</f>
        <v>0</v>
      </c>
      <c r="W6" s="138">
        <f>(Tabla1[[#This Row],[COS.BASE 3]]*0.35+Tabla1[[#This Row],[COS.BASE 3]])*Tabla1[[#This Row],[HORAS 35% ]]</f>
        <v>0</v>
      </c>
      <c r="X6" s="138">
        <f>SUM(Tabla1[[#This Row],[C.HORA.35]],Tabla1[[#This Row],[C.HORA.25]])</f>
        <v>0</v>
      </c>
      <c r="Y6" s="31"/>
      <c r="Z6" s="10">
        <f>Tabla1[[#This Row],[T.HORAS]]*24</f>
        <v>8.9999999999999982</v>
      </c>
      <c r="AA6" s="4">
        <f>Tabla1[[#This Row],[H.NORMALES]]*24</f>
        <v>8.9999999999999982</v>
      </c>
      <c r="AB6" s="10">
        <f>Tabla1[[#This Row],[H.EXTRAS]]*24</f>
        <v>0</v>
      </c>
      <c r="AC6" s="105">
        <f t="shared" ref="AC6:AC69" si="2">IF(J6=1,(((R6*24)*(L6/9))),0)+IF(J6=2,(((R6*24)*(L6/8))),0)+IF(J6=8,(((R6*24)*(L6/8))),0)</f>
        <v>49.999999999999986</v>
      </c>
      <c r="AD6" s="120">
        <f>Tabla1[[#This Row],[COS.BASE 2]]/8</f>
        <v>6.2499999999999982</v>
      </c>
      <c r="AE6" s="105">
        <f>Tabla1[[#This Row],[CST_H_E]]+Tabla1[[#This Row],[COS.BASE 2]]</f>
        <v>49.999999999999986</v>
      </c>
      <c r="AF6" s="106">
        <f>+_xlfn.IFNA(INDEX(RUBRO!$W$2:$AA$732,MATCH(Tabla1[[#This Row],[FECHA ]],RUBRO!$W$2:$W$732,0),5)," ")</f>
        <v>0</v>
      </c>
      <c r="AG6" s="10">
        <f>+_xlfn.IFNA(INDEX(RUBRO!$W$2:$AA$732,MATCH(Tabla1[[#This Row],[FECHA ]],RUBRO!$W$2:$W$732,0),2)," ")</f>
        <v>0</v>
      </c>
      <c r="AH6" s="40">
        <f>IFERROR(Tabla1[[#This Row],[F]]*Tabla1[[#This Row],[COS.B+E]]," ")</f>
        <v>0</v>
      </c>
      <c r="AI6" s="40">
        <f>IFERROR(Tabla1[[#This Row],[COS.B+E]]*Tabla1[[#This Row],[D]]," ")</f>
        <v>0</v>
      </c>
      <c r="AJ6" s="40" t="str">
        <f>IFERROR(Tabla1[[#This Row],[F]]*#REF!," ")</f>
        <v xml:space="preserve"> </v>
      </c>
      <c r="AK6" s="40" t="str">
        <f>IFERROR(#REF!*Tabla1[[#This Row],[D]]," ")</f>
        <v xml:space="preserve"> </v>
      </c>
      <c r="AL6" s="103"/>
      <c r="AM6" s="103"/>
      <c r="AN6" s="103"/>
      <c r="AO6" s="38">
        <f>+Tabla1[[#This Row],[COS.B+E]]+Tabla1[[#This Row],[COS.F1]]+Tabla1[[#This Row],[COS.D1]]+Tabla1[[#This Row],[ALIMENTACION]]+Tabla1[[#This Row],[PRESTAMO]]+AN6</f>
        <v>49.999999999999986</v>
      </c>
      <c r="AP6" s="38" t="e">
        <f>+#REF!+Tabla1[[#This Row],[COS F2]]+Tabla1[[#This Row],[COS D2]]+Tabla1[[#This Row],[ALIMENTACION]]+Tabla1[[#This Row],[PRESTAMO]]+Tabla1[[#This Row],[PASAJES]]</f>
        <v>#REF!</v>
      </c>
    </row>
    <row r="7" spans="1:51" x14ac:dyDescent="0.25">
      <c r="A7" s="2" t="str">
        <f>TEXT(Tabla1[[#This Row],[FECHA ]],"DDDDD")</f>
        <v>viernes</v>
      </c>
      <c r="B7" s="2" t="str">
        <f>_xlfn.IFNA(VLOOKUP(Tabla1[[#This Row],[DESTINO]],RUBRO!$Q$1:$R$9996,2,FALSE)," ")</f>
        <v>PLANTA</v>
      </c>
      <c r="C7" s="104">
        <f>WEEKNUM(Tabla1[[#This Row],[FECHA ]],2)</f>
        <v>19</v>
      </c>
      <c r="D7" s="104" t="str">
        <f>TEXT(Tabla1[[#This Row],[FECHA ]],"MMM-YY")</f>
        <v>may-YY</v>
      </c>
      <c r="E7" s="104" t="str">
        <f>VLOOKUP(Tabla1[[#This Row],[DNI ]],RUBRO!$F$1:$O$9996,7,FALSE)</f>
        <v>4ta</v>
      </c>
      <c r="F7" s="104" t="str">
        <f>VLOOKUP(Tabla1[[#This Row],[DNI ]],RUBRO!$F$1:$O$88,3,FALSE)</f>
        <v>OPE-03</v>
      </c>
      <c r="G7" s="104" t="str">
        <f>VLOOKUP(Tabla1[[#This Row],[DNI ]],RUBRO!$F$1:$O$9996,5,FALSE)</f>
        <v>OPERARIO ELECTRICO</v>
      </c>
      <c r="H7" s="66" t="str">
        <f>VLOOKUP(Tabla1[[#This Row],[DNI ]],RUBRO!$F$1:$O$9996,6,FALSE)</f>
        <v>AYALA RAMIREZ RUBEN ISAI</v>
      </c>
      <c r="I7" s="94">
        <v>44323</v>
      </c>
      <c r="J7" s="10">
        <v>1</v>
      </c>
      <c r="K7" s="2">
        <v>75557820</v>
      </c>
      <c r="L7" s="4">
        <f>VLOOKUP(Tabla1[[#This Row],[DNI ]],RUBRO!$F$2:$O$9996,8,FALSE)</f>
        <v>50</v>
      </c>
      <c r="M7" s="88">
        <v>0.29166666666666669</v>
      </c>
      <c r="N7" s="28">
        <v>0.54166666666666663</v>
      </c>
      <c r="O7" s="28">
        <v>0.58333333333333337</v>
      </c>
      <c r="P7" s="28">
        <v>0.70833333333333337</v>
      </c>
      <c r="Q7" s="31">
        <f>(Tabla1[[#This Row],[SALIDA]]-Tabla1[[#This Row],[FIN ]])+(Tabla1[[#This Row],[INICIO]]-Tabla1[[#This Row],[INGRESO]])</f>
        <v>0.37499999999999994</v>
      </c>
      <c r="R7" s="13">
        <f t="shared" si="0"/>
        <v>0.37499999999999994</v>
      </c>
      <c r="S7" s="31">
        <f t="shared" si="1"/>
        <v>0</v>
      </c>
      <c r="T7" s="136"/>
      <c r="U7" s="136"/>
      <c r="V7" s="137">
        <f>(Tabla1[[#This Row],[COS.BASE 3]]*0.25+Tabla1[[#This Row],[COS.BASE 3]])*Tabla1[[#This Row],[HORAS 25 % ]]</f>
        <v>0</v>
      </c>
      <c r="W7" s="138">
        <f>(Tabla1[[#This Row],[COS.BASE 3]]*0.35+Tabla1[[#This Row],[COS.BASE 3]])*Tabla1[[#This Row],[HORAS 35% ]]</f>
        <v>0</v>
      </c>
      <c r="X7" s="138">
        <f>SUM(Tabla1[[#This Row],[C.HORA.35]],Tabla1[[#This Row],[C.HORA.25]])</f>
        <v>0</v>
      </c>
      <c r="Y7" s="31"/>
      <c r="Z7" s="10">
        <f>Tabla1[[#This Row],[T.HORAS]]*24</f>
        <v>8.9999999999999982</v>
      </c>
      <c r="AA7" s="4">
        <f>Tabla1[[#This Row],[H.NORMALES]]*24</f>
        <v>8.9999999999999982</v>
      </c>
      <c r="AB7" s="10">
        <f>Tabla1[[#This Row],[H.EXTRAS]]*24</f>
        <v>0</v>
      </c>
      <c r="AC7" s="105">
        <f t="shared" si="2"/>
        <v>49.999999999999986</v>
      </c>
      <c r="AD7" s="120">
        <f>Tabla1[[#This Row],[COS.BASE 2]]/8</f>
        <v>6.2499999999999982</v>
      </c>
      <c r="AE7" s="105">
        <f>Tabla1[[#This Row],[CST_H_E]]+Tabla1[[#This Row],[COS.BASE 2]]</f>
        <v>49.999999999999986</v>
      </c>
      <c r="AF7" s="106">
        <f>+_xlfn.IFNA(INDEX(RUBRO!$W$2:$AA$732,MATCH(Tabla1[[#This Row],[FECHA ]],RUBRO!$W$2:$W$732,0),5)," ")</f>
        <v>0</v>
      </c>
      <c r="AG7" s="10">
        <f>+_xlfn.IFNA(INDEX(RUBRO!$W$2:$AA$732,MATCH(Tabla1[[#This Row],[FECHA ]],RUBRO!$W$2:$W$732,0),2)," ")</f>
        <v>0</v>
      </c>
      <c r="AH7" s="40">
        <f>IFERROR(Tabla1[[#This Row],[F]]*Tabla1[[#This Row],[COS.B+E]]," ")</f>
        <v>0</v>
      </c>
      <c r="AI7" s="40">
        <f>IFERROR(Tabla1[[#This Row],[COS.B+E]]*Tabla1[[#This Row],[D]]," ")</f>
        <v>0</v>
      </c>
      <c r="AJ7" s="40" t="str">
        <f>IFERROR(Tabla1[[#This Row],[F]]*#REF!," ")</f>
        <v xml:space="preserve"> </v>
      </c>
      <c r="AK7" s="40" t="str">
        <f>IFERROR(#REF!*Tabla1[[#This Row],[D]]," ")</f>
        <v xml:space="preserve"> </v>
      </c>
      <c r="AL7" s="103"/>
      <c r="AM7" s="103"/>
      <c r="AN7" s="103"/>
      <c r="AO7" s="38">
        <f>+Tabla1[[#This Row],[COS.B+E]]+Tabla1[[#This Row],[COS.F1]]+Tabla1[[#This Row],[COS.D1]]+Tabla1[[#This Row],[ALIMENTACION]]+Tabla1[[#This Row],[PRESTAMO]]+AN7</f>
        <v>49.999999999999986</v>
      </c>
      <c r="AP7" s="38" t="e">
        <f>+#REF!+Tabla1[[#This Row],[COS F2]]+Tabla1[[#This Row],[COS D2]]+Tabla1[[#This Row],[ALIMENTACION]]+Tabla1[[#This Row],[PRESTAMO]]+Tabla1[[#This Row],[PASAJES]]</f>
        <v>#REF!</v>
      </c>
    </row>
    <row r="8" spans="1:51" x14ac:dyDescent="0.25">
      <c r="A8" s="2" t="str">
        <f>TEXT(Tabla1[[#This Row],[FECHA ]],"DDDDD")</f>
        <v>viernes</v>
      </c>
      <c r="B8" s="2" t="str">
        <f>_xlfn.IFNA(VLOOKUP(Tabla1[[#This Row],[DESTINO]],RUBRO!$Q$1:$R$9996,2,FALSE)," ")</f>
        <v>OBRA</v>
      </c>
      <c r="C8" s="104">
        <f>WEEKNUM(Tabla1[[#This Row],[FECHA ]],2)</f>
        <v>19</v>
      </c>
      <c r="D8" s="104" t="str">
        <f>TEXT(Tabla1[[#This Row],[FECHA ]],"MMM-YY")</f>
        <v>may-YY</v>
      </c>
      <c r="E8" s="104" t="str">
        <f>VLOOKUP(Tabla1[[#This Row],[DNI ]],RUBRO!$F$1:$O$9996,7,FALSE)</f>
        <v>5ta</v>
      </c>
      <c r="F8" s="104" t="str">
        <f>VLOOKUP(Tabla1[[#This Row],[DNI ]],RUBRO!$F$1:$O$88,3,FALSE)</f>
        <v>OPE-03</v>
      </c>
      <c r="G8" s="104" t="str">
        <f>VLOOKUP(Tabla1[[#This Row],[DNI ]],RUBRO!$F$1:$O$9996,5,FALSE)</f>
        <v>OPERARIO ELECTRICO</v>
      </c>
      <c r="H8" s="66" t="str">
        <f>VLOOKUP(Tabla1[[#This Row],[DNI ]],RUBRO!$F$1:$O$9996,6,FALSE)</f>
        <v>BARRAGAN SALAZAR JHONATAN PEDRO</v>
      </c>
      <c r="I8" s="94">
        <v>44323</v>
      </c>
      <c r="J8" s="10">
        <v>2</v>
      </c>
      <c r="K8" s="2">
        <v>46801821</v>
      </c>
      <c r="L8" s="4">
        <f>VLOOKUP(Tabla1[[#This Row],[DNI ]],RUBRO!$F$2:$O$9996,8,FALSE)</f>
        <v>43.5</v>
      </c>
      <c r="M8" s="88">
        <v>0.29166666666666669</v>
      </c>
      <c r="N8" s="28">
        <v>0.54166666666666663</v>
      </c>
      <c r="O8" s="28">
        <v>0.58333333333333337</v>
      </c>
      <c r="P8" s="28">
        <v>0.75</v>
      </c>
      <c r="Q8" s="31">
        <f>(Tabla1[[#This Row],[SALIDA]]-Tabla1[[#This Row],[FIN ]])+(Tabla1[[#This Row],[INICIO]]-Tabla1[[#This Row],[INGRESO]])</f>
        <v>0.41666666666666657</v>
      </c>
      <c r="R8" s="13">
        <f t="shared" si="0"/>
        <v>0.33333333333333331</v>
      </c>
      <c r="S8" s="31">
        <f t="shared" si="1"/>
        <v>8.3333333333333259E-2</v>
      </c>
      <c r="T8" s="136">
        <v>1</v>
      </c>
      <c r="U8" s="136">
        <v>1</v>
      </c>
      <c r="V8" s="137">
        <f>(Tabla1[[#This Row],[COS.BASE 3]]*0.25+Tabla1[[#This Row],[COS.BASE 3]])*Tabla1[[#This Row],[HORAS 25 % ]]</f>
        <v>6.796875</v>
      </c>
      <c r="W8" s="138">
        <f>(Tabla1[[#This Row],[COS.BASE 3]]*0.35+Tabla1[[#This Row],[COS.BASE 3]])*Tabla1[[#This Row],[HORAS 35% ]]</f>
        <v>7.3406250000000002</v>
      </c>
      <c r="X8" s="138">
        <f>SUM(Tabla1[[#This Row],[C.HORA.35]],Tabla1[[#This Row],[C.HORA.25]])</f>
        <v>14.137499999999999</v>
      </c>
      <c r="Y8" s="31"/>
      <c r="Z8" s="10">
        <f>Tabla1[[#This Row],[T.HORAS]]*24</f>
        <v>9.9999999999999982</v>
      </c>
      <c r="AA8" s="4">
        <f>Tabla1[[#This Row],[H.NORMALES]]*24</f>
        <v>8</v>
      </c>
      <c r="AB8" s="10">
        <f>Tabla1[[#This Row],[H.EXTRAS]]*24</f>
        <v>1.9999999999999982</v>
      </c>
      <c r="AC8" s="105">
        <f t="shared" si="2"/>
        <v>43.5</v>
      </c>
      <c r="AD8" s="120">
        <f>Tabla1[[#This Row],[COS.BASE 2]]/8</f>
        <v>5.4375</v>
      </c>
      <c r="AE8" s="105">
        <f>Tabla1[[#This Row],[CST_H_E]]+Tabla1[[#This Row],[COS.BASE 2]]</f>
        <v>57.637500000000003</v>
      </c>
      <c r="AF8" s="106">
        <f>+_xlfn.IFNA(INDEX(RUBRO!$W$2:$AA$732,MATCH(Tabla1[[#This Row],[FECHA ]],RUBRO!$W$2:$W$732,0),5)," ")</f>
        <v>0</v>
      </c>
      <c r="AG8" s="10">
        <f>+_xlfn.IFNA(INDEX(RUBRO!$W$2:$AA$732,MATCH(Tabla1[[#This Row],[FECHA ]],RUBRO!$W$2:$W$732,0),2)," ")</f>
        <v>0</v>
      </c>
      <c r="AH8" s="40">
        <f>IFERROR(Tabla1[[#This Row],[F]]*Tabla1[[#This Row],[COS.B+E]]," ")</f>
        <v>0</v>
      </c>
      <c r="AI8" s="40">
        <f>IFERROR(Tabla1[[#This Row],[COS.B+E]]*Tabla1[[#This Row],[D]]," ")</f>
        <v>0</v>
      </c>
      <c r="AJ8" s="40" t="str">
        <f>IFERROR(Tabla1[[#This Row],[F]]*#REF!," ")</f>
        <v xml:space="preserve"> </v>
      </c>
      <c r="AK8" s="40" t="str">
        <f>IFERROR(#REF!*Tabla1[[#This Row],[D]]," ")</f>
        <v xml:space="preserve"> </v>
      </c>
      <c r="AL8" s="103"/>
      <c r="AM8" s="103"/>
      <c r="AN8" s="103"/>
      <c r="AO8" s="38">
        <f>+Tabla1[[#This Row],[COS.B+E]]+Tabla1[[#This Row],[COS.F1]]+Tabla1[[#This Row],[COS.D1]]+Tabla1[[#This Row],[ALIMENTACION]]+Tabla1[[#This Row],[PRESTAMO]]+AN8</f>
        <v>57.637500000000003</v>
      </c>
      <c r="AP8" s="38" t="e">
        <f>+#REF!+Tabla1[[#This Row],[COS F2]]+Tabla1[[#This Row],[COS D2]]+Tabla1[[#This Row],[ALIMENTACION]]+Tabla1[[#This Row],[PRESTAMO]]+Tabla1[[#This Row],[PASAJES]]</f>
        <v>#REF!</v>
      </c>
    </row>
    <row r="9" spans="1:51" x14ac:dyDescent="0.25">
      <c r="A9" s="2" t="str">
        <f>TEXT(Tabla1[[#This Row],[FECHA ]],"DDDDD")</f>
        <v>viernes</v>
      </c>
      <c r="B9" s="2" t="str">
        <f>_xlfn.IFNA(VLOOKUP(Tabla1[[#This Row],[DESTINO]],RUBRO!$Q$1:$R$9996,2,FALSE)," ")</f>
        <v>PLANTA</v>
      </c>
      <c r="C9" s="104">
        <f>WEEKNUM(Tabla1[[#This Row],[FECHA ]],2)</f>
        <v>19</v>
      </c>
      <c r="D9" s="104" t="str">
        <f>TEXT(Tabla1[[#This Row],[FECHA ]],"MMM-YY")</f>
        <v>may-YY</v>
      </c>
      <c r="E9" s="104" t="str">
        <f>VLOOKUP(Tabla1[[#This Row],[DNI ]],RUBRO!$F$1:$O$9996,7,FALSE)</f>
        <v>5ta</v>
      </c>
      <c r="F9" s="104" t="str">
        <f>VLOOKUP(Tabla1[[#This Row],[DNI ]],RUBRO!$F$1:$O$88,3,FALSE)</f>
        <v>OPE-01</v>
      </c>
      <c r="G9" s="104" t="str">
        <f>VLOOKUP(Tabla1[[#This Row],[DNI ]],RUBRO!$F$1:$O$9996,5,FALSE)</f>
        <v>OPERARIO SOLDADOR</v>
      </c>
      <c r="H9" s="66" t="str">
        <f>VLOOKUP(Tabla1[[#This Row],[DNI ]],RUBRO!$F$1:$O$9996,6,FALSE)</f>
        <v>BENDEZU PISCO JORGE GUILLERMO</v>
      </c>
      <c r="I9" s="94">
        <v>44323</v>
      </c>
      <c r="J9" s="10">
        <v>1</v>
      </c>
      <c r="K9" s="2">
        <v>10664396</v>
      </c>
      <c r="L9" s="4">
        <f>VLOOKUP(Tabla1[[#This Row],[DNI ]],RUBRO!$F$2:$O$9996,8,FALSE)</f>
        <v>60</v>
      </c>
      <c r="M9" s="88">
        <v>0.29166666666666669</v>
      </c>
      <c r="N9" s="28">
        <v>0.54166666666666663</v>
      </c>
      <c r="O9" s="28">
        <v>0.58333333333333337</v>
      </c>
      <c r="P9" s="28">
        <v>0.70833333333333337</v>
      </c>
      <c r="Q9" s="31">
        <f>(Tabla1[[#This Row],[SALIDA]]-Tabla1[[#This Row],[FIN ]])+(Tabla1[[#This Row],[INICIO]]-Tabla1[[#This Row],[INGRESO]])</f>
        <v>0.37499999999999994</v>
      </c>
      <c r="R9" s="13">
        <f t="shared" si="0"/>
        <v>0.37499999999999994</v>
      </c>
      <c r="S9" s="31">
        <f t="shared" si="1"/>
        <v>0</v>
      </c>
      <c r="T9" s="136"/>
      <c r="U9" s="136"/>
      <c r="V9" s="137">
        <f>(Tabla1[[#This Row],[COS.BASE 3]]*0.25+Tabla1[[#This Row],[COS.BASE 3]])*Tabla1[[#This Row],[HORAS 25 % ]]</f>
        <v>0</v>
      </c>
      <c r="W9" s="138">
        <f>(Tabla1[[#This Row],[COS.BASE 3]]*0.35+Tabla1[[#This Row],[COS.BASE 3]])*Tabla1[[#This Row],[HORAS 35% ]]</f>
        <v>0</v>
      </c>
      <c r="X9" s="138">
        <f>SUM(Tabla1[[#This Row],[C.HORA.35]],Tabla1[[#This Row],[C.HORA.25]])</f>
        <v>0</v>
      </c>
      <c r="Y9" s="31"/>
      <c r="Z9" s="10">
        <f>Tabla1[[#This Row],[T.HORAS]]*24</f>
        <v>8.9999999999999982</v>
      </c>
      <c r="AA9" s="4">
        <f>Tabla1[[#This Row],[H.NORMALES]]*24</f>
        <v>8.9999999999999982</v>
      </c>
      <c r="AB9" s="10">
        <f>Tabla1[[#This Row],[H.EXTRAS]]*24</f>
        <v>0</v>
      </c>
      <c r="AC9" s="105">
        <f t="shared" si="2"/>
        <v>59.999999999999993</v>
      </c>
      <c r="AD9" s="120">
        <f>Tabla1[[#This Row],[COS.BASE 2]]/8</f>
        <v>7.4999999999999991</v>
      </c>
      <c r="AE9" s="105">
        <f>Tabla1[[#This Row],[CST_H_E]]+Tabla1[[#This Row],[COS.BASE 2]]</f>
        <v>59.999999999999993</v>
      </c>
      <c r="AF9" s="106">
        <f>+_xlfn.IFNA(INDEX(RUBRO!$W$2:$AA$732,MATCH(Tabla1[[#This Row],[FECHA ]],RUBRO!$W$2:$W$732,0),5)," ")</f>
        <v>0</v>
      </c>
      <c r="AG9" s="10">
        <f>+_xlfn.IFNA(INDEX(RUBRO!$W$2:$AA$732,MATCH(Tabla1[[#This Row],[FECHA ]],RUBRO!$W$2:$W$732,0),2)," ")</f>
        <v>0</v>
      </c>
      <c r="AH9" s="40">
        <f>IFERROR(Tabla1[[#This Row],[F]]*Tabla1[[#This Row],[COS.B+E]]," ")</f>
        <v>0</v>
      </c>
      <c r="AI9" s="40">
        <f>IFERROR(Tabla1[[#This Row],[COS.B+E]]*Tabla1[[#This Row],[D]]," ")</f>
        <v>0</v>
      </c>
      <c r="AJ9" s="40" t="str">
        <f>IFERROR(Tabla1[[#This Row],[F]]*#REF!," ")</f>
        <v xml:space="preserve"> </v>
      </c>
      <c r="AK9" s="40" t="str">
        <f>IFERROR(#REF!*Tabla1[[#This Row],[D]]," ")</f>
        <v xml:space="preserve"> </v>
      </c>
      <c r="AL9" s="103"/>
      <c r="AM9" s="103"/>
      <c r="AN9" s="103"/>
      <c r="AO9" s="38">
        <f>+Tabla1[[#This Row],[COS.B+E]]+Tabla1[[#This Row],[COS.F1]]+Tabla1[[#This Row],[COS.D1]]+Tabla1[[#This Row],[ALIMENTACION]]+Tabla1[[#This Row],[PRESTAMO]]+AN9</f>
        <v>59.999999999999993</v>
      </c>
      <c r="AP9" s="38" t="e">
        <f>+#REF!+Tabla1[[#This Row],[COS F2]]+Tabla1[[#This Row],[COS D2]]+Tabla1[[#This Row],[ALIMENTACION]]+Tabla1[[#This Row],[PRESTAMO]]+Tabla1[[#This Row],[PASAJES]]</f>
        <v>#REF!</v>
      </c>
    </row>
    <row r="10" spans="1:51" x14ac:dyDescent="0.25">
      <c r="A10" s="2" t="str">
        <f>TEXT(Tabla1[[#This Row],[FECHA ]],"DDDDD")</f>
        <v>viernes</v>
      </c>
      <c r="B10" s="2" t="str">
        <f>_xlfn.IFNA(VLOOKUP(Tabla1[[#This Row],[DESTINO]],RUBRO!$Q$1:$R$9996,2,FALSE)," ")</f>
        <v>FALTA</v>
      </c>
      <c r="C10" s="104">
        <f>WEEKNUM(Tabla1[[#This Row],[FECHA ]],2)</f>
        <v>19</v>
      </c>
      <c r="D10" s="104" t="str">
        <f>TEXT(Tabla1[[#This Row],[FECHA ]],"MMM-YY")</f>
        <v>may-YY</v>
      </c>
      <c r="E10" s="104" t="str">
        <f>VLOOKUP(Tabla1[[#This Row],[DNI ]],RUBRO!$F$1:$O$9996,7,FALSE)</f>
        <v>4ta</v>
      </c>
      <c r="F10" s="104" t="str">
        <f>VLOOKUP(Tabla1[[#This Row],[DNI ]],RUBRO!$F$1:$O$88,3,FALSE)</f>
        <v>OPE-01</v>
      </c>
      <c r="G10" s="104" t="str">
        <f>VLOOKUP(Tabla1[[#This Row],[DNI ]],RUBRO!$F$1:$O$9996,5,FALSE)</f>
        <v>OPERARIO SOLDADOR</v>
      </c>
      <c r="H10" s="66" t="str">
        <f>VLOOKUP(Tabla1[[#This Row],[DNI ]],RUBRO!$F$1:$O$9996,6,FALSE)</f>
        <v>BONILLA CHAVEZ LUIS DANIEL</v>
      </c>
      <c r="I10" s="94">
        <v>44323</v>
      </c>
      <c r="J10" s="10">
        <v>4</v>
      </c>
      <c r="K10" s="2">
        <v>71995358</v>
      </c>
      <c r="L10" s="4">
        <f>VLOOKUP(Tabla1[[#This Row],[DNI ]],RUBRO!$F$2:$O$9996,8,FALSE)</f>
        <v>45</v>
      </c>
      <c r="M10" s="88"/>
      <c r="N10" s="28"/>
      <c r="P10" s="28"/>
      <c r="Q10" s="31">
        <f>(Tabla1[[#This Row],[SALIDA]]-Tabla1[[#This Row],[FIN ]])+(Tabla1[[#This Row],[INICIO]]-Tabla1[[#This Row],[INGRESO]])</f>
        <v>0</v>
      </c>
      <c r="R10" s="13">
        <f t="shared" si="0"/>
        <v>0</v>
      </c>
      <c r="S10" s="31">
        <f t="shared" si="1"/>
        <v>0</v>
      </c>
      <c r="T10" s="136"/>
      <c r="U10" s="136"/>
      <c r="V10" s="137">
        <f>(Tabla1[[#This Row],[COS.BASE 3]]*0.25+Tabla1[[#This Row],[COS.BASE 3]])*Tabla1[[#This Row],[HORAS 25 % ]]</f>
        <v>0</v>
      </c>
      <c r="W10" s="138">
        <f>(Tabla1[[#This Row],[COS.BASE 3]]*0.35+Tabla1[[#This Row],[COS.BASE 3]])*Tabla1[[#This Row],[HORAS 35% ]]</f>
        <v>0</v>
      </c>
      <c r="X10" s="138">
        <f>SUM(Tabla1[[#This Row],[C.HORA.35]],Tabla1[[#This Row],[C.HORA.25]])</f>
        <v>0</v>
      </c>
      <c r="Y10" s="31"/>
      <c r="Z10" s="10">
        <f>Tabla1[[#This Row],[T.HORAS]]*24</f>
        <v>0</v>
      </c>
      <c r="AA10" s="4">
        <f>Tabla1[[#This Row],[H.NORMALES]]*24</f>
        <v>0</v>
      </c>
      <c r="AB10" s="10">
        <f>Tabla1[[#This Row],[H.EXTRAS]]*24</f>
        <v>0</v>
      </c>
      <c r="AC10" s="105">
        <f t="shared" si="2"/>
        <v>0</v>
      </c>
      <c r="AD10" s="120">
        <f>Tabla1[[#This Row],[COS.BASE 2]]/8</f>
        <v>0</v>
      </c>
      <c r="AE10" s="105">
        <f>Tabla1[[#This Row],[CST_H_E]]+Tabla1[[#This Row],[COS.BASE 2]]</f>
        <v>0</v>
      </c>
      <c r="AF10" s="106">
        <f>+_xlfn.IFNA(INDEX(RUBRO!$W$2:$AA$732,MATCH(Tabla1[[#This Row],[FECHA ]],RUBRO!$W$2:$W$732,0),5)," ")</f>
        <v>0</v>
      </c>
      <c r="AG10" s="10">
        <f>+_xlfn.IFNA(INDEX(RUBRO!$W$2:$AA$732,MATCH(Tabla1[[#This Row],[FECHA ]],RUBRO!$W$2:$W$732,0),2)," ")</f>
        <v>0</v>
      </c>
      <c r="AH10" s="40">
        <f>IFERROR(Tabla1[[#This Row],[F]]*Tabla1[[#This Row],[COS.B+E]]," ")</f>
        <v>0</v>
      </c>
      <c r="AI10" s="40">
        <f>IFERROR(Tabla1[[#This Row],[COS.B+E]]*Tabla1[[#This Row],[D]]," ")</f>
        <v>0</v>
      </c>
      <c r="AJ10" s="40" t="str">
        <f>IFERROR(Tabla1[[#This Row],[F]]*#REF!," ")</f>
        <v xml:space="preserve"> </v>
      </c>
      <c r="AK10" s="40" t="str">
        <f>IFERROR(#REF!*Tabla1[[#This Row],[D]]," ")</f>
        <v xml:space="preserve"> </v>
      </c>
      <c r="AL10" s="103"/>
      <c r="AM10" s="103"/>
      <c r="AN10" s="103"/>
      <c r="AO10" s="38">
        <f>+Tabla1[[#This Row],[COS.B+E]]+Tabla1[[#This Row],[COS.F1]]+Tabla1[[#This Row],[COS.D1]]+Tabla1[[#This Row],[ALIMENTACION]]+Tabla1[[#This Row],[PRESTAMO]]+AN10</f>
        <v>0</v>
      </c>
      <c r="AP10" s="38" t="e">
        <f>+#REF!+Tabla1[[#This Row],[COS F2]]+Tabla1[[#This Row],[COS D2]]+Tabla1[[#This Row],[ALIMENTACION]]+Tabla1[[#This Row],[PRESTAMO]]+Tabla1[[#This Row],[PASAJES]]</f>
        <v>#REF!</v>
      </c>
    </row>
    <row r="11" spans="1:51" x14ac:dyDescent="0.25">
      <c r="A11" s="2" t="str">
        <f>TEXT(Tabla1[[#This Row],[FECHA ]],"DDDDD")</f>
        <v>viernes</v>
      </c>
      <c r="B11" s="2" t="str">
        <f>_xlfn.IFNA(VLOOKUP(Tabla1[[#This Row],[DESTINO]],RUBRO!$Q$1:$R$9996,2,FALSE)," ")</f>
        <v>OBRA</v>
      </c>
      <c r="C11" s="104">
        <f>WEEKNUM(Tabla1[[#This Row],[FECHA ]],2)</f>
        <v>19</v>
      </c>
      <c r="D11" s="104" t="str">
        <f>TEXT(Tabla1[[#This Row],[FECHA ]],"MMM-YY")</f>
        <v>may-YY</v>
      </c>
      <c r="E11" s="104" t="str">
        <f>VLOOKUP(Tabla1[[#This Row],[DNI ]],RUBRO!$F$1:$O$9996,7,FALSE)</f>
        <v>5ta</v>
      </c>
      <c r="F11" s="104" t="str">
        <f>VLOOKUP(Tabla1[[#This Row],[DNI ]],RUBRO!$F$1:$O$88,3,FALSE)</f>
        <v>MEC-04</v>
      </c>
      <c r="G11" s="104" t="str">
        <f>VLOOKUP(Tabla1[[#This Row],[DNI ]],RUBRO!$F$1:$O$9996,5,FALSE)</f>
        <v>MECANICO MONTAJISTA DE MAQUINARIA EXTRANJERA</v>
      </c>
      <c r="H11" s="66" t="str">
        <f>VLOOKUP(Tabla1[[#This Row],[DNI ]],RUBRO!$F$1:$O$9996,6,FALSE)</f>
        <v>BUSTAMANTE GONZALES CARLOS</v>
      </c>
      <c r="I11" s="94">
        <v>44323</v>
      </c>
      <c r="J11" s="10">
        <v>2</v>
      </c>
      <c r="K11" s="2">
        <v>27291529</v>
      </c>
      <c r="L11" s="4">
        <f>VLOOKUP(Tabla1[[#This Row],[DNI ]],RUBRO!$F$2:$O$9996,8,FALSE)</f>
        <v>72.540000000000006</v>
      </c>
      <c r="M11" s="88">
        <v>0.29166666666666669</v>
      </c>
      <c r="N11" s="28">
        <v>0.54166666666666663</v>
      </c>
      <c r="O11" s="28">
        <v>0.58333333333333337</v>
      </c>
      <c r="P11" s="28">
        <v>0.75</v>
      </c>
      <c r="Q11" s="31">
        <f>(Tabla1[[#This Row],[SALIDA]]-Tabla1[[#This Row],[FIN ]])+(Tabla1[[#This Row],[INICIO]]-Tabla1[[#This Row],[INGRESO]])</f>
        <v>0.41666666666666657</v>
      </c>
      <c r="R11" s="13">
        <f t="shared" si="0"/>
        <v>0.33333333333333331</v>
      </c>
      <c r="S11" s="31">
        <f t="shared" si="1"/>
        <v>8.3333333333333259E-2</v>
      </c>
      <c r="T11" s="136"/>
      <c r="U11" s="136"/>
      <c r="V11" s="137">
        <f>(Tabla1[[#This Row],[COS.BASE 3]]*0.25+Tabla1[[#This Row],[COS.BASE 3]])*Tabla1[[#This Row],[HORAS 25 % ]]</f>
        <v>0</v>
      </c>
      <c r="W11" s="138">
        <f>(Tabla1[[#This Row],[COS.BASE 3]]*0.35+Tabla1[[#This Row],[COS.BASE 3]])*Tabla1[[#This Row],[HORAS 35% ]]</f>
        <v>0</v>
      </c>
      <c r="X11" s="138">
        <f>SUM(Tabla1[[#This Row],[C.HORA.35]],Tabla1[[#This Row],[C.HORA.25]])</f>
        <v>0</v>
      </c>
      <c r="Y11" s="31"/>
      <c r="Z11" s="10">
        <f>Tabla1[[#This Row],[T.HORAS]]*24</f>
        <v>9.9999999999999982</v>
      </c>
      <c r="AA11" s="4">
        <f>Tabla1[[#This Row],[H.NORMALES]]*24</f>
        <v>8</v>
      </c>
      <c r="AB11" s="10">
        <f>Tabla1[[#This Row],[H.EXTRAS]]*24</f>
        <v>1.9999999999999982</v>
      </c>
      <c r="AC11" s="105">
        <f t="shared" si="2"/>
        <v>72.540000000000006</v>
      </c>
      <c r="AD11" s="120">
        <f>Tabla1[[#This Row],[COS.BASE 2]]/8</f>
        <v>9.0675000000000008</v>
      </c>
      <c r="AE11" s="105">
        <f>Tabla1[[#This Row],[CST_H_E]]+Tabla1[[#This Row],[COS.BASE 2]]</f>
        <v>72.540000000000006</v>
      </c>
      <c r="AF11" s="106">
        <f>+_xlfn.IFNA(INDEX(RUBRO!$W$2:$AA$732,MATCH(Tabla1[[#This Row],[FECHA ]],RUBRO!$W$2:$W$732,0),5)," ")</f>
        <v>0</v>
      </c>
      <c r="AG11" s="10">
        <f>+_xlfn.IFNA(INDEX(RUBRO!$W$2:$AA$732,MATCH(Tabla1[[#This Row],[FECHA ]],RUBRO!$W$2:$W$732,0),2)," ")</f>
        <v>0</v>
      </c>
      <c r="AH11" s="40">
        <f>IFERROR(Tabla1[[#This Row],[F]]*Tabla1[[#This Row],[COS.B+E]]," ")</f>
        <v>0</v>
      </c>
      <c r="AI11" s="40">
        <f>IFERROR(Tabla1[[#This Row],[COS.B+E]]*Tabla1[[#This Row],[D]]," ")</f>
        <v>0</v>
      </c>
      <c r="AJ11" s="40" t="str">
        <f>IFERROR(Tabla1[[#This Row],[F]]*#REF!," ")</f>
        <v xml:space="preserve"> </v>
      </c>
      <c r="AK11" s="40" t="str">
        <f>IFERROR(#REF!*Tabla1[[#This Row],[D]]," ")</f>
        <v xml:space="preserve"> </v>
      </c>
      <c r="AL11" s="103"/>
      <c r="AM11" s="103"/>
      <c r="AN11" s="103"/>
      <c r="AO11" s="38">
        <f>+Tabla1[[#This Row],[COS.B+E]]+Tabla1[[#This Row],[COS.F1]]+Tabla1[[#This Row],[COS.D1]]+Tabla1[[#This Row],[ALIMENTACION]]+Tabla1[[#This Row],[PRESTAMO]]+AN11</f>
        <v>72.540000000000006</v>
      </c>
      <c r="AP11" s="38" t="e">
        <f>+#REF!+Tabla1[[#This Row],[COS F2]]+Tabla1[[#This Row],[COS D2]]+Tabla1[[#This Row],[ALIMENTACION]]+Tabla1[[#This Row],[PRESTAMO]]+Tabla1[[#This Row],[PASAJES]]</f>
        <v>#REF!</v>
      </c>
    </row>
    <row r="12" spans="1:51" x14ac:dyDescent="0.25">
      <c r="A12" s="2" t="str">
        <f>TEXT(Tabla1[[#This Row],[FECHA ]],"DDDDD")</f>
        <v>viernes</v>
      </c>
      <c r="B12" s="2" t="str">
        <f>_xlfn.IFNA(VLOOKUP(Tabla1[[#This Row],[DESTINO]],RUBRO!$Q$1:$R$9996,2,FALSE)," ")</f>
        <v>PLANTA</v>
      </c>
      <c r="C12" s="104">
        <f>WEEKNUM(Tabla1[[#This Row],[FECHA ]],2)</f>
        <v>19</v>
      </c>
      <c r="D12" s="104" t="str">
        <f>TEXT(Tabla1[[#This Row],[FECHA ]],"MMM-YY")</f>
        <v>may-YY</v>
      </c>
      <c r="E12" s="104" t="str">
        <f>VLOOKUP(Tabla1[[#This Row],[DNI ]],RUBRO!$F$1:$O$9996,7,FALSE)</f>
        <v>5ta</v>
      </c>
      <c r="F12" s="104" t="str">
        <f>VLOOKUP(Tabla1[[#This Row],[DNI ]],RUBRO!$F$1:$O$88,3,FALSE)</f>
        <v>TECMN-03</v>
      </c>
      <c r="G12" s="104" t="str">
        <f>VLOOKUP(Tabla1[[#This Row],[DNI ]],RUBRO!$F$1:$O$9996,5,FALSE)</f>
        <v>TECNICO ELECTRICO MONTAJISTA DE MAQUINARIA</v>
      </c>
      <c r="H12" s="66" t="str">
        <f>VLOOKUP(Tabla1[[#This Row],[DNI ]],RUBRO!$F$1:$O$9996,6,FALSE)</f>
        <v>CAMIZAN CUNIAS LENDER NEYDEN</v>
      </c>
      <c r="I12" s="94">
        <v>44323</v>
      </c>
      <c r="J12" s="10">
        <v>1</v>
      </c>
      <c r="K12" s="2">
        <v>47711616</v>
      </c>
      <c r="L12" s="4">
        <f>VLOOKUP(Tabla1[[#This Row],[DNI ]],RUBRO!$F$2:$O$9996,8,FALSE)</f>
        <v>47.73</v>
      </c>
      <c r="M12" s="88">
        <v>0.29166666666666669</v>
      </c>
      <c r="N12" s="28">
        <v>0.54166666666666663</v>
      </c>
      <c r="O12" s="28">
        <v>0.58333333333333337</v>
      </c>
      <c r="P12" s="28">
        <v>0.70833333333333337</v>
      </c>
      <c r="Q12" s="31">
        <f>(Tabla1[[#This Row],[SALIDA]]-Tabla1[[#This Row],[FIN ]])+(Tabla1[[#This Row],[INICIO]]-Tabla1[[#This Row],[INGRESO]])</f>
        <v>0.37499999999999994</v>
      </c>
      <c r="R12" s="13">
        <f t="shared" si="0"/>
        <v>0.37499999999999994</v>
      </c>
      <c r="S12" s="31">
        <f t="shared" si="1"/>
        <v>0</v>
      </c>
      <c r="T12" s="136"/>
      <c r="U12" s="136"/>
      <c r="V12" s="137">
        <f>(Tabla1[[#This Row],[COS.BASE 3]]*0.25+Tabla1[[#This Row],[COS.BASE 3]])*Tabla1[[#This Row],[HORAS 25 % ]]</f>
        <v>0</v>
      </c>
      <c r="W12" s="138">
        <f>(Tabla1[[#This Row],[COS.BASE 3]]*0.35+Tabla1[[#This Row],[COS.BASE 3]])*Tabla1[[#This Row],[HORAS 35% ]]</f>
        <v>0</v>
      </c>
      <c r="X12" s="138">
        <f>SUM(Tabla1[[#This Row],[C.HORA.35]],Tabla1[[#This Row],[C.HORA.25]])</f>
        <v>0</v>
      </c>
      <c r="Y12" s="31"/>
      <c r="Z12" s="10">
        <f>Tabla1[[#This Row],[T.HORAS]]*24</f>
        <v>8.9999999999999982</v>
      </c>
      <c r="AA12" s="4">
        <f>Tabla1[[#This Row],[H.NORMALES]]*24</f>
        <v>8.9999999999999982</v>
      </c>
      <c r="AB12" s="10">
        <f>Tabla1[[#This Row],[H.EXTRAS]]*24</f>
        <v>0</v>
      </c>
      <c r="AC12" s="105">
        <f t="shared" si="2"/>
        <v>47.729999999999983</v>
      </c>
      <c r="AD12" s="120">
        <f>Tabla1[[#This Row],[COS.BASE 2]]/8</f>
        <v>5.9662499999999978</v>
      </c>
      <c r="AE12" s="105">
        <f>Tabla1[[#This Row],[CST_H_E]]+Tabla1[[#This Row],[COS.BASE 2]]</f>
        <v>47.729999999999983</v>
      </c>
      <c r="AF12" s="106">
        <f>+_xlfn.IFNA(INDEX(RUBRO!$W$2:$AA$732,MATCH(Tabla1[[#This Row],[FECHA ]],RUBRO!$W$2:$W$732,0),5)," ")</f>
        <v>0</v>
      </c>
      <c r="AG12" s="10">
        <f>+_xlfn.IFNA(INDEX(RUBRO!$W$2:$AA$732,MATCH(Tabla1[[#This Row],[FECHA ]],RUBRO!$W$2:$W$732,0),2)," ")</f>
        <v>0</v>
      </c>
      <c r="AH12" s="40">
        <f>IFERROR(Tabla1[[#This Row],[F]]*Tabla1[[#This Row],[COS.B+E]]," ")</f>
        <v>0</v>
      </c>
      <c r="AI12" s="40">
        <f>IFERROR(Tabla1[[#This Row],[COS.B+E]]*Tabla1[[#This Row],[D]]," ")</f>
        <v>0</v>
      </c>
      <c r="AJ12" s="40" t="str">
        <f>IFERROR(Tabla1[[#This Row],[F]]*#REF!," ")</f>
        <v xml:space="preserve"> </v>
      </c>
      <c r="AK12" s="40" t="str">
        <f>IFERROR(#REF!*Tabla1[[#This Row],[D]]," ")</f>
        <v xml:space="preserve"> </v>
      </c>
      <c r="AL12" s="103"/>
      <c r="AM12" s="103"/>
      <c r="AN12" s="103"/>
      <c r="AO12" s="38">
        <f>+Tabla1[[#This Row],[COS.B+E]]+Tabla1[[#This Row],[COS.F1]]+Tabla1[[#This Row],[COS.D1]]+Tabla1[[#This Row],[ALIMENTACION]]+Tabla1[[#This Row],[PRESTAMO]]+AN12</f>
        <v>47.729999999999983</v>
      </c>
      <c r="AP12" s="38" t="e">
        <f>+#REF!+Tabla1[[#This Row],[COS F2]]+Tabla1[[#This Row],[COS D2]]+Tabla1[[#This Row],[ALIMENTACION]]+Tabla1[[#This Row],[PRESTAMO]]+Tabla1[[#This Row],[PASAJES]]</f>
        <v>#REF!</v>
      </c>
    </row>
    <row r="13" spans="1:51" x14ac:dyDescent="0.25">
      <c r="A13" s="2" t="str">
        <f>TEXT(Tabla1[[#This Row],[FECHA ]],"DDDDD")</f>
        <v>viernes</v>
      </c>
      <c r="B13" s="2" t="str">
        <f>_xlfn.IFNA(VLOOKUP(Tabla1[[#This Row],[DESTINO]],RUBRO!$Q$1:$R$9996,2,FALSE)," ")</f>
        <v>OBRA</v>
      </c>
      <c r="C13" s="104">
        <f>WEEKNUM(Tabla1[[#This Row],[FECHA ]],2)</f>
        <v>19</v>
      </c>
      <c r="D13" s="104" t="str">
        <f>TEXT(Tabla1[[#This Row],[FECHA ]],"MMM-YY")</f>
        <v>may-YY</v>
      </c>
      <c r="E13" s="104" t="str">
        <f>VLOOKUP(Tabla1[[#This Row],[DNI ]],RUBRO!$F$1:$O$9996,7,FALSE)</f>
        <v>5ta</v>
      </c>
      <c r="F13" s="104" t="str">
        <f>VLOOKUP(Tabla1[[#This Row],[DNI ]],RUBRO!$F$1:$O$88,3,FALSE)</f>
        <v>TEC-05</v>
      </c>
      <c r="G13" s="104" t="str">
        <f>VLOOKUP(Tabla1[[#This Row],[DNI ]],RUBRO!$F$1:$O$9996,5,FALSE)</f>
        <v>TECNICO MECANICO MONTAJISTA DE NAVE INDUSTRIAL</v>
      </c>
      <c r="H13" s="66" t="str">
        <f>VLOOKUP(Tabla1[[#This Row],[DNI ]],RUBRO!$F$1:$O$9996,6,FALSE)</f>
        <v>CAVERO ANCAJIMA JHONATAN</v>
      </c>
      <c r="I13" s="94">
        <v>44323</v>
      </c>
      <c r="J13" s="10">
        <v>2</v>
      </c>
      <c r="K13" s="2">
        <v>48237026</v>
      </c>
      <c r="L13" s="4">
        <f>VLOOKUP(Tabla1[[#This Row],[DNI ]],RUBRO!$F$2:$O$9996,8,FALSE)</f>
        <v>52.2</v>
      </c>
      <c r="M13" s="88">
        <v>0.29166666666666669</v>
      </c>
      <c r="N13" s="28">
        <v>0.54166666666666663</v>
      </c>
      <c r="O13" s="28">
        <v>0.58333333333333337</v>
      </c>
      <c r="P13" s="28">
        <v>0.75</v>
      </c>
      <c r="Q13" s="31">
        <f>(Tabla1[[#This Row],[SALIDA]]-Tabla1[[#This Row],[FIN ]])+(Tabla1[[#This Row],[INICIO]]-Tabla1[[#This Row],[INGRESO]])</f>
        <v>0.41666666666666657</v>
      </c>
      <c r="R13" s="13">
        <f t="shared" si="0"/>
        <v>0.33333333333333331</v>
      </c>
      <c r="S13" s="31">
        <f t="shared" si="1"/>
        <v>8.3333333333333259E-2</v>
      </c>
      <c r="T13" s="136"/>
      <c r="U13" s="136"/>
      <c r="V13" s="137">
        <f>(Tabla1[[#This Row],[COS.BASE 3]]*0.25+Tabla1[[#This Row],[COS.BASE 3]])*Tabla1[[#This Row],[HORAS 25 % ]]</f>
        <v>0</v>
      </c>
      <c r="W13" s="138">
        <f>(Tabla1[[#This Row],[COS.BASE 3]]*0.35+Tabla1[[#This Row],[COS.BASE 3]])*Tabla1[[#This Row],[HORAS 35% ]]</f>
        <v>0</v>
      </c>
      <c r="X13" s="138">
        <f>SUM(Tabla1[[#This Row],[C.HORA.35]],Tabla1[[#This Row],[C.HORA.25]])</f>
        <v>0</v>
      </c>
      <c r="Y13" s="31"/>
      <c r="Z13" s="10">
        <f>Tabla1[[#This Row],[T.HORAS]]*24</f>
        <v>9.9999999999999982</v>
      </c>
      <c r="AA13" s="4">
        <f>Tabla1[[#This Row],[H.NORMALES]]*24</f>
        <v>8</v>
      </c>
      <c r="AB13" s="10">
        <f>Tabla1[[#This Row],[H.EXTRAS]]*24</f>
        <v>1.9999999999999982</v>
      </c>
      <c r="AC13" s="105">
        <f t="shared" si="2"/>
        <v>52.2</v>
      </c>
      <c r="AD13" s="120">
        <f>Tabla1[[#This Row],[COS.BASE 2]]/8</f>
        <v>6.5250000000000004</v>
      </c>
      <c r="AE13" s="105">
        <f>Tabla1[[#This Row],[CST_H_E]]+Tabla1[[#This Row],[COS.BASE 2]]</f>
        <v>52.2</v>
      </c>
      <c r="AF13" s="106">
        <f>+_xlfn.IFNA(INDEX(RUBRO!$W$2:$AA$732,MATCH(Tabla1[[#This Row],[FECHA ]],RUBRO!$W$2:$W$732,0),5)," ")</f>
        <v>0</v>
      </c>
      <c r="AG13" s="10">
        <f>+_xlfn.IFNA(INDEX(RUBRO!$W$2:$AA$732,MATCH(Tabla1[[#This Row],[FECHA ]],RUBRO!$W$2:$W$732,0),2)," ")</f>
        <v>0</v>
      </c>
      <c r="AH13" s="40">
        <f>IFERROR(Tabla1[[#This Row],[F]]*Tabla1[[#This Row],[COS.B+E]]," ")</f>
        <v>0</v>
      </c>
      <c r="AI13" s="40">
        <f>IFERROR(Tabla1[[#This Row],[COS.B+E]]*Tabla1[[#This Row],[D]]," ")</f>
        <v>0</v>
      </c>
      <c r="AJ13" s="40" t="str">
        <f>IFERROR(Tabla1[[#This Row],[F]]*#REF!," ")</f>
        <v xml:space="preserve"> </v>
      </c>
      <c r="AK13" s="40" t="str">
        <f>IFERROR(#REF!*Tabla1[[#This Row],[D]]," ")</f>
        <v xml:space="preserve"> </v>
      </c>
      <c r="AL13" s="103"/>
      <c r="AM13" s="103"/>
      <c r="AN13" s="103"/>
      <c r="AO13" s="38">
        <f>+Tabla1[[#This Row],[COS.B+E]]+Tabla1[[#This Row],[COS.F1]]+Tabla1[[#This Row],[COS.D1]]+Tabla1[[#This Row],[ALIMENTACION]]+Tabla1[[#This Row],[PRESTAMO]]+AN13</f>
        <v>52.2</v>
      </c>
      <c r="AP13" s="38" t="e">
        <f>+#REF!+Tabla1[[#This Row],[COS F2]]+Tabla1[[#This Row],[COS D2]]+Tabla1[[#This Row],[ALIMENTACION]]+Tabla1[[#This Row],[PRESTAMO]]+Tabla1[[#This Row],[PASAJES]]</f>
        <v>#REF!</v>
      </c>
    </row>
    <row r="14" spans="1:51" x14ac:dyDescent="0.25">
      <c r="A14" s="2" t="str">
        <f>TEXT(Tabla1[[#This Row],[FECHA ]],"DDDDD")</f>
        <v>viernes</v>
      </c>
      <c r="B14" s="2" t="str">
        <f>_xlfn.IFNA(VLOOKUP(Tabla1[[#This Row],[DESTINO]],RUBRO!$Q$1:$R$9996,2,FALSE)," ")</f>
        <v>OBRA</v>
      </c>
      <c r="C14" s="104">
        <f>WEEKNUM(Tabla1[[#This Row],[FECHA ]],2)</f>
        <v>19</v>
      </c>
      <c r="D14" s="104" t="str">
        <f>TEXT(Tabla1[[#This Row],[FECHA ]],"MMM-YY")</f>
        <v>may-YY</v>
      </c>
      <c r="E14" s="104" t="str">
        <f>VLOOKUP(Tabla1[[#This Row],[DNI ]],RUBRO!$F$1:$O$9996,7,FALSE)</f>
        <v>5ta</v>
      </c>
      <c r="F14" s="104" t="str">
        <f>VLOOKUP(Tabla1[[#This Row],[DNI ]],RUBRO!$F$1:$O$88,3,FALSE)</f>
        <v>TECME-03</v>
      </c>
      <c r="G14" s="104" t="str">
        <f>VLOOKUP(Tabla1[[#This Row],[DNI ]],RUBRO!$F$1:$O$9996,5,FALSE)</f>
        <v>TECNICO ELECTRICO MONTAJISTA DE MAQUINARIA EXTRANJERA</v>
      </c>
      <c r="H14" s="66" t="str">
        <f>VLOOKUP(Tabla1[[#This Row],[DNI ]],RUBRO!$F$1:$O$9996,6,FALSE)</f>
        <v>CHAQUILA JIMENEZ VICTOR JHEYNER</v>
      </c>
      <c r="I14" s="94">
        <v>44323</v>
      </c>
      <c r="J14" s="10">
        <v>2</v>
      </c>
      <c r="K14" s="2">
        <v>47055982</v>
      </c>
      <c r="L14" s="4">
        <f>VLOOKUP(Tabla1[[#This Row],[DNI ]],RUBRO!$F$2:$O$9996,8,FALSE)</f>
        <v>73.72</v>
      </c>
      <c r="M14" s="88">
        <v>0.29166666666666669</v>
      </c>
      <c r="N14" s="28">
        <v>0.54166666666666663</v>
      </c>
      <c r="O14" s="28">
        <v>0.58333333333333337</v>
      </c>
      <c r="P14" s="28">
        <v>0.75</v>
      </c>
      <c r="Q14" s="31">
        <f>(Tabla1[[#This Row],[SALIDA]]-Tabla1[[#This Row],[FIN ]])+(Tabla1[[#This Row],[INICIO]]-Tabla1[[#This Row],[INGRESO]])</f>
        <v>0.41666666666666657</v>
      </c>
      <c r="R14" s="13">
        <f t="shared" si="0"/>
        <v>0.33333333333333331</v>
      </c>
      <c r="S14" s="31">
        <f t="shared" si="1"/>
        <v>8.3333333333333259E-2</v>
      </c>
      <c r="T14" s="136"/>
      <c r="U14" s="136"/>
      <c r="V14" s="137">
        <f>(Tabla1[[#This Row],[COS.BASE 3]]*0.25+Tabla1[[#This Row],[COS.BASE 3]])*Tabla1[[#This Row],[HORAS 25 % ]]</f>
        <v>0</v>
      </c>
      <c r="W14" s="138">
        <f>(Tabla1[[#This Row],[COS.BASE 3]]*0.35+Tabla1[[#This Row],[COS.BASE 3]])*Tabla1[[#This Row],[HORAS 35% ]]</f>
        <v>0</v>
      </c>
      <c r="X14" s="138">
        <f>SUM(Tabla1[[#This Row],[C.HORA.35]],Tabla1[[#This Row],[C.HORA.25]])</f>
        <v>0</v>
      </c>
      <c r="Y14" s="31"/>
      <c r="Z14" s="10">
        <f>Tabla1[[#This Row],[T.HORAS]]*24</f>
        <v>9.9999999999999982</v>
      </c>
      <c r="AA14" s="4">
        <f>Tabla1[[#This Row],[H.NORMALES]]*24</f>
        <v>8</v>
      </c>
      <c r="AB14" s="10">
        <f>Tabla1[[#This Row],[H.EXTRAS]]*24</f>
        <v>1.9999999999999982</v>
      </c>
      <c r="AC14" s="105">
        <f t="shared" si="2"/>
        <v>73.72</v>
      </c>
      <c r="AD14" s="120">
        <f>Tabla1[[#This Row],[COS.BASE 2]]/8</f>
        <v>9.2149999999999999</v>
      </c>
      <c r="AE14" s="105">
        <f>Tabla1[[#This Row],[CST_H_E]]+Tabla1[[#This Row],[COS.BASE 2]]</f>
        <v>73.72</v>
      </c>
      <c r="AF14" s="106">
        <f>+_xlfn.IFNA(INDEX(RUBRO!$W$2:$AA$732,MATCH(Tabla1[[#This Row],[FECHA ]],RUBRO!$W$2:$W$732,0),5)," ")</f>
        <v>0</v>
      </c>
      <c r="AG14" s="10">
        <f>+_xlfn.IFNA(INDEX(RUBRO!$W$2:$AA$732,MATCH(Tabla1[[#This Row],[FECHA ]],RUBRO!$W$2:$W$732,0),2)," ")</f>
        <v>0</v>
      </c>
      <c r="AH14" s="40">
        <f>IFERROR(Tabla1[[#This Row],[F]]*Tabla1[[#This Row],[COS.B+E]]," ")</f>
        <v>0</v>
      </c>
      <c r="AI14" s="40">
        <f>IFERROR(Tabla1[[#This Row],[COS.B+E]]*Tabla1[[#This Row],[D]]," ")</f>
        <v>0</v>
      </c>
      <c r="AJ14" s="40" t="str">
        <f>IFERROR(Tabla1[[#This Row],[F]]*#REF!," ")</f>
        <v xml:space="preserve"> </v>
      </c>
      <c r="AK14" s="40" t="str">
        <f>IFERROR(#REF!*Tabla1[[#This Row],[D]]," ")</f>
        <v xml:space="preserve"> </v>
      </c>
      <c r="AL14" s="103"/>
      <c r="AM14" s="103"/>
      <c r="AN14" s="103"/>
      <c r="AO14" s="38">
        <f>+Tabla1[[#This Row],[COS.B+E]]+Tabla1[[#This Row],[COS.F1]]+Tabla1[[#This Row],[COS.D1]]+Tabla1[[#This Row],[ALIMENTACION]]+Tabla1[[#This Row],[PRESTAMO]]+AN14</f>
        <v>73.72</v>
      </c>
      <c r="AP14" s="38" t="e">
        <f>+#REF!+Tabla1[[#This Row],[COS F2]]+Tabla1[[#This Row],[COS D2]]+Tabla1[[#This Row],[ALIMENTACION]]+Tabla1[[#This Row],[PRESTAMO]]+Tabla1[[#This Row],[PASAJES]]</f>
        <v>#REF!</v>
      </c>
    </row>
    <row r="15" spans="1:51" x14ac:dyDescent="0.25">
      <c r="A15" s="2" t="str">
        <f>TEXT(Tabla1[[#This Row],[FECHA ]],"DDDDD")</f>
        <v>viernes</v>
      </c>
      <c r="B15" s="2" t="str">
        <f>_xlfn.IFNA(VLOOKUP(Tabla1[[#This Row],[DESTINO]],RUBRO!$Q$1:$R$9996,2,FALSE)," ")</f>
        <v>OBRA</v>
      </c>
      <c r="C15" s="104">
        <f>WEEKNUM(Tabla1[[#This Row],[FECHA ]],2)</f>
        <v>19</v>
      </c>
      <c r="D15" s="104" t="str">
        <f>TEXT(Tabla1[[#This Row],[FECHA ]],"MMM-YY")</f>
        <v>may-YY</v>
      </c>
      <c r="E15" s="104" t="str">
        <f>VLOOKUP(Tabla1[[#This Row],[DNI ]],RUBRO!$F$1:$O$9996,7,FALSE)</f>
        <v>5ta</v>
      </c>
      <c r="F15" s="104" t="e">
        <f>VLOOKUP(Tabla1[[#This Row],[DNI ]],RUBRO!$F$1:$O$88,3,FALSE)</f>
        <v>#N/A</v>
      </c>
      <c r="G15" s="104" t="str">
        <f>VLOOKUP(Tabla1[[#This Row],[DNI ]],RUBRO!$F$1:$O$9996,5,FALSE)</f>
        <v>AYUDANTE DE PRODUCCION</v>
      </c>
      <c r="H15" s="66" t="str">
        <f>VLOOKUP(Tabla1[[#This Row],[DNI ]],RUBRO!$F$1:$O$9996,6,FALSE)</f>
        <v>COPIA BALDERA NILSON</v>
      </c>
      <c r="I15" s="94">
        <v>44323</v>
      </c>
      <c r="J15" s="10">
        <v>2</v>
      </c>
      <c r="K15" s="2">
        <v>48359730</v>
      </c>
      <c r="L15" s="4">
        <f>VLOOKUP(Tabla1[[#This Row],[DNI ]],RUBRO!$F$2:$O$9996,8,FALSE)</f>
        <v>55</v>
      </c>
      <c r="M15" s="88">
        <v>0.29166666666666669</v>
      </c>
      <c r="N15" s="28">
        <v>0.54166666666666663</v>
      </c>
      <c r="O15" s="28">
        <v>0.58333333333333337</v>
      </c>
      <c r="P15" s="28">
        <v>0.75</v>
      </c>
      <c r="Q15" s="31">
        <f>(Tabla1[[#This Row],[SALIDA]]-Tabla1[[#This Row],[FIN ]])+(Tabla1[[#This Row],[INICIO]]-Tabla1[[#This Row],[INGRESO]])</f>
        <v>0.41666666666666657</v>
      </c>
      <c r="R15" s="13">
        <f t="shared" si="0"/>
        <v>0.33333333333333331</v>
      </c>
      <c r="S15" s="31">
        <f t="shared" si="1"/>
        <v>8.3333333333333259E-2</v>
      </c>
      <c r="T15" s="136"/>
      <c r="U15" s="136"/>
      <c r="V15" s="137">
        <f>(Tabla1[[#This Row],[COS.BASE 3]]*0.25+Tabla1[[#This Row],[COS.BASE 3]])*Tabla1[[#This Row],[HORAS 25 % ]]</f>
        <v>0</v>
      </c>
      <c r="W15" s="138">
        <f>(Tabla1[[#This Row],[COS.BASE 3]]*0.35+Tabla1[[#This Row],[COS.BASE 3]])*Tabla1[[#This Row],[HORAS 35% ]]</f>
        <v>0</v>
      </c>
      <c r="X15" s="138">
        <f>SUM(Tabla1[[#This Row],[C.HORA.35]],Tabla1[[#This Row],[C.HORA.25]])</f>
        <v>0</v>
      </c>
      <c r="Y15" s="31"/>
      <c r="Z15" s="10">
        <f>Tabla1[[#This Row],[T.HORAS]]*24</f>
        <v>9.9999999999999982</v>
      </c>
      <c r="AA15" s="4">
        <f>Tabla1[[#This Row],[H.NORMALES]]*24</f>
        <v>8</v>
      </c>
      <c r="AB15" s="10">
        <f>Tabla1[[#This Row],[H.EXTRAS]]*24</f>
        <v>1.9999999999999982</v>
      </c>
      <c r="AC15" s="105">
        <f t="shared" si="2"/>
        <v>55</v>
      </c>
      <c r="AD15" s="120">
        <f>Tabla1[[#This Row],[COS.BASE 2]]/8</f>
        <v>6.875</v>
      </c>
      <c r="AE15" s="105">
        <f>Tabla1[[#This Row],[CST_H_E]]+Tabla1[[#This Row],[COS.BASE 2]]</f>
        <v>55</v>
      </c>
      <c r="AF15" s="106">
        <f>+_xlfn.IFNA(INDEX(RUBRO!$W$2:$AA$732,MATCH(Tabla1[[#This Row],[FECHA ]],RUBRO!$W$2:$W$732,0),5)," ")</f>
        <v>0</v>
      </c>
      <c r="AG15" s="10">
        <f>+_xlfn.IFNA(INDEX(RUBRO!$W$2:$AA$732,MATCH(Tabla1[[#This Row],[FECHA ]],RUBRO!$W$2:$W$732,0),2)," ")</f>
        <v>0</v>
      </c>
      <c r="AH15" s="40">
        <f>IFERROR(Tabla1[[#This Row],[F]]*Tabla1[[#This Row],[COS.B+E]]," ")</f>
        <v>0</v>
      </c>
      <c r="AI15" s="40">
        <f>IFERROR(Tabla1[[#This Row],[COS.B+E]]*Tabla1[[#This Row],[D]]," ")</f>
        <v>0</v>
      </c>
      <c r="AJ15" s="40" t="str">
        <f>IFERROR(Tabla1[[#This Row],[F]]*#REF!," ")</f>
        <v xml:space="preserve"> </v>
      </c>
      <c r="AK15" s="40" t="str">
        <f>IFERROR(#REF!*Tabla1[[#This Row],[D]]," ")</f>
        <v xml:space="preserve"> </v>
      </c>
      <c r="AL15" s="103"/>
      <c r="AM15" s="103"/>
      <c r="AN15" s="103"/>
      <c r="AO15" s="38">
        <f>+Tabla1[[#This Row],[COS.B+E]]+Tabla1[[#This Row],[COS.F1]]+Tabla1[[#This Row],[COS.D1]]+Tabla1[[#This Row],[ALIMENTACION]]+Tabla1[[#This Row],[PRESTAMO]]+AN15</f>
        <v>55</v>
      </c>
      <c r="AP15" s="38" t="e">
        <f>+#REF!+Tabla1[[#This Row],[COS F2]]+Tabla1[[#This Row],[COS D2]]+Tabla1[[#This Row],[ALIMENTACION]]+Tabla1[[#This Row],[PRESTAMO]]+Tabla1[[#This Row],[PASAJES]]</f>
        <v>#REF!</v>
      </c>
    </row>
    <row r="16" spans="1:51" x14ac:dyDescent="0.25">
      <c r="A16" s="2" t="str">
        <f>TEXT(Tabla1[[#This Row],[FECHA ]],"DDDDD")</f>
        <v>viernes</v>
      </c>
      <c r="B16" s="2" t="str">
        <f>_xlfn.IFNA(VLOOKUP(Tabla1[[#This Row],[DESTINO]],RUBRO!$Q$1:$R$9996,2,FALSE)," ")</f>
        <v>PLANTA</v>
      </c>
      <c r="C16" s="104">
        <f>WEEKNUM(Tabla1[[#This Row],[FECHA ]],2)</f>
        <v>19</v>
      </c>
      <c r="D16" s="104" t="str">
        <f>TEXT(Tabla1[[#This Row],[FECHA ]],"MMM-YY")</f>
        <v>may-YY</v>
      </c>
      <c r="E16" s="104" t="str">
        <f>VLOOKUP(Tabla1[[#This Row],[DNI ]],RUBRO!$F$1:$O$9996,7,FALSE)</f>
        <v>5ta</v>
      </c>
      <c r="F16" s="104" t="str">
        <f>VLOOKUP(Tabla1[[#This Row],[DNI ]],RUBRO!$F$1:$O$88,3,FALSE)</f>
        <v>OPE-01</v>
      </c>
      <c r="G16" s="104" t="str">
        <f>VLOOKUP(Tabla1[[#This Row],[DNI ]],RUBRO!$F$1:$O$9996,5,FALSE)</f>
        <v>OPERARIO SOLDADOR</v>
      </c>
      <c r="H16" s="66" t="str">
        <f>VLOOKUP(Tabla1[[#This Row],[DNI ]],RUBRO!$F$1:$O$9996,6,FALSE)</f>
        <v>CORDOVA OJEDA JHON GIAMPIERRE</v>
      </c>
      <c r="I16" s="94">
        <v>44323</v>
      </c>
      <c r="J16" s="10">
        <v>1</v>
      </c>
      <c r="K16" s="2">
        <v>74359947</v>
      </c>
      <c r="L16" s="4">
        <f>VLOOKUP(Tabla1[[#This Row],[DNI ]],RUBRO!$F$2:$O$9996,8,FALSE)</f>
        <v>57.62</v>
      </c>
      <c r="M16" s="88">
        <v>0.29166666666666669</v>
      </c>
      <c r="N16" s="28">
        <v>0.54166666666666663</v>
      </c>
      <c r="O16" s="28">
        <v>0.58333333333333337</v>
      </c>
      <c r="P16" s="28">
        <v>0.79166666666666663</v>
      </c>
      <c r="Q16" s="31">
        <f>(Tabla1[[#This Row],[SALIDA]]-Tabla1[[#This Row],[FIN ]])+(Tabla1[[#This Row],[INICIO]]-Tabla1[[#This Row],[INGRESO]])</f>
        <v>0.4583333333333332</v>
      </c>
      <c r="R16" s="13">
        <f t="shared" si="0"/>
        <v>0.375</v>
      </c>
      <c r="S16" s="31">
        <f t="shared" si="1"/>
        <v>8.3333333333333204E-2</v>
      </c>
      <c r="T16" s="136"/>
      <c r="U16" s="136"/>
      <c r="V16" s="137">
        <f>(Tabla1[[#This Row],[COS.BASE 3]]*0.25+Tabla1[[#This Row],[COS.BASE 3]])*Tabla1[[#This Row],[HORAS 25 % ]]</f>
        <v>0</v>
      </c>
      <c r="W16" s="138">
        <f>(Tabla1[[#This Row],[COS.BASE 3]]*0.35+Tabla1[[#This Row],[COS.BASE 3]])*Tabla1[[#This Row],[HORAS 35% ]]</f>
        <v>0</v>
      </c>
      <c r="X16" s="138">
        <f>SUM(Tabla1[[#This Row],[C.HORA.35]],Tabla1[[#This Row],[C.HORA.25]])</f>
        <v>0</v>
      </c>
      <c r="Y16" s="31"/>
      <c r="Z16" s="10">
        <f>Tabla1[[#This Row],[T.HORAS]]*24</f>
        <v>10.999999999999996</v>
      </c>
      <c r="AA16" s="4">
        <f>Tabla1[[#This Row],[H.NORMALES]]*24</f>
        <v>9</v>
      </c>
      <c r="AB16" s="10">
        <f>Tabla1[[#This Row],[H.EXTRAS]]*24</f>
        <v>1.9999999999999969</v>
      </c>
      <c r="AC16" s="105">
        <f t="shared" si="2"/>
        <v>57.62</v>
      </c>
      <c r="AD16" s="120">
        <f>Tabla1[[#This Row],[COS.BASE 2]]/8</f>
        <v>7.2024999999999997</v>
      </c>
      <c r="AE16" s="105">
        <f>Tabla1[[#This Row],[CST_H_E]]+Tabla1[[#This Row],[COS.BASE 2]]</f>
        <v>57.62</v>
      </c>
      <c r="AF16" s="106">
        <f>+_xlfn.IFNA(INDEX(RUBRO!$W$2:$AA$732,MATCH(Tabla1[[#This Row],[FECHA ]],RUBRO!$W$2:$W$732,0),5)," ")</f>
        <v>0</v>
      </c>
      <c r="AG16" s="10">
        <f>+_xlfn.IFNA(INDEX(RUBRO!$W$2:$AA$732,MATCH(Tabla1[[#This Row],[FECHA ]],RUBRO!$W$2:$W$732,0),2)," ")</f>
        <v>0</v>
      </c>
      <c r="AH16" s="40">
        <f>IFERROR(Tabla1[[#This Row],[F]]*Tabla1[[#This Row],[COS.B+E]]," ")</f>
        <v>0</v>
      </c>
      <c r="AI16" s="40">
        <f>IFERROR(Tabla1[[#This Row],[COS.B+E]]*Tabla1[[#This Row],[D]]," ")</f>
        <v>0</v>
      </c>
      <c r="AJ16" s="40" t="str">
        <f>IFERROR(Tabla1[[#This Row],[F]]*#REF!," ")</f>
        <v xml:space="preserve"> </v>
      </c>
      <c r="AK16" s="40" t="str">
        <f>IFERROR(#REF!*Tabla1[[#This Row],[D]]," ")</f>
        <v xml:space="preserve"> </v>
      </c>
      <c r="AL16" s="103"/>
      <c r="AM16" s="103"/>
      <c r="AN16" s="103"/>
      <c r="AO16" s="38">
        <f>+Tabla1[[#This Row],[COS.B+E]]+Tabla1[[#This Row],[COS.F1]]+Tabla1[[#This Row],[COS.D1]]+Tabla1[[#This Row],[ALIMENTACION]]+Tabla1[[#This Row],[PRESTAMO]]+AN16</f>
        <v>57.62</v>
      </c>
      <c r="AP16" s="38" t="e">
        <f>+#REF!+Tabla1[[#This Row],[COS F2]]+Tabla1[[#This Row],[COS D2]]+Tabla1[[#This Row],[ALIMENTACION]]+Tabla1[[#This Row],[PRESTAMO]]+Tabla1[[#This Row],[PASAJES]]</f>
        <v>#REF!</v>
      </c>
    </row>
    <row r="17" spans="1:42" x14ac:dyDescent="0.25">
      <c r="A17" s="2" t="str">
        <f>TEXT(Tabla1[[#This Row],[FECHA ]],"DDDDD")</f>
        <v>viernes</v>
      </c>
      <c r="B17" s="2" t="str">
        <f>_xlfn.IFNA(VLOOKUP(Tabla1[[#This Row],[DESTINO]],RUBRO!$Q$1:$R$9996,2,FALSE)," ")</f>
        <v>PLANTA</v>
      </c>
      <c r="C17" s="104">
        <f>WEEKNUM(Tabla1[[#This Row],[FECHA ]],2)</f>
        <v>19</v>
      </c>
      <c r="D17" s="104" t="str">
        <f>TEXT(Tabla1[[#This Row],[FECHA ]],"MMM-YY")</f>
        <v>may-YY</v>
      </c>
      <c r="E17" s="104" t="str">
        <f>VLOOKUP(Tabla1[[#This Row],[DNI ]],RUBRO!$F$1:$O$9996,7,FALSE)</f>
        <v>5ta</v>
      </c>
      <c r="F17" s="104" t="str">
        <f>VLOOKUP(Tabla1[[#This Row],[DNI ]],RUBRO!$F$1:$O$88,3,FALSE)</f>
        <v>TEC-02</v>
      </c>
      <c r="G17" s="104" t="str">
        <f>VLOOKUP(Tabla1[[#This Row],[DNI ]],RUBRO!$F$1:$O$9996,5,FALSE)</f>
        <v>TECNICO MECANICO MONTAJISTA DE MAQUINARIA</v>
      </c>
      <c r="H17" s="66" t="str">
        <f>VLOOKUP(Tabla1[[#This Row],[DNI ]],RUBRO!$F$1:$O$9996,6,FALSE)</f>
        <v>CORREA TORRES NOYLER</v>
      </c>
      <c r="I17" s="94">
        <v>44323</v>
      </c>
      <c r="J17" s="10">
        <v>1</v>
      </c>
      <c r="K17" s="2">
        <v>47321409</v>
      </c>
      <c r="L17" s="4">
        <f>VLOOKUP(Tabla1[[#This Row],[DNI ]],RUBRO!$F$2:$O$9996,8,FALSE)</f>
        <v>65</v>
      </c>
      <c r="M17" s="88">
        <v>0.29166666666666669</v>
      </c>
      <c r="N17" s="28">
        <v>0.54166666666666663</v>
      </c>
      <c r="O17" s="28">
        <v>0.58333333333333337</v>
      </c>
      <c r="P17" s="28">
        <v>0.70833333333333337</v>
      </c>
      <c r="Q17" s="31">
        <f>(Tabla1[[#This Row],[SALIDA]]-Tabla1[[#This Row],[FIN ]])+(Tabla1[[#This Row],[INICIO]]-Tabla1[[#This Row],[INGRESO]])</f>
        <v>0.37499999999999994</v>
      </c>
      <c r="R17" s="13">
        <f t="shared" si="0"/>
        <v>0.37499999999999994</v>
      </c>
      <c r="S17" s="31">
        <f t="shared" si="1"/>
        <v>0</v>
      </c>
      <c r="T17" s="136"/>
      <c r="U17" s="136"/>
      <c r="V17" s="137">
        <f>(Tabla1[[#This Row],[COS.BASE 3]]*0.25+Tabla1[[#This Row],[COS.BASE 3]])*Tabla1[[#This Row],[HORAS 25 % ]]</f>
        <v>0</v>
      </c>
      <c r="W17" s="138">
        <f>(Tabla1[[#This Row],[COS.BASE 3]]*0.35+Tabla1[[#This Row],[COS.BASE 3]])*Tabla1[[#This Row],[HORAS 35% ]]</f>
        <v>0</v>
      </c>
      <c r="X17" s="138">
        <f>SUM(Tabla1[[#This Row],[C.HORA.35]],Tabla1[[#This Row],[C.HORA.25]])</f>
        <v>0</v>
      </c>
      <c r="Y17" s="31"/>
      <c r="Z17" s="10">
        <f>Tabla1[[#This Row],[T.HORAS]]*24</f>
        <v>8.9999999999999982</v>
      </c>
      <c r="AA17" s="4">
        <f>Tabla1[[#This Row],[H.NORMALES]]*24</f>
        <v>8.9999999999999982</v>
      </c>
      <c r="AB17" s="10">
        <f>Tabla1[[#This Row],[H.EXTRAS]]*24</f>
        <v>0</v>
      </c>
      <c r="AC17" s="105">
        <f t="shared" si="2"/>
        <v>64.999999999999986</v>
      </c>
      <c r="AD17" s="120">
        <f>Tabla1[[#This Row],[COS.BASE 2]]/8</f>
        <v>8.1249999999999982</v>
      </c>
      <c r="AE17" s="105">
        <f>Tabla1[[#This Row],[CST_H_E]]+Tabla1[[#This Row],[COS.BASE 2]]</f>
        <v>64.999999999999986</v>
      </c>
      <c r="AF17" s="106">
        <f>+_xlfn.IFNA(INDEX(RUBRO!$W$2:$AA$732,MATCH(Tabla1[[#This Row],[FECHA ]],RUBRO!$W$2:$W$732,0),5)," ")</f>
        <v>0</v>
      </c>
      <c r="AG17" s="10">
        <f>+_xlfn.IFNA(INDEX(RUBRO!$W$2:$AA$732,MATCH(Tabla1[[#This Row],[FECHA ]],RUBRO!$W$2:$W$732,0),2)," ")</f>
        <v>0</v>
      </c>
      <c r="AH17" s="40">
        <f>IFERROR(Tabla1[[#This Row],[F]]*Tabla1[[#This Row],[COS.B+E]]," ")</f>
        <v>0</v>
      </c>
      <c r="AI17" s="40">
        <f>IFERROR(Tabla1[[#This Row],[COS.B+E]]*Tabla1[[#This Row],[D]]," ")</f>
        <v>0</v>
      </c>
      <c r="AJ17" s="40" t="str">
        <f>IFERROR(Tabla1[[#This Row],[F]]*#REF!," ")</f>
        <v xml:space="preserve"> </v>
      </c>
      <c r="AK17" s="40" t="str">
        <f>IFERROR(#REF!*Tabla1[[#This Row],[D]]," ")</f>
        <v xml:space="preserve"> </v>
      </c>
      <c r="AL17" s="103"/>
      <c r="AM17" s="103"/>
      <c r="AN17" s="103"/>
      <c r="AO17" s="38">
        <f>+Tabla1[[#This Row],[COS.B+E]]+Tabla1[[#This Row],[COS.F1]]+Tabla1[[#This Row],[COS.D1]]+Tabla1[[#This Row],[ALIMENTACION]]+Tabla1[[#This Row],[PRESTAMO]]+AN17</f>
        <v>64.999999999999986</v>
      </c>
      <c r="AP17" s="38" t="e">
        <f>+#REF!+Tabla1[[#This Row],[COS F2]]+Tabla1[[#This Row],[COS D2]]+Tabla1[[#This Row],[ALIMENTACION]]+Tabla1[[#This Row],[PRESTAMO]]+Tabla1[[#This Row],[PASAJES]]</f>
        <v>#REF!</v>
      </c>
    </row>
    <row r="18" spans="1:42" x14ac:dyDescent="0.25">
      <c r="A18" s="2" t="str">
        <f>TEXT(Tabla1[[#This Row],[FECHA ]],"DDDDD")</f>
        <v>viernes</v>
      </c>
      <c r="B18" s="2" t="str">
        <f>_xlfn.IFNA(VLOOKUP(Tabla1[[#This Row],[DESTINO]],RUBRO!$Q$1:$R$9996,2,FALSE)," ")</f>
        <v>OBRA</v>
      </c>
      <c r="C18" s="104">
        <f>WEEKNUM(Tabla1[[#This Row],[FECHA ]],2)</f>
        <v>19</v>
      </c>
      <c r="D18" s="104" t="str">
        <f>TEXT(Tabla1[[#This Row],[FECHA ]],"MMM-YY")</f>
        <v>may-YY</v>
      </c>
      <c r="E18" s="104" t="str">
        <f>VLOOKUP(Tabla1[[#This Row],[DNI ]],RUBRO!$F$1:$O$9996,7,FALSE)</f>
        <v>5ta</v>
      </c>
      <c r="F18" s="104" t="str">
        <f>VLOOKUP(Tabla1[[#This Row],[DNI ]],RUBRO!$F$1:$O$88,3,FALSE)</f>
        <v>TEC-04</v>
      </c>
      <c r="G18" s="104" t="str">
        <f>VLOOKUP(Tabla1[[#This Row],[DNI ]],RUBRO!$F$1:$O$9996,5,FALSE)</f>
        <v>TECNICO MECANICO MONTAJISTA DE MAQUINARIA EXTRANJERA</v>
      </c>
      <c r="H18" s="66" t="str">
        <f>VLOOKUP(Tabla1[[#This Row],[DNI ]],RUBRO!$F$1:$O$9996,6,FALSE)</f>
        <v>CUYA CAYCHO DANIEL LORENZO</v>
      </c>
      <c r="I18" s="94">
        <v>44323</v>
      </c>
      <c r="J18" s="10">
        <v>2</v>
      </c>
      <c r="K18" s="2">
        <v>70133802</v>
      </c>
      <c r="L18" s="4">
        <f>VLOOKUP(Tabla1[[#This Row],[DNI ]],RUBRO!$F$2:$O$9996,8,FALSE)</f>
        <v>66.92</v>
      </c>
      <c r="M18" s="88">
        <v>0.29166666666666669</v>
      </c>
      <c r="N18" s="28">
        <v>0.54166666666666663</v>
      </c>
      <c r="O18" s="28">
        <v>0.58333333333333337</v>
      </c>
      <c r="P18" s="28">
        <v>0.75</v>
      </c>
      <c r="Q18" s="31">
        <f>(Tabla1[[#This Row],[SALIDA]]-Tabla1[[#This Row],[FIN ]])+(Tabla1[[#This Row],[INICIO]]-Tabla1[[#This Row],[INGRESO]])</f>
        <v>0.41666666666666657</v>
      </c>
      <c r="R18" s="13">
        <f t="shared" si="0"/>
        <v>0.33333333333333331</v>
      </c>
      <c r="S18" s="31">
        <f t="shared" si="1"/>
        <v>8.3333333333333259E-2</v>
      </c>
      <c r="T18" s="136"/>
      <c r="U18" s="136"/>
      <c r="V18" s="137">
        <f>(Tabla1[[#This Row],[COS.BASE 3]]*0.25+Tabla1[[#This Row],[COS.BASE 3]])*Tabla1[[#This Row],[HORAS 25 % ]]</f>
        <v>0</v>
      </c>
      <c r="W18" s="138">
        <f>(Tabla1[[#This Row],[COS.BASE 3]]*0.35+Tabla1[[#This Row],[COS.BASE 3]])*Tabla1[[#This Row],[HORAS 35% ]]</f>
        <v>0</v>
      </c>
      <c r="X18" s="138">
        <f>SUM(Tabla1[[#This Row],[C.HORA.35]],Tabla1[[#This Row],[C.HORA.25]])</f>
        <v>0</v>
      </c>
      <c r="Y18" s="31"/>
      <c r="Z18" s="10">
        <f>Tabla1[[#This Row],[T.HORAS]]*24</f>
        <v>9.9999999999999982</v>
      </c>
      <c r="AA18" s="4">
        <f>Tabla1[[#This Row],[H.NORMALES]]*24</f>
        <v>8</v>
      </c>
      <c r="AB18" s="10">
        <f>Tabla1[[#This Row],[H.EXTRAS]]*24</f>
        <v>1.9999999999999982</v>
      </c>
      <c r="AC18" s="105">
        <f t="shared" si="2"/>
        <v>66.92</v>
      </c>
      <c r="AD18" s="120">
        <f>Tabla1[[#This Row],[COS.BASE 2]]/8</f>
        <v>8.3650000000000002</v>
      </c>
      <c r="AE18" s="105">
        <f>Tabla1[[#This Row],[CST_H_E]]+Tabla1[[#This Row],[COS.BASE 2]]</f>
        <v>66.92</v>
      </c>
      <c r="AF18" s="106">
        <f>+_xlfn.IFNA(INDEX(RUBRO!$W$2:$AA$732,MATCH(Tabla1[[#This Row],[FECHA ]],RUBRO!$W$2:$W$732,0),5)," ")</f>
        <v>0</v>
      </c>
      <c r="AG18" s="10">
        <f>+_xlfn.IFNA(INDEX(RUBRO!$W$2:$AA$732,MATCH(Tabla1[[#This Row],[FECHA ]],RUBRO!$W$2:$W$732,0),2)," ")</f>
        <v>0</v>
      </c>
      <c r="AH18" s="40">
        <f>IFERROR(Tabla1[[#This Row],[F]]*Tabla1[[#This Row],[COS.B+E]]," ")</f>
        <v>0</v>
      </c>
      <c r="AI18" s="40">
        <f>IFERROR(Tabla1[[#This Row],[COS.B+E]]*Tabla1[[#This Row],[D]]," ")</f>
        <v>0</v>
      </c>
      <c r="AJ18" s="40" t="str">
        <f>IFERROR(Tabla1[[#This Row],[F]]*#REF!," ")</f>
        <v xml:space="preserve"> </v>
      </c>
      <c r="AK18" s="40" t="str">
        <f>IFERROR(#REF!*Tabla1[[#This Row],[D]]," ")</f>
        <v xml:space="preserve"> </v>
      </c>
      <c r="AL18" s="103"/>
      <c r="AM18" s="103"/>
      <c r="AN18" s="103"/>
      <c r="AO18" s="38">
        <f>+Tabla1[[#This Row],[COS.B+E]]+Tabla1[[#This Row],[COS.F1]]+Tabla1[[#This Row],[COS.D1]]+Tabla1[[#This Row],[ALIMENTACION]]+Tabla1[[#This Row],[PRESTAMO]]+AN18</f>
        <v>66.92</v>
      </c>
      <c r="AP18" s="38" t="e">
        <f>+#REF!+Tabla1[[#This Row],[COS F2]]+Tabla1[[#This Row],[COS D2]]+Tabla1[[#This Row],[ALIMENTACION]]+Tabla1[[#This Row],[PRESTAMO]]+Tabla1[[#This Row],[PASAJES]]</f>
        <v>#REF!</v>
      </c>
    </row>
    <row r="19" spans="1:42" x14ac:dyDescent="0.25">
      <c r="A19" s="2" t="str">
        <f>TEXT(Tabla1[[#This Row],[FECHA ]],"DDDDD")</f>
        <v>viernes</v>
      </c>
      <c r="B19" s="2" t="str">
        <f>_xlfn.IFNA(VLOOKUP(Tabla1[[#This Row],[DESTINO]],RUBRO!$Q$1:$R$9996,2,FALSE)," ")</f>
        <v>PLANTA</v>
      </c>
      <c r="C19" s="104">
        <f>WEEKNUM(Tabla1[[#This Row],[FECHA ]],2)</f>
        <v>19</v>
      </c>
      <c r="D19" s="104" t="str">
        <f>TEXT(Tabla1[[#This Row],[FECHA ]],"MMM-YY")</f>
        <v>may-YY</v>
      </c>
      <c r="E19" s="104" t="str">
        <f>VLOOKUP(Tabla1[[#This Row],[DNI ]],RUBRO!$F$1:$O$9996,7,FALSE)</f>
        <v>4ta</v>
      </c>
      <c r="F19" s="104" t="e">
        <f>VLOOKUP(Tabla1[[#This Row],[DNI ]],RUBRO!$F$1:$O$88,3,FALSE)</f>
        <v>#N/A</v>
      </c>
      <c r="G19" s="104" t="str">
        <f>VLOOKUP(Tabla1[[#This Row],[DNI ]],RUBRO!$F$1:$O$9996,5,FALSE)</f>
        <v>TECNICO SOLDADOR</v>
      </c>
      <c r="H19" s="66" t="str">
        <f>VLOOKUP(Tabla1[[#This Row],[DNI ]],RUBRO!$F$1:$O$9996,6,FALSE)</f>
        <v>DAMIAN DAMIAN MIGUEL ANGEL</v>
      </c>
      <c r="I19" s="94">
        <v>44323</v>
      </c>
      <c r="J19" s="10">
        <v>1</v>
      </c>
      <c r="K19" s="2">
        <v>75494335</v>
      </c>
      <c r="L19" s="4">
        <f>VLOOKUP(Tabla1[[#This Row],[DNI ]],RUBRO!$F$2:$O$9996,8,FALSE)</f>
        <v>90</v>
      </c>
      <c r="M19" s="88">
        <v>0.29166666666666669</v>
      </c>
      <c r="N19" s="28">
        <v>0.54166666666666663</v>
      </c>
      <c r="O19" s="28">
        <v>0.55208333333333337</v>
      </c>
      <c r="P19" s="28">
        <v>0.67708333333333337</v>
      </c>
      <c r="Q19" s="31">
        <f>(Tabla1[[#This Row],[SALIDA]]-Tabla1[[#This Row],[FIN ]])+(Tabla1[[#This Row],[INICIO]]-Tabla1[[#This Row],[INGRESO]])</f>
        <v>0.37499999999999994</v>
      </c>
      <c r="R19" s="13">
        <f t="shared" si="0"/>
        <v>0.37499999999999994</v>
      </c>
      <c r="S19" s="31">
        <f t="shared" si="1"/>
        <v>0</v>
      </c>
      <c r="T19" s="136"/>
      <c r="U19" s="136"/>
      <c r="V19" s="137">
        <f>(Tabla1[[#This Row],[COS.BASE 3]]*0.25+Tabla1[[#This Row],[COS.BASE 3]])*Tabla1[[#This Row],[HORAS 25 % ]]</f>
        <v>0</v>
      </c>
      <c r="W19" s="138">
        <f>(Tabla1[[#This Row],[COS.BASE 3]]*0.35+Tabla1[[#This Row],[COS.BASE 3]])*Tabla1[[#This Row],[HORAS 35% ]]</f>
        <v>0</v>
      </c>
      <c r="X19" s="138">
        <f>SUM(Tabla1[[#This Row],[C.HORA.35]],Tabla1[[#This Row],[C.HORA.25]])</f>
        <v>0</v>
      </c>
      <c r="Y19" s="31"/>
      <c r="Z19" s="10">
        <f>Tabla1[[#This Row],[T.HORAS]]*24</f>
        <v>8.9999999999999982</v>
      </c>
      <c r="AA19" s="4">
        <f>Tabla1[[#This Row],[H.NORMALES]]*24</f>
        <v>8.9999999999999982</v>
      </c>
      <c r="AB19" s="10">
        <f>Tabla1[[#This Row],[H.EXTRAS]]*24</f>
        <v>0</v>
      </c>
      <c r="AC19" s="105">
        <f t="shared" si="2"/>
        <v>89.999999999999986</v>
      </c>
      <c r="AD19" s="120">
        <f>Tabla1[[#This Row],[COS.BASE 2]]/8</f>
        <v>11.249999999999998</v>
      </c>
      <c r="AE19" s="105">
        <f>Tabla1[[#This Row],[CST_H_E]]+Tabla1[[#This Row],[COS.BASE 2]]</f>
        <v>89.999999999999986</v>
      </c>
      <c r="AF19" s="106">
        <f>+_xlfn.IFNA(INDEX(RUBRO!$W$2:$AA$732,MATCH(Tabla1[[#This Row],[FECHA ]],RUBRO!$W$2:$W$732,0),5)," ")</f>
        <v>0</v>
      </c>
      <c r="AG19" s="10">
        <f>+_xlfn.IFNA(INDEX(RUBRO!$W$2:$AA$732,MATCH(Tabla1[[#This Row],[FECHA ]],RUBRO!$W$2:$W$732,0),2)," ")</f>
        <v>0</v>
      </c>
      <c r="AH19" s="40">
        <f>IFERROR(Tabla1[[#This Row],[F]]*Tabla1[[#This Row],[COS.B+E]]," ")</f>
        <v>0</v>
      </c>
      <c r="AI19" s="40">
        <f>IFERROR(Tabla1[[#This Row],[COS.B+E]]*Tabla1[[#This Row],[D]]," ")</f>
        <v>0</v>
      </c>
      <c r="AJ19" s="40" t="str">
        <f>IFERROR(Tabla1[[#This Row],[F]]*#REF!," ")</f>
        <v xml:space="preserve"> </v>
      </c>
      <c r="AK19" s="40" t="str">
        <f>IFERROR(#REF!*Tabla1[[#This Row],[D]]," ")</f>
        <v xml:space="preserve"> </v>
      </c>
      <c r="AL19" s="103"/>
      <c r="AM19" s="103"/>
      <c r="AN19" s="103"/>
      <c r="AO19" s="38">
        <f>+Tabla1[[#This Row],[COS.B+E]]+Tabla1[[#This Row],[COS.F1]]+Tabla1[[#This Row],[COS.D1]]+Tabla1[[#This Row],[ALIMENTACION]]+Tabla1[[#This Row],[PRESTAMO]]+AN19</f>
        <v>89.999999999999986</v>
      </c>
      <c r="AP19" s="38" t="e">
        <f>+#REF!+Tabla1[[#This Row],[COS F2]]+Tabla1[[#This Row],[COS D2]]+Tabla1[[#This Row],[ALIMENTACION]]+Tabla1[[#This Row],[PRESTAMO]]+Tabla1[[#This Row],[PASAJES]]</f>
        <v>#REF!</v>
      </c>
    </row>
    <row r="20" spans="1:42" x14ac:dyDescent="0.25">
      <c r="A20" s="2" t="str">
        <f>TEXT(Tabla1[[#This Row],[FECHA ]],"DDDDD")</f>
        <v>viernes</v>
      </c>
      <c r="B20" s="2" t="str">
        <f>_xlfn.IFNA(VLOOKUP(Tabla1[[#This Row],[DESTINO]],RUBRO!$Q$1:$R$9996,2,FALSE)," ")</f>
        <v>PLANTA</v>
      </c>
      <c r="C20" s="104">
        <f>WEEKNUM(Tabla1[[#This Row],[FECHA ]],2)</f>
        <v>19</v>
      </c>
      <c r="D20" s="104" t="str">
        <f>TEXT(Tabla1[[#This Row],[FECHA ]],"MMM-YY")</f>
        <v>may-YY</v>
      </c>
      <c r="E20" s="104" t="str">
        <f>VLOOKUP(Tabla1[[#This Row],[DNI ]],RUBRO!$F$1:$O$9996,7,FALSE)</f>
        <v>5ta</v>
      </c>
      <c r="F20" s="104" t="e">
        <f>VLOOKUP(Tabla1[[#This Row],[DNI ]],RUBRO!$F$1:$O$88,3,FALSE)</f>
        <v>#N/A</v>
      </c>
      <c r="G20" s="104" t="str">
        <f>VLOOKUP(Tabla1[[#This Row],[DNI ]],RUBRO!$F$1:$O$9996,5,FALSE)</f>
        <v>AYUDANTE DE PRODUCCION</v>
      </c>
      <c r="H20" s="66" t="str">
        <f>VLOOKUP(Tabla1[[#This Row],[DNI ]],RUBRO!$F$1:$O$9996,6,FALSE)</f>
        <v xml:space="preserve">DELGADO CORONADO ROBERTO </v>
      </c>
      <c r="I20" s="94">
        <v>44323</v>
      </c>
      <c r="J20" s="10">
        <v>1</v>
      </c>
      <c r="K20" s="2">
        <v>76288149</v>
      </c>
      <c r="L20" s="4">
        <f>VLOOKUP(Tabla1[[#This Row],[DNI ]],RUBRO!$F$2:$O$9996,8,FALSE)</f>
        <v>44.32</v>
      </c>
      <c r="M20" s="88">
        <v>0.29166666666666669</v>
      </c>
      <c r="N20" s="28">
        <v>0.54166666666666663</v>
      </c>
      <c r="O20" s="28">
        <v>0.58333333333333337</v>
      </c>
      <c r="P20" s="28">
        <v>0.75</v>
      </c>
      <c r="Q20" s="31">
        <f>(Tabla1[[#This Row],[SALIDA]]-Tabla1[[#This Row],[FIN ]])+(Tabla1[[#This Row],[INICIO]]-Tabla1[[#This Row],[INGRESO]])</f>
        <v>0.41666666666666657</v>
      </c>
      <c r="R20" s="13">
        <f t="shared" si="0"/>
        <v>0.375</v>
      </c>
      <c r="S20" s="31">
        <f t="shared" si="1"/>
        <v>4.1666666666666574E-2</v>
      </c>
      <c r="T20" s="136"/>
      <c r="U20" s="136"/>
      <c r="V20" s="137">
        <f>(Tabla1[[#This Row],[COS.BASE 3]]*0.25+Tabla1[[#This Row],[COS.BASE 3]])*Tabla1[[#This Row],[HORAS 25 % ]]</f>
        <v>0</v>
      </c>
      <c r="W20" s="138">
        <f>(Tabla1[[#This Row],[COS.BASE 3]]*0.35+Tabla1[[#This Row],[COS.BASE 3]])*Tabla1[[#This Row],[HORAS 35% ]]</f>
        <v>0</v>
      </c>
      <c r="X20" s="138">
        <f>SUM(Tabla1[[#This Row],[C.HORA.35]],Tabla1[[#This Row],[C.HORA.25]])</f>
        <v>0</v>
      </c>
      <c r="Y20" s="31"/>
      <c r="Z20" s="10">
        <f>Tabla1[[#This Row],[T.HORAS]]*24</f>
        <v>9.9999999999999982</v>
      </c>
      <c r="AA20" s="4">
        <f>Tabla1[[#This Row],[H.NORMALES]]*24</f>
        <v>9</v>
      </c>
      <c r="AB20" s="10">
        <f>Tabla1[[#This Row],[H.EXTRAS]]*24</f>
        <v>0.99999999999999778</v>
      </c>
      <c r="AC20" s="105">
        <f t="shared" si="2"/>
        <v>44.32</v>
      </c>
      <c r="AD20" s="120">
        <f>Tabla1[[#This Row],[COS.BASE 2]]/8</f>
        <v>5.54</v>
      </c>
      <c r="AE20" s="105">
        <f>Tabla1[[#This Row],[CST_H_E]]+Tabla1[[#This Row],[COS.BASE 2]]</f>
        <v>44.32</v>
      </c>
      <c r="AF20" s="106">
        <f>+_xlfn.IFNA(INDEX(RUBRO!$W$2:$AA$732,MATCH(Tabla1[[#This Row],[FECHA ]],RUBRO!$W$2:$W$732,0),5)," ")</f>
        <v>0</v>
      </c>
      <c r="AG20" s="10">
        <f>+_xlfn.IFNA(INDEX(RUBRO!$W$2:$AA$732,MATCH(Tabla1[[#This Row],[FECHA ]],RUBRO!$W$2:$W$732,0),2)," ")</f>
        <v>0</v>
      </c>
      <c r="AH20" s="40">
        <f>IFERROR(Tabla1[[#This Row],[F]]*Tabla1[[#This Row],[COS.B+E]]," ")</f>
        <v>0</v>
      </c>
      <c r="AI20" s="40">
        <f>IFERROR(Tabla1[[#This Row],[COS.B+E]]*Tabla1[[#This Row],[D]]," ")</f>
        <v>0</v>
      </c>
      <c r="AJ20" s="40" t="str">
        <f>IFERROR(Tabla1[[#This Row],[F]]*#REF!," ")</f>
        <v xml:space="preserve"> </v>
      </c>
      <c r="AK20" s="40" t="str">
        <f>IFERROR(#REF!*Tabla1[[#This Row],[D]]," ")</f>
        <v xml:space="preserve"> </v>
      </c>
      <c r="AL20" s="103"/>
      <c r="AM20" s="103"/>
      <c r="AN20" s="103"/>
      <c r="AO20" s="38">
        <f>+Tabla1[[#This Row],[COS.B+E]]+Tabla1[[#This Row],[COS.F1]]+Tabla1[[#This Row],[COS.D1]]+Tabla1[[#This Row],[ALIMENTACION]]+Tabla1[[#This Row],[PRESTAMO]]+AN20</f>
        <v>44.32</v>
      </c>
      <c r="AP20" s="38" t="e">
        <f>+#REF!+Tabla1[[#This Row],[COS F2]]+Tabla1[[#This Row],[COS D2]]+Tabla1[[#This Row],[ALIMENTACION]]+Tabla1[[#This Row],[PRESTAMO]]+Tabla1[[#This Row],[PASAJES]]</f>
        <v>#REF!</v>
      </c>
    </row>
    <row r="21" spans="1:42" x14ac:dyDescent="0.25">
      <c r="A21" s="2" t="str">
        <f>TEXT(Tabla1[[#This Row],[FECHA ]],"DDDDD")</f>
        <v>viernes</v>
      </c>
      <c r="B21" s="2" t="str">
        <f>_xlfn.IFNA(VLOOKUP(Tabla1[[#This Row],[DESTINO]],RUBRO!$Q$1:$R$9996,2,FALSE)," ")</f>
        <v>OBRA</v>
      </c>
      <c r="C21" s="104">
        <f>WEEKNUM(Tabla1[[#This Row],[FECHA ]],2)</f>
        <v>19</v>
      </c>
      <c r="D21" s="104" t="str">
        <f>TEXT(Tabla1[[#This Row],[FECHA ]],"MMM-YY")</f>
        <v>may-YY</v>
      </c>
      <c r="E21" s="104" t="str">
        <f>VLOOKUP(Tabla1[[#This Row],[DNI ]],RUBRO!$F$1:$O$9996,7,FALSE)</f>
        <v>5ta</v>
      </c>
      <c r="F21" s="104" t="e">
        <f>VLOOKUP(Tabla1[[#This Row],[DNI ]],RUBRO!$F$1:$O$88,3,FALSE)</f>
        <v>#N/A</v>
      </c>
      <c r="G21" s="104" t="str">
        <f>VLOOKUP(Tabla1[[#This Row],[DNI ]],RUBRO!$F$1:$O$9996,5,FALSE)</f>
        <v>AYUDANTE DE PRODUCCION</v>
      </c>
      <c r="H21" s="66" t="str">
        <f>VLOOKUP(Tabla1[[#This Row],[DNI ]],RUBRO!$F$1:$O$9996,6,FALSE)</f>
        <v>DIAZ CABREJOS KELVIN</v>
      </c>
      <c r="I21" s="94">
        <v>44323</v>
      </c>
      <c r="J21" s="10">
        <v>2</v>
      </c>
      <c r="K21" s="2">
        <v>75809362</v>
      </c>
      <c r="L21" s="4">
        <f>VLOOKUP(Tabla1[[#This Row],[DNI ]],RUBRO!$F$2:$O$9996,8,FALSE)</f>
        <v>65</v>
      </c>
      <c r="M21" s="88">
        <v>0.29166666666666669</v>
      </c>
      <c r="N21" s="28">
        <v>0.54166666666666663</v>
      </c>
      <c r="O21" s="28">
        <v>0.58333333333333337</v>
      </c>
      <c r="P21" s="28">
        <v>0.75</v>
      </c>
      <c r="Q21" s="31">
        <f>(Tabla1[[#This Row],[SALIDA]]-Tabla1[[#This Row],[FIN ]])+(Tabla1[[#This Row],[INICIO]]-Tabla1[[#This Row],[INGRESO]])</f>
        <v>0.41666666666666657</v>
      </c>
      <c r="R21" s="13">
        <f t="shared" si="0"/>
        <v>0.33333333333333331</v>
      </c>
      <c r="S21" s="31">
        <f t="shared" si="1"/>
        <v>8.3333333333333259E-2</v>
      </c>
      <c r="T21" s="136"/>
      <c r="U21" s="136"/>
      <c r="V21" s="137">
        <f>(Tabla1[[#This Row],[COS.BASE 3]]*0.25+Tabla1[[#This Row],[COS.BASE 3]])*Tabla1[[#This Row],[HORAS 25 % ]]</f>
        <v>0</v>
      </c>
      <c r="W21" s="138">
        <f>(Tabla1[[#This Row],[COS.BASE 3]]*0.35+Tabla1[[#This Row],[COS.BASE 3]])*Tabla1[[#This Row],[HORAS 35% ]]</f>
        <v>0</v>
      </c>
      <c r="X21" s="138">
        <f>SUM(Tabla1[[#This Row],[C.HORA.35]],Tabla1[[#This Row],[C.HORA.25]])</f>
        <v>0</v>
      </c>
      <c r="Y21" s="31"/>
      <c r="Z21" s="10">
        <f>Tabla1[[#This Row],[T.HORAS]]*24</f>
        <v>9.9999999999999982</v>
      </c>
      <c r="AA21" s="4">
        <f>Tabla1[[#This Row],[H.NORMALES]]*24</f>
        <v>8</v>
      </c>
      <c r="AB21" s="10">
        <f>Tabla1[[#This Row],[H.EXTRAS]]*24</f>
        <v>1.9999999999999982</v>
      </c>
      <c r="AC21" s="105">
        <f t="shared" si="2"/>
        <v>65</v>
      </c>
      <c r="AD21" s="120">
        <f>Tabla1[[#This Row],[COS.BASE 2]]/8</f>
        <v>8.125</v>
      </c>
      <c r="AE21" s="105">
        <f>Tabla1[[#This Row],[CST_H_E]]+Tabla1[[#This Row],[COS.BASE 2]]</f>
        <v>65</v>
      </c>
      <c r="AF21" s="106">
        <f>+_xlfn.IFNA(INDEX(RUBRO!$W$2:$AA$732,MATCH(Tabla1[[#This Row],[FECHA ]],RUBRO!$W$2:$W$732,0),5)," ")</f>
        <v>0</v>
      </c>
      <c r="AG21" s="10">
        <f>+_xlfn.IFNA(INDEX(RUBRO!$W$2:$AA$732,MATCH(Tabla1[[#This Row],[FECHA ]],RUBRO!$W$2:$W$732,0),2)," ")</f>
        <v>0</v>
      </c>
      <c r="AH21" s="40">
        <f>IFERROR(Tabla1[[#This Row],[F]]*Tabla1[[#This Row],[COS.B+E]]," ")</f>
        <v>0</v>
      </c>
      <c r="AI21" s="40">
        <f>IFERROR(Tabla1[[#This Row],[COS.B+E]]*Tabla1[[#This Row],[D]]," ")</f>
        <v>0</v>
      </c>
      <c r="AJ21" s="40" t="str">
        <f>IFERROR(Tabla1[[#This Row],[F]]*#REF!," ")</f>
        <v xml:space="preserve"> </v>
      </c>
      <c r="AK21" s="40" t="str">
        <f>IFERROR(#REF!*Tabla1[[#This Row],[D]]," ")</f>
        <v xml:space="preserve"> </v>
      </c>
      <c r="AL21" s="103"/>
      <c r="AM21" s="103"/>
      <c r="AN21" s="103"/>
      <c r="AO21" s="38">
        <f>+Tabla1[[#This Row],[COS.B+E]]+Tabla1[[#This Row],[COS.F1]]+Tabla1[[#This Row],[COS.D1]]+Tabla1[[#This Row],[ALIMENTACION]]+Tabla1[[#This Row],[PRESTAMO]]+AN21</f>
        <v>65</v>
      </c>
      <c r="AP21" s="38" t="e">
        <f>+#REF!+Tabla1[[#This Row],[COS F2]]+Tabla1[[#This Row],[COS D2]]+Tabla1[[#This Row],[ALIMENTACION]]+Tabla1[[#This Row],[PRESTAMO]]+Tabla1[[#This Row],[PASAJES]]</f>
        <v>#REF!</v>
      </c>
    </row>
    <row r="22" spans="1:42" x14ac:dyDescent="0.25">
      <c r="A22" s="2" t="str">
        <f>TEXT(Tabla1[[#This Row],[FECHA ]],"DDDDD")</f>
        <v>viernes</v>
      </c>
      <c r="B22" s="2" t="str">
        <f>_xlfn.IFNA(VLOOKUP(Tabla1[[#This Row],[DESTINO]],RUBRO!$Q$1:$R$9996,2,FALSE)," ")</f>
        <v>PLANTA</v>
      </c>
      <c r="C22" s="104">
        <f>WEEKNUM(Tabla1[[#This Row],[FECHA ]],2)</f>
        <v>19</v>
      </c>
      <c r="D22" s="104" t="str">
        <f>TEXT(Tabla1[[#This Row],[FECHA ]],"MMM-YY")</f>
        <v>may-YY</v>
      </c>
      <c r="E22" s="104" t="str">
        <f>VLOOKUP(Tabla1[[#This Row],[DNI ]],RUBRO!$F$1:$O$9996,7,FALSE)</f>
        <v>4ta</v>
      </c>
      <c r="F22" s="104" t="str">
        <f>VLOOKUP(Tabla1[[#This Row],[DNI ]],RUBRO!$F$1:$O$88,3,FALSE)</f>
        <v>OPE-01</v>
      </c>
      <c r="G22" s="104" t="str">
        <f>VLOOKUP(Tabla1[[#This Row],[DNI ]],RUBRO!$F$1:$O$9996,5,FALSE)</f>
        <v>OPERARIO SOLDADOR</v>
      </c>
      <c r="H22" s="66" t="str">
        <f>VLOOKUP(Tabla1[[#This Row],[DNI ]],RUBRO!$F$1:$O$9996,6,FALSE)</f>
        <v>ENRIQUEZ GONZALES MIGUEL ANGEL</v>
      </c>
      <c r="I22" s="94">
        <v>44323</v>
      </c>
      <c r="J22" s="10">
        <v>1</v>
      </c>
      <c r="K22" s="2">
        <v>42558469</v>
      </c>
      <c r="L22" s="4">
        <f>VLOOKUP(Tabla1[[#This Row],[DNI ]],RUBRO!$F$2:$O$9996,8,FALSE)</f>
        <v>60</v>
      </c>
      <c r="M22" s="88">
        <v>0.29166666666666669</v>
      </c>
      <c r="N22" s="28">
        <v>0.54166666666666663</v>
      </c>
      <c r="O22" s="28">
        <v>0.58333333333333337</v>
      </c>
      <c r="P22" s="28">
        <v>0.75</v>
      </c>
      <c r="Q22" s="31">
        <f>(Tabla1[[#This Row],[SALIDA]]-Tabla1[[#This Row],[FIN ]])+(Tabla1[[#This Row],[INICIO]]-Tabla1[[#This Row],[INGRESO]])</f>
        <v>0.41666666666666657</v>
      </c>
      <c r="R22" s="13">
        <f t="shared" si="0"/>
        <v>0.375</v>
      </c>
      <c r="S22" s="31">
        <f t="shared" si="1"/>
        <v>4.1666666666666574E-2</v>
      </c>
      <c r="T22" s="136"/>
      <c r="U22" s="136"/>
      <c r="V22" s="137">
        <f>(Tabla1[[#This Row],[COS.BASE 3]]*0.25+Tabla1[[#This Row],[COS.BASE 3]])*Tabla1[[#This Row],[HORAS 25 % ]]</f>
        <v>0</v>
      </c>
      <c r="W22" s="138">
        <f>(Tabla1[[#This Row],[COS.BASE 3]]*0.35+Tabla1[[#This Row],[COS.BASE 3]])*Tabla1[[#This Row],[HORAS 35% ]]</f>
        <v>0</v>
      </c>
      <c r="X22" s="138">
        <f>SUM(Tabla1[[#This Row],[C.HORA.35]],Tabla1[[#This Row],[C.HORA.25]])</f>
        <v>0</v>
      </c>
      <c r="Y22" s="31"/>
      <c r="Z22" s="10">
        <f>Tabla1[[#This Row],[T.HORAS]]*24</f>
        <v>9.9999999999999982</v>
      </c>
      <c r="AA22" s="4">
        <f>Tabla1[[#This Row],[H.NORMALES]]*24</f>
        <v>9</v>
      </c>
      <c r="AB22" s="10">
        <f>Tabla1[[#This Row],[H.EXTRAS]]*24</f>
        <v>0.99999999999999778</v>
      </c>
      <c r="AC22" s="105">
        <f t="shared" si="2"/>
        <v>60</v>
      </c>
      <c r="AD22" s="120">
        <f>Tabla1[[#This Row],[COS.BASE 2]]/8</f>
        <v>7.5</v>
      </c>
      <c r="AE22" s="105">
        <f>Tabla1[[#This Row],[CST_H_E]]+Tabla1[[#This Row],[COS.BASE 2]]</f>
        <v>60</v>
      </c>
      <c r="AF22" s="106">
        <f>+_xlfn.IFNA(INDEX(RUBRO!$W$2:$AA$732,MATCH(Tabla1[[#This Row],[FECHA ]],RUBRO!$W$2:$W$732,0),5)," ")</f>
        <v>0</v>
      </c>
      <c r="AG22" s="10">
        <f>+_xlfn.IFNA(INDEX(RUBRO!$W$2:$AA$732,MATCH(Tabla1[[#This Row],[FECHA ]],RUBRO!$W$2:$W$732,0),2)," ")</f>
        <v>0</v>
      </c>
      <c r="AH22" s="40">
        <f>IFERROR(Tabla1[[#This Row],[F]]*Tabla1[[#This Row],[COS.B+E]]," ")</f>
        <v>0</v>
      </c>
      <c r="AI22" s="40">
        <f>IFERROR(Tabla1[[#This Row],[COS.B+E]]*Tabla1[[#This Row],[D]]," ")</f>
        <v>0</v>
      </c>
      <c r="AJ22" s="40" t="str">
        <f>IFERROR(Tabla1[[#This Row],[F]]*#REF!," ")</f>
        <v xml:space="preserve"> </v>
      </c>
      <c r="AK22" s="40" t="str">
        <f>IFERROR(#REF!*Tabla1[[#This Row],[D]]," ")</f>
        <v xml:space="preserve"> </v>
      </c>
      <c r="AL22" s="103"/>
      <c r="AM22" s="103"/>
      <c r="AN22" s="103"/>
      <c r="AO22" s="38">
        <f>+Tabla1[[#This Row],[COS.B+E]]+Tabla1[[#This Row],[COS.F1]]+Tabla1[[#This Row],[COS.D1]]+Tabla1[[#This Row],[ALIMENTACION]]+Tabla1[[#This Row],[PRESTAMO]]+AN22</f>
        <v>60</v>
      </c>
      <c r="AP22" s="38" t="e">
        <f>+#REF!+Tabla1[[#This Row],[COS F2]]+Tabla1[[#This Row],[COS D2]]+Tabla1[[#This Row],[ALIMENTACION]]+Tabla1[[#This Row],[PRESTAMO]]+Tabla1[[#This Row],[PASAJES]]</f>
        <v>#REF!</v>
      </c>
    </row>
    <row r="23" spans="1:42" x14ac:dyDescent="0.25">
      <c r="A23" s="2" t="str">
        <f>TEXT(Tabla1[[#This Row],[FECHA ]],"DDDDD")</f>
        <v>viernes</v>
      </c>
      <c r="B23" s="2" t="str">
        <f>_xlfn.IFNA(VLOOKUP(Tabla1[[#This Row],[DESTINO]],RUBRO!$Q$1:$R$9996,2,FALSE)," ")</f>
        <v>PLANTA</v>
      </c>
      <c r="C23" s="104">
        <f>WEEKNUM(Tabla1[[#This Row],[FECHA ]],2)</f>
        <v>19</v>
      </c>
      <c r="D23" s="104" t="str">
        <f>TEXT(Tabla1[[#This Row],[FECHA ]],"MMM-YY")</f>
        <v>may-YY</v>
      </c>
      <c r="E23" s="104" t="str">
        <f>VLOOKUP(Tabla1[[#This Row],[DNI ]],RUBRO!$F$1:$O$9996,7,FALSE)</f>
        <v>5ta</v>
      </c>
      <c r="F23" s="104" t="str">
        <f>VLOOKUP(Tabla1[[#This Row],[DNI ]],RUBRO!$F$1:$O$88,3,FALSE)</f>
        <v>MAE-02</v>
      </c>
      <c r="G23" s="104" t="str">
        <f>VLOOKUP(Tabla1[[#This Row],[DNI ]],RUBRO!$F$1:$O$9996,5,FALSE)</f>
        <v>MAESTRO MECANICO MONTAJISTA DE MAQUINARIA</v>
      </c>
      <c r="H23" s="66" t="str">
        <f>VLOOKUP(Tabla1[[#This Row],[DNI ]],RUBRO!$F$1:$O$9996,6,FALSE)</f>
        <v>GRAUS JUAREZ MIGUEL RICARDO</v>
      </c>
      <c r="I23" s="94">
        <v>44323</v>
      </c>
      <c r="J23" s="10">
        <v>1</v>
      </c>
      <c r="K23" s="2">
        <v>48046568</v>
      </c>
      <c r="L23" s="4">
        <f>VLOOKUP(Tabla1[[#This Row],[DNI ]],RUBRO!$F$2:$O$9996,8,FALSE)</f>
        <v>68.150000000000006</v>
      </c>
      <c r="M23" s="88">
        <v>0.29166666666666669</v>
      </c>
      <c r="N23" s="28">
        <v>0.54166666666666663</v>
      </c>
      <c r="O23" s="28">
        <v>0.58333333333333337</v>
      </c>
      <c r="P23" s="28">
        <v>0.70833333333333337</v>
      </c>
      <c r="Q23" s="31">
        <f>(Tabla1[[#This Row],[SALIDA]]-Tabla1[[#This Row],[FIN ]])+(Tabla1[[#This Row],[INICIO]]-Tabla1[[#This Row],[INGRESO]])</f>
        <v>0.37499999999999994</v>
      </c>
      <c r="R23" s="13">
        <f t="shared" si="0"/>
        <v>0.37499999999999994</v>
      </c>
      <c r="S23" s="31">
        <f t="shared" si="1"/>
        <v>0</v>
      </c>
      <c r="T23" s="136"/>
      <c r="U23" s="136"/>
      <c r="V23" s="137">
        <f>(Tabla1[[#This Row],[COS.BASE 3]]*0.25+Tabla1[[#This Row],[COS.BASE 3]])*Tabla1[[#This Row],[HORAS 25 % ]]</f>
        <v>0</v>
      </c>
      <c r="W23" s="138">
        <f>(Tabla1[[#This Row],[COS.BASE 3]]*0.35+Tabla1[[#This Row],[COS.BASE 3]])*Tabla1[[#This Row],[HORAS 35% ]]</f>
        <v>0</v>
      </c>
      <c r="X23" s="138">
        <f>SUM(Tabla1[[#This Row],[C.HORA.35]],Tabla1[[#This Row],[C.HORA.25]])</f>
        <v>0</v>
      </c>
      <c r="Y23" s="31"/>
      <c r="Z23" s="10">
        <f>Tabla1[[#This Row],[T.HORAS]]*24</f>
        <v>8.9999999999999982</v>
      </c>
      <c r="AA23" s="4">
        <f>Tabla1[[#This Row],[H.NORMALES]]*24</f>
        <v>8.9999999999999982</v>
      </c>
      <c r="AB23" s="10">
        <f>Tabla1[[#This Row],[H.EXTRAS]]*24</f>
        <v>0</v>
      </c>
      <c r="AC23" s="105">
        <f t="shared" si="2"/>
        <v>68.149999999999991</v>
      </c>
      <c r="AD23" s="120">
        <f>Tabla1[[#This Row],[COS.BASE 2]]/8</f>
        <v>8.5187499999999989</v>
      </c>
      <c r="AE23" s="105">
        <f>Tabla1[[#This Row],[CST_H_E]]+Tabla1[[#This Row],[COS.BASE 2]]</f>
        <v>68.149999999999991</v>
      </c>
      <c r="AF23" s="106">
        <f>+_xlfn.IFNA(INDEX(RUBRO!$W$2:$AA$732,MATCH(Tabla1[[#This Row],[FECHA ]],RUBRO!$W$2:$W$732,0),5)," ")</f>
        <v>0</v>
      </c>
      <c r="AG23" s="10">
        <f>+_xlfn.IFNA(INDEX(RUBRO!$W$2:$AA$732,MATCH(Tabla1[[#This Row],[FECHA ]],RUBRO!$W$2:$W$732,0),2)," ")</f>
        <v>0</v>
      </c>
      <c r="AH23" s="40">
        <f>IFERROR(Tabla1[[#This Row],[F]]*Tabla1[[#This Row],[COS.B+E]]," ")</f>
        <v>0</v>
      </c>
      <c r="AI23" s="40">
        <f>IFERROR(Tabla1[[#This Row],[COS.B+E]]*Tabla1[[#This Row],[D]]," ")</f>
        <v>0</v>
      </c>
      <c r="AJ23" s="40" t="str">
        <f>IFERROR(Tabla1[[#This Row],[F]]*#REF!," ")</f>
        <v xml:space="preserve"> </v>
      </c>
      <c r="AK23" s="40" t="str">
        <f>IFERROR(#REF!*Tabla1[[#This Row],[D]]," ")</f>
        <v xml:space="preserve"> </v>
      </c>
      <c r="AL23" s="103"/>
      <c r="AM23" s="103"/>
      <c r="AN23" s="103"/>
      <c r="AO23" s="38">
        <f>+Tabla1[[#This Row],[COS.B+E]]+Tabla1[[#This Row],[COS.F1]]+Tabla1[[#This Row],[COS.D1]]+Tabla1[[#This Row],[ALIMENTACION]]+Tabla1[[#This Row],[PRESTAMO]]+AN23</f>
        <v>68.149999999999991</v>
      </c>
      <c r="AP23" s="38" t="e">
        <f>+#REF!+Tabla1[[#This Row],[COS F2]]+Tabla1[[#This Row],[COS D2]]+Tabla1[[#This Row],[ALIMENTACION]]+Tabla1[[#This Row],[PRESTAMO]]+Tabla1[[#This Row],[PASAJES]]</f>
        <v>#REF!</v>
      </c>
    </row>
    <row r="24" spans="1:42" x14ac:dyDescent="0.25">
      <c r="A24" s="2" t="str">
        <f>TEXT(Tabla1[[#This Row],[FECHA ]],"DDDDD")</f>
        <v>viernes</v>
      </c>
      <c r="B24" s="2" t="str">
        <f>_xlfn.IFNA(VLOOKUP(Tabla1[[#This Row],[DESTINO]],RUBRO!$Q$1:$R$9996,2,FALSE)," ")</f>
        <v>PLANTA</v>
      </c>
      <c r="C24" s="104">
        <f>WEEKNUM(Tabla1[[#This Row],[FECHA ]],2)</f>
        <v>19</v>
      </c>
      <c r="D24" s="104" t="str">
        <f>TEXT(Tabla1[[#This Row],[FECHA ]],"MMM-YY")</f>
        <v>may-YY</v>
      </c>
      <c r="E24" s="104" t="str">
        <f>VLOOKUP(Tabla1[[#This Row],[DNI ]],RUBRO!$F$1:$O$9996,7,FALSE)</f>
        <v>5ta</v>
      </c>
      <c r="F24" s="104" t="e">
        <f>VLOOKUP(Tabla1[[#This Row],[DNI ]],RUBRO!$F$1:$O$88,3,FALSE)</f>
        <v>#N/A</v>
      </c>
      <c r="G24" s="104" t="str">
        <f>VLOOKUP(Tabla1[[#This Row],[DNI ]],RUBRO!$F$1:$O$9996,5,FALSE)</f>
        <v>AYUDANTE DE PRODUCCION</v>
      </c>
      <c r="H24" s="66" t="str">
        <f>VLOOKUP(Tabla1[[#This Row],[DNI ]],RUBRO!$F$1:$O$9996,6,FALSE)</f>
        <v>GUERRERO CORDOVA ISMAEL</v>
      </c>
      <c r="I24" s="94">
        <v>44323</v>
      </c>
      <c r="J24" s="10">
        <v>1</v>
      </c>
      <c r="K24" s="2">
        <v>75790434</v>
      </c>
      <c r="L24" s="4">
        <f>VLOOKUP(Tabla1[[#This Row],[DNI ]],RUBRO!$F$2:$O$9996,8,FALSE)</f>
        <v>35.81</v>
      </c>
      <c r="M24" s="88">
        <v>0.29166666666666669</v>
      </c>
      <c r="N24" s="28"/>
      <c r="P24" s="28">
        <v>0.58333333333333337</v>
      </c>
      <c r="Q24" s="31">
        <f>(Tabla1[[#This Row],[SALIDA]]-Tabla1[[#This Row],[FIN ]])+(Tabla1[[#This Row],[INICIO]]-Tabla1[[#This Row],[INGRESO]])</f>
        <v>0.29166666666666669</v>
      </c>
      <c r="R24" s="13">
        <f t="shared" si="0"/>
        <v>0.29166666666666669</v>
      </c>
      <c r="S24" s="31">
        <f t="shared" si="1"/>
        <v>0</v>
      </c>
      <c r="T24" s="136"/>
      <c r="U24" s="136"/>
      <c r="V24" s="137">
        <f>(Tabla1[[#This Row],[COS.BASE 3]]*0.25+Tabla1[[#This Row],[COS.BASE 3]])*Tabla1[[#This Row],[HORAS 25 % ]]</f>
        <v>0</v>
      </c>
      <c r="W24" s="138">
        <f>(Tabla1[[#This Row],[COS.BASE 3]]*0.35+Tabla1[[#This Row],[COS.BASE 3]])*Tabla1[[#This Row],[HORAS 35% ]]</f>
        <v>0</v>
      </c>
      <c r="X24" s="138">
        <f>SUM(Tabla1[[#This Row],[C.HORA.35]],Tabla1[[#This Row],[C.HORA.25]])</f>
        <v>0</v>
      </c>
      <c r="Y24" s="31"/>
      <c r="Z24" s="10">
        <f>Tabla1[[#This Row],[T.HORAS]]*24</f>
        <v>7</v>
      </c>
      <c r="AA24" s="4">
        <f>Tabla1[[#This Row],[H.NORMALES]]*24</f>
        <v>7</v>
      </c>
      <c r="AB24" s="10">
        <f>Tabla1[[#This Row],[H.EXTRAS]]*24</f>
        <v>0</v>
      </c>
      <c r="AC24" s="105">
        <f t="shared" si="2"/>
        <v>27.852222222222224</v>
      </c>
      <c r="AD24" s="120">
        <f>Tabla1[[#This Row],[COS.BASE 2]]/8</f>
        <v>3.481527777777778</v>
      </c>
      <c r="AE24" s="105">
        <f>Tabla1[[#This Row],[CST_H_E]]+Tabla1[[#This Row],[COS.BASE 2]]</f>
        <v>27.852222222222224</v>
      </c>
      <c r="AF24" s="106">
        <f>+_xlfn.IFNA(INDEX(RUBRO!$W$2:$AA$732,MATCH(Tabla1[[#This Row],[FECHA ]],RUBRO!$W$2:$W$732,0),5)," ")</f>
        <v>0</v>
      </c>
      <c r="AG24" s="10">
        <f>+_xlfn.IFNA(INDEX(RUBRO!$W$2:$AA$732,MATCH(Tabla1[[#This Row],[FECHA ]],RUBRO!$W$2:$W$732,0),2)," ")</f>
        <v>0</v>
      </c>
      <c r="AH24" s="40">
        <f>IFERROR(Tabla1[[#This Row],[F]]*Tabla1[[#This Row],[COS.B+E]]," ")</f>
        <v>0</v>
      </c>
      <c r="AI24" s="40">
        <f>IFERROR(Tabla1[[#This Row],[COS.B+E]]*Tabla1[[#This Row],[D]]," ")</f>
        <v>0</v>
      </c>
      <c r="AJ24" s="40" t="str">
        <f>IFERROR(Tabla1[[#This Row],[F]]*#REF!," ")</f>
        <v xml:space="preserve"> </v>
      </c>
      <c r="AK24" s="40" t="str">
        <f>IFERROR(#REF!*Tabla1[[#This Row],[D]]," ")</f>
        <v xml:space="preserve"> </v>
      </c>
      <c r="AL24" s="103"/>
      <c r="AM24" s="103"/>
      <c r="AN24" s="103"/>
      <c r="AO24" s="38">
        <f>+Tabla1[[#This Row],[COS.B+E]]+Tabla1[[#This Row],[COS.F1]]+Tabla1[[#This Row],[COS.D1]]+Tabla1[[#This Row],[ALIMENTACION]]+Tabla1[[#This Row],[PRESTAMO]]+AN24</f>
        <v>27.852222222222224</v>
      </c>
      <c r="AP24" s="38" t="e">
        <f>+#REF!+Tabla1[[#This Row],[COS F2]]+Tabla1[[#This Row],[COS D2]]+Tabla1[[#This Row],[ALIMENTACION]]+Tabla1[[#This Row],[PRESTAMO]]+Tabla1[[#This Row],[PASAJES]]</f>
        <v>#REF!</v>
      </c>
    </row>
    <row r="25" spans="1:42" x14ac:dyDescent="0.25">
      <c r="A25" s="2" t="str">
        <f>TEXT(Tabla1[[#This Row],[FECHA ]],"DDDDD")</f>
        <v>viernes</v>
      </c>
      <c r="B25" s="2" t="str">
        <f>_xlfn.IFNA(VLOOKUP(Tabla1[[#This Row],[DESTINO]],RUBRO!$Q$1:$R$9996,2,FALSE)," ")</f>
        <v>OBRA</v>
      </c>
      <c r="C25" s="104">
        <f>WEEKNUM(Tabla1[[#This Row],[FECHA ]],2)</f>
        <v>19</v>
      </c>
      <c r="D25" s="104" t="str">
        <f>TEXT(Tabla1[[#This Row],[FECHA ]],"MMM-YY")</f>
        <v>may-YY</v>
      </c>
      <c r="E25" s="104" t="str">
        <f>VLOOKUP(Tabla1[[#This Row],[DNI ]],RUBRO!$F$1:$O$9996,7,FALSE)</f>
        <v>4ta</v>
      </c>
      <c r="F25" s="104" t="str">
        <f>VLOOKUP(Tabla1[[#This Row],[DNI ]],RUBRO!$F$1:$O$88,3,FALSE)</f>
        <v>TEC-01</v>
      </c>
      <c r="G25" s="104" t="str">
        <f>VLOOKUP(Tabla1[[#This Row],[DNI ]],RUBRO!$F$1:$O$9996,5,FALSE)</f>
        <v>TECNICO SOLDADOR</v>
      </c>
      <c r="H25" s="66" t="str">
        <f>VLOOKUP(Tabla1[[#This Row],[DNI ]],RUBRO!$F$1:$O$9996,6,FALSE)</f>
        <v>GUEVARA PACHERREZ ERICK DANIEL</v>
      </c>
      <c r="I25" s="94">
        <v>44323</v>
      </c>
      <c r="J25" s="10">
        <v>2</v>
      </c>
      <c r="K25" s="2">
        <v>45545014</v>
      </c>
      <c r="L25" s="4">
        <f>VLOOKUP(Tabla1[[#This Row],[DNI ]],RUBRO!$F$2:$O$9996,8,FALSE)</f>
        <v>60</v>
      </c>
      <c r="M25" s="88">
        <v>0.29166666666666669</v>
      </c>
      <c r="N25" s="28">
        <v>0.54166666666666663</v>
      </c>
      <c r="O25" s="28">
        <v>0.58333333333333337</v>
      </c>
      <c r="P25" s="28">
        <v>0.75</v>
      </c>
      <c r="Q25" s="31">
        <f>(Tabla1[[#This Row],[SALIDA]]-Tabla1[[#This Row],[FIN ]])+(Tabla1[[#This Row],[INICIO]]-Tabla1[[#This Row],[INGRESO]])</f>
        <v>0.41666666666666657</v>
      </c>
      <c r="R25" s="13">
        <f t="shared" si="0"/>
        <v>0.33333333333333331</v>
      </c>
      <c r="S25" s="31">
        <f t="shared" si="1"/>
        <v>8.3333333333333259E-2</v>
      </c>
      <c r="T25" s="136"/>
      <c r="U25" s="136"/>
      <c r="V25" s="137">
        <f>(Tabla1[[#This Row],[COS.BASE 3]]*0.25+Tabla1[[#This Row],[COS.BASE 3]])*Tabla1[[#This Row],[HORAS 25 % ]]</f>
        <v>0</v>
      </c>
      <c r="W25" s="138">
        <f>(Tabla1[[#This Row],[COS.BASE 3]]*0.35+Tabla1[[#This Row],[COS.BASE 3]])*Tabla1[[#This Row],[HORAS 35% ]]</f>
        <v>0</v>
      </c>
      <c r="X25" s="138">
        <f>SUM(Tabla1[[#This Row],[C.HORA.35]],Tabla1[[#This Row],[C.HORA.25]])</f>
        <v>0</v>
      </c>
      <c r="Y25" s="31"/>
      <c r="Z25" s="10">
        <f>Tabla1[[#This Row],[T.HORAS]]*24</f>
        <v>9.9999999999999982</v>
      </c>
      <c r="AA25" s="4">
        <f>Tabla1[[#This Row],[H.NORMALES]]*24</f>
        <v>8</v>
      </c>
      <c r="AB25" s="10">
        <f>Tabla1[[#This Row],[H.EXTRAS]]*24</f>
        <v>1.9999999999999982</v>
      </c>
      <c r="AC25" s="105">
        <f t="shared" si="2"/>
        <v>60</v>
      </c>
      <c r="AD25" s="120">
        <f>Tabla1[[#This Row],[COS.BASE 2]]/8</f>
        <v>7.5</v>
      </c>
      <c r="AE25" s="105">
        <f>Tabla1[[#This Row],[CST_H_E]]+Tabla1[[#This Row],[COS.BASE 2]]</f>
        <v>60</v>
      </c>
      <c r="AF25" s="106">
        <f>+_xlfn.IFNA(INDEX(RUBRO!$W$2:$AA$732,MATCH(Tabla1[[#This Row],[FECHA ]],RUBRO!$W$2:$W$732,0),5)," ")</f>
        <v>0</v>
      </c>
      <c r="AG25" s="10">
        <f>+_xlfn.IFNA(INDEX(RUBRO!$W$2:$AA$732,MATCH(Tabla1[[#This Row],[FECHA ]],RUBRO!$W$2:$W$732,0),2)," ")</f>
        <v>0</v>
      </c>
      <c r="AH25" s="40">
        <f>IFERROR(Tabla1[[#This Row],[F]]*Tabla1[[#This Row],[COS.B+E]]," ")</f>
        <v>0</v>
      </c>
      <c r="AI25" s="40">
        <f>IFERROR(Tabla1[[#This Row],[COS.B+E]]*Tabla1[[#This Row],[D]]," ")</f>
        <v>0</v>
      </c>
      <c r="AJ25" s="40" t="str">
        <f>IFERROR(Tabla1[[#This Row],[F]]*#REF!," ")</f>
        <v xml:space="preserve"> </v>
      </c>
      <c r="AK25" s="40" t="str">
        <f>IFERROR(#REF!*Tabla1[[#This Row],[D]]," ")</f>
        <v xml:space="preserve"> </v>
      </c>
      <c r="AL25" s="103"/>
      <c r="AM25" s="103"/>
      <c r="AN25" s="103"/>
      <c r="AO25" s="38">
        <f>+Tabla1[[#This Row],[COS.B+E]]+Tabla1[[#This Row],[COS.F1]]+Tabla1[[#This Row],[COS.D1]]+Tabla1[[#This Row],[ALIMENTACION]]+Tabla1[[#This Row],[PRESTAMO]]+AN25</f>
        <v>60</v>
      </c>
      <c r="AP25" s="38" t="e">
        <f>+#REF!+Tabla1[[#This Row],[COS F2]]+Tabla1[[#This Row],[COS D2]]+Tabla1[[#This Row],[ALIMENTACION]]+Tabla1[[#This Row],[PRESTAMO]]+Tabla1[[#This Row],[PASAJES]]</f>
        <v>#REF!</v>
      </c>
    </row>
    <row r="26" spans="1:42" x14ac:dyDescent="0.25">
      <c r="A26" s="2" t="str">
        <f>TEXT(Tabla1[[#This Row],[FECHA ]],"DDDDD")</f>
        <v>viernes</v>
      </c>
      <c r="B26" s="2" t="str">
        <f>_xlfn.IFNA(VLOOKUP(Tabla1[[#This Row],[DESTINO]],RUBRO!$Q$1:$R$9996,2,FALSE)," ")</f>
        <v>OBRA</v>
      </c>
      <c r="C26" s="104">
        <f>WEEKNUM(Tabla1[[#This Row],[FECHA ]],2)</f>
        <v>19</v>
      </c>
      <c r="D26" s="104" t="str">
        <f>TEXT(Tabla1[[#This Row],[FECHA ]],"MMM-YY")</f>
        <v>may-YY</v>
      </c>
      <c r="E26" s="104" t="str">
        <f>VLOOKUP(Tabla1[[#This Row],[DNI ]],RUBRO!$F$1:$O$9996,7,FALSE)</f>
        <v>5ta</v>
      </c>
      <c r="F26" s="104" t="str">
        <f>VLOOKUP(Tabla1[[#This Row],[DNI ]],RUBRO!$F$1:$O$88,3,FALSE)</f>
        <v>X6</v>
      </c>
      <c r="G26" s="104" t="str">
        <f>VLOOKUP(Tabla1[[#This Row],[DNI ]],RUBRO!$F$1:$O$9996,5,FALSE)</f>
        <v>SUPERVISOR DE MONTAJE Y DESMONTAJE</v>
      </c>
      <c r="H26" s="66" t="str">
        <f>VLOOKUP(Tabla1[[#This Row],[DNI ]],RUBRO!$F$1:$O$9996,6,FALSE)</f>
        <v>HERRERA NAVARRO OSMER</v>
      </c>
      <c r="I26" s="94">
        <v>44323</v>
      </c>
      <c r="J26" s="10">
        <v>2</v>
      </c>
      <c r="K26" s="2">
        <v>45327555</v>
      </c>
      <c r="L26" s="4">
        <f>VLOOKUP(Tabla1[[#This Row],[DNI ]],RUBRO!$F$2:$O$9996,8,FALSE)</f>
        <v>62.31</v>
      </c>
      <c r="M26" s="88">
        <v>0.29166666666666669</v>
      </c>
      <c r="N26" s="28">
        <v>0.54166666666666663</v>
      </c>
      <c r="O26" s="28">
        <v>0.58333333333333337</v>
      </c>
      <c r="P26" s="28">
        <v>0.75</v>
      </c>
      <c r="Q26" s="31">
        <f>(Tabla1[[#This Row],[SALIDA]]-Tabla1[[#This Row],[FIN ]])+(Tabla1[[#This Row],[INICIO]]-Tabla1[[#This Row],[INGRESO]])</f>
        <v>0.41666666666666657</v>
      </c>
      <c r="R26" s="13">
        <f t="shared" si="0"/>
        <v>0.33333333333333331</v>
      </c>
      <c r="S26" s="31">
        <f t="shared" si="1"/>
        <v>8.3333333333333259E-2</v>
      </c>
      <c r="T26" s="136"/>
      <c r="U26" s="136"/>
      <c r="V26" s="137">
        <f>(Tabla1[[#This Row],[COS.BASE 3]]*0.25+Tabla1[[#This Row],[COS.BASE 3]])*Tabla1[[#This Row],[HORAS 25 % ]]</f>
        <v>0</v>
      </c>
      <c r="W26" s="138">
        <f>(Tabla1[[#This Row],[COS.BASE 3]]*0.35+Tabla1[[#This Row],[COS.BASE 3]])*Tabla1[[#This Row],[HORAS 35% ]]</f>
        <v>0</v>
      </c>
      <c r="X26" s="138">
        <f>SUM(Tabla1[[#This Row],[C.HORA.35]],Tabla1[[#This Row],[C.HORA.25]])</f>
        <v>0</v>
      </c>
      <c r="Y26" s="31"/>
      <c r="Z26" s="10">
        <f>Tabla1[[#This Row],[T.HORAS]]*24</f>
        <v>9.9999999999999982</v>
      </c>
      <c r="AA26" s="4">
        <f>Tabla1[[#This Row],[H.NORMALES]]*24</f>
        <v>8</v>
      </c>
      <c r="AB26" s="10">
        <f>Tabla1[[#This Row],[H.EXTRAS]]*24</f>
        <v>1.9999999999999982</v>
      </c>
      <c r="AC26" s="105">
        <f t="shared" si="2"/>
        <v>62.31</v>
      </c>
      <c r="AD26" s="120">
        <f>Tabla1[[#This Row],[COS.BASE 2]]/8</f>
        <v>7.7887500000000003</v>
      </c>
      <c r="AE26" s="105">
        <f>Tabla1[[#This Row],[CST_H_E]]+Tabla1[[#This Row],[COS.BASE 2]]</f>
        <v>62.31</v>
      </c>
      <c r="AF26" s="106">
        <f>+_xlfn.IFNA(INDEX(RUBRO!$W$2:$AA$732,MATCH(Tabla1[[#This Row],[FECHA ]],RUBRO!$W$2:$W$732,0),5)," ")</f>
        <v>0</v>
      </c>
      <c r="AG26" s="10">
        <f>+_xlfn.IFNA(INDEX(RUBRO!$W$2:$AA$732,MATCH(Tabla1[[#This Row],[FECHA ]],RUBRO!$W$2:$W$732,0),2)," ")</f>
        <v>0</v>
      </c>
      <c r="AH26" s="40">
        <f>IFERROR(Tabla1[[#This Row],[F]]*Tabla1[[#This Row],[COS.B+E]]," ")</f>
        <v>0</v>
      </c>
      <c r="AI26" s="40">
        <f>IFERROR(Tabla1[[#This Row],[COS.B+E]]*Tabla1[[#This Row],[D]]," ")</f>
        <v>0</v>
      </c>
      <c r="AJ26" s="40" t="str">
        <f>IFERROR(Tabla1[[#This Row],[F]]*#REF!," ")</f>
        <v xml:space="preserve"> </v>
      </c>
      <c r="AK26" s="40" t="str">
        <f>IFERROR(#REF!*Tabla1[[#This Row],[D]]," ")</f>
        <v xml:space="preserve"> </v>
      </c>
      <c r="AL26" s="103"/>
      <c r="AM26" s="103"/>
      <c r="AN26" s="103"/>
      <c r="AO26" s="38">
        <f>+Tabla1[[#This Row],[COS.B+E]]+Tabla1[[#This Row],[COS.F1]]+Tabla1[[#This Row],[COS.D1]]+Tabla1[[#This Row],[ALIMENTACION]]+Tabla1[[#This Row],[PRESTAMO]]+AN26</f>
        <v>62.31</v>
      </c>
      <c r="AP26" s="38" t="e">
        <f>+#REF!+Tabla1[[#This Row],[COS F2]]+Tabla1[[#This Row],[COS D2]]+Tabla1[[#This Row],[ALIMENTACION]]+Tabla1[[#This Row],[PRESTAMO]]+Tabla1[[#This Row],[PASAJES]]</f>
        <v>#REF!</v>
      </c>
    </row>
    <row r="27" spans="1:42" x14ac:dyDescent="0.25">
      <c r="A27" s="2" t="str">
        <f>TEXT(Tabla1[[#This Row],[FECHA ]],"DDDDD")</f>
        <v>viernes</v>
      </c>
      <c r="B27" s="2" t="str">
        <f>_xlfn.IFNA(VLOOKUP(Tabla1[[#This Row],[DESTINO]],RUBRO!$Q$1:$R$9996,2,FALSE)," ")</f>
        <v>PLANTA</v>
      </c>
      <c r="C27" s="104">
        <f>WEEKNUM(Tabla1[[#This Row],[FECHA ]],2)</f>
        <v>19</v>
      </c>
      <c r="D27" s="104" t="str">
        <f>TEXT(Tabla1[[#This Row],[FECHA ]],"MMM-YY")</f>
        <v>may-YY</v>
      </c>
      <c r="E27" s="104" t="str">
        <f>VLOOKUP(Tabla1[[#This Row],[DNI ]],RUBRO!$F$1:$O$9996,7,FALSE)</f>
        <v>5ta</v>
      </c>
      <c r="F27" s="104" t="str">
        <f>VLOOKUP(Tabla1[[#This Row],[DNI ]],RUBRO!$F$1:$O$88,3,FALSE)</f>
        <v>TEC-04</v>
      </c>
      <c r="G27" s="104" t="str">
        <f>VLOOKUP(Tabla1[[#This Row],[DNI ]],RUBRO!$F$1:$O$9996,5,FALSE)</f>
        <v>TECNICO MECANICO MONTAJISTA DE MAQUINARIA EXTRANJERA</v>
      </c>
      <c r="H27" s="66" t="str">
        <f>VLOOKUP(Tabla1[[#This Row],[DNI ]],RUBRO!$F$1:$O$9996,6,FALSE)</f>
        <v>IDROGO CHAVEZ EMANUEL</v>
      </c>
      <c r="I27" s="94">
        <v>44323</v>
      </c>
      <c r="J27" s="10">
        <v>1</v>
      </c>
      <c r="K27" s="2">
        <v>46228460</v>
      </c>
      <c r="L27" s="4">
        <f>VLOOKUP(Tabla1[[#This Row],[DNI ]],RUBRO!$F$2:$O$9996,8,FALSE)</f>
        <v>67.66</v>
      </c>
      <c r="M27" s="88">
        <v>0.29166666666666669</v>
      </c>
      <c r="N27" s="28">
        <v>0.54166666666666663</v>
      </c>
      <c r="O27" s="28">
        <v>0.58333333333333337</v>
      </c>
      <c r="P27" s="28">
        <v>0.75</v>
      </c>
      <c r="Q27" s="31">
        <f>(Tabla1[[#This Row],[SALIDA]]-Tabla1[[#This Row],[FIN ]])+(Tabla1[[#This Row],[INICIO]]-Tabla1[[#This Row],[INGRESO]])</f>
        <v>0.41666666666666657</v>
      </c>
      <c r="R27" s="13">
        <f t="shared" si="0"/>
        <v>0.375</v>
      </c>
      <c r="S27" s="31">
        <f t="shared" si="1"/>
        <v>4.1666666666666574E-2</v>
      </c>
      <c r="T27" s="136"/>
      <c r="U27" s="136"/>
      <c r="V27" s="137">
        <f>(Tabla1[[#This Row],[COS.BASE 3]]*0.25+Tabla1[[#This Row],[COS.BASE 3]])*Tabla1[[#This Row],[HORAS 25 % ]]</f>
        <v>0</v>
      </c>
      <c r="W27" s="138">
        <f>(Tabla1[[#This Row],[COS.BASE 3]]*0.35+Tabla1[[#This Row],[COS.BASE 3]])*Tabla1[[#This Row],[HORAS 35% ]]</f>
        <v>0</v>
      </c>
      <c r="X27" s="138">
        <f>SUM(Tabla1[[#This Row],[C.HORA.35]],Tabla1[[#This Row],[C.HORA.25]])</f>
        <v>0</v>
      </c>
      <c r="Y27" s="31"/>
      <c r="Z27" s="10">
        <f>Tabla1[[#This Row],[T.HORAS]]*24</f>
        <v>9.9999999999999982</v>
      </c>
      <c r="AA27" s="4">
        <f>Tabla1[[#This Row],[H.NORMALES]]*24</f>
        <v>9</v>
      </c>
      <c r="AB27" s="10">
        <f>Tabla1[[#This Row],[H.EXTRAS]]*24</f>
        <v>0.99999999999999778</v>
      </c>
      <c r="AC27" s="105">
        <f t="shared" si="2"/>
        <v>67.66</v>
      </c>
      <c r="AD27" s="120">
        <f>Tabla1[[#This Row],[COS.BASE 2]]/8</f>
        <v>8.4574999999999996</v>
      </c>
      <c r="AE27" s="105">
        <f>Tabla1[[#This Row],[CST_H_E]]+Tabla1[[#This Row],[COS.BASE 2]]</f>
        <v>67.66</v>
      </c>
      <c r="AF27" s="106">
        <f>+_xlfn.IFNA(INDEX(RUBRO!$W$2:$AA$732,MATCH(Tabla1[[#This Row],[FECHA ]],RUBRO!$W$2:$W$732,0),5)," ")</f>
        <v>0</v>
      </c>
      <c r="AG27" s="10">
        <f>+_xlfn.IFNA(INDEX(RUBRO!$W$2:$AA$732,MATCH(Tabla1[[#This Row],[FECHA ]],RUBRO!$W$2:$W$732,0),2)," ")</f>
        <v>0</v>
      </c>
      <c r="AH27" s="40">
        <f>IFERROR(Tabla1[[#This Row],[F]]*Tabla1[[#This Row],[COS.B+E]]," ")</f>
        <v>0</v>
      </c>
      <c r="AI27" s="40">
        <f>IFERROR(Tabla1[[#This Row],[COS.B+E]]*Tabla1[[#This Row],[D]]," ")</f>
        <v>0</v>
      </c>
      <c r="AJ27" s="40" t="str">
        <f>IFERROR(Tabla1[[#This Row],[F]]*#REF!," ")</f>
        <v xml:space="preserve"> </v>
      </c>
      <c r="AK27" s="40" t="str">
        <f>IFERROR(#REF!*Tabla1[[#This Row],[D]]," ")</f>
        <v xml:space="preserve"> </v>
      </c>
      <c r="AL27" s="103"/>
      <c r="AM27" s="103"/>
      <c r="AN27" s="103"/>
      <c r="AO27" s="38">
        <f>+Tabla1[[#This Row],[COS.B+E]]+Tabla1[[#This Row],[COS.F1]]+Tabla1[[#This Row],[COS.D1]]+Tabla1[[#This Row],[ALIMENTACION]]+Tabla1[[#This Row],[PRESTAMO]]+AN27</f>
        <v>67.66</v>
      </c>
      <c r="AP27" s="38" t="e">
        <f>+#REF!+Tabla1[[#This Row],[COS F2]]+Tabla1[[#This Row],[COS D2]]+Tabla1[[#This Row],[ALIMENTACION]]+Tabla1[[#This Row],[PRESTAMO]]+Tabla1[[#This Row],[PASAJES]]</f>
        <v>#REF!</v>
      </c>
    </row>
    <row r="28" spans="1:42" x14ac:dyDescent="0.25">
      <c r="A28" s="2" t="str">
        <f>TEXT(Tabla1[[#This Row],[FECHA ]],"DDDDD")</f>
        <v>viernes</v>
      </c>
      <c r="B28" s="2" t="str">
        <f>_xlfn.IFNA(VLOOKUP(Tabla1[[#This Row],[DESTINO]],RUBRO!$Q$1:$R$9996,2,FALSE)," ")</f>
        <v>OBRA</v>
      </c>
      <c r="C28" s="104">
        <f>WEEKNUM(Tabla1[[#This Row],[FECHA ]],2)</f>
        <v>19</v>
      </c>
      <c r="D28" s="104" t="str">
        <f>TEXT(Tabla1[[#This Row],[FECHA ]],"MMM-YY")</f>
        <v>may-YY</v>
      </c>
      <c r="E28" s="104" t="str">
        <f>VLOOKUP(Tabla1[[#This Row],[DNI ]],RUBRO!$F$1:$O$9996,7,FALSE)</f>
        <v>5ta</v>
      </c>
      <c r="F28" s="104" t="e">
        <f>VLOOKUP(Tabla1[[#This Row],[DNI ]],RUBRO!$F$1:$O$88,3,FALSE)</f>
        <v>#N/A</v>
      </c>
      <c r="G28" s="104" t="str">
        <f>VLOOKUP(Tabla1[[#This Row],[DNI ]],RUBRO!$F$1:$O$9996,5,FALSE)</f>
        <v>AYUDANTE DE PRODUCCION</v>
      </c>
      <c r="H28" s="66" t="str">
        <f>VLOOKUP(Tabla1[[#This Row],[DNI ]],RUBRO!$F$1:$O$9996,6,FALSE)</f>
        <v>JUNCO ORDOÑEZ SAMUEL</v>
      </c>
      <c r="I28" s="94">
        <v>44323</v>
      </c>
      <c r="J28" s="10">
        <v>2</v>
      </c>
      <c r="K28" s="2">
        <v>75913657</v>
      </c>
      <c r="L28" s="4">
        <f>VLOOKUP(Tabla1[[#This Row],[DNI ]],RUBRO!$F$2:$O$9996,8,FALSE)</f>
        <v>60</v>
      </c>
      <c r="M28" s="88">
        <v>0.29166666666666669</v>
      </c>
      <c r="N28" s="28">
        <v>0.54166666666666663</v>
      </c>
      <c r="O28" s="28">
        <v>0.58333333333333337</v>
      </c>
      <c r="P28" s="28">
        <v>0.75</v>
      </c>
      <c r="Q28" s="31">
        <f>(Tabla1[[#This Row],[SALIDA]]-Tabla1[[#This Row],[FIN ]])+(Tabla1[[#This Row],[INICIO]]-Tabla1[[#This Row],[INGRESO]])</f>
        <v>0.41666666666666657</v>
      </c>
      <c r="R28" s="13">
        <f t="shared" si="0"/>
        <v>0.33333333333333331</v>
      </c>
      <c r="S28" s="31">
        <f t="shared" si="1"/>
        <v>8.3333333333333259E-2</v>
      </c>
      <c r="T28" s="136"/>
      <c r="U28" s="136"/>
      <c r="V28" s="137">
        <f>(Tabla1[[#This Row],[COS.BASE 3]]*0.25+Tabla1[[#This Row],[COS.BASE 3]])*Tabla1[[#This Row],[HORAS 25 % ]]</f>
        <v>0</v>
      </c>
      <c r="W28" s="138">
        <f>(Tabla1[[#This Row],[COS.BASE 3]]*0.35+Tabla1[[#This Row],[COS.BASE 3]])*Tabla1[[#This Row],[HORAS 35% ]]</f>
        <v>0</v>
      </c>
      <c r="X28" s="138">
        <f>SUM(Tabla1[[#This Row],[C.HORA.35]],Tabla1[[#This Row],[C.HORA.25]])</f>
        <v>0</v>
      </c>
      <c r="Y28" s="31"/>
      <c r="Z28" s="10">
        <f>Tabla1[[#This Row],[T.HORAS]]*24</f>
        <v>9.9999999999999982</v>
      </c>
      <c r="AA28" s="4">
        <f>Tabla1[[#This Row],[H.NORMALES]]*24</f>
        <v>8</v>
      </c>
      <c r="AB28" s="10">
        <f>Tabla1[[#This Row],[H.EXTRAS]]*24</f>
        <v>1.9999999999999982</v>
      </c>
      <c r="AC28" s="105">
        <f t="shared" si="2"/>
        <v>60</v>
      </c>
      <c r="AD28" s="120">
        <f>Tabla1[[#This Row],[COS.BASE 2]]/8</f>
        <v>7.5</v>
      </c>
      <c r="AE28" s="105">
        <f>Tabla1[[#This Row],[CST_H_E]]+Tabla1[[#This Row],[COS.BASE 2]]</f>
        <v>60</v>
      </c>
      <c r="AF28" s="106">
        <f>+_xlfn.IFNA(INDEX(RUBRO!$W$2:$AA$732,MATCH(Tabla1[[#This Row],[FECHA ]],RUBRO!$W$2:$W$732,0),5)," ")</f>
        <v>0</v>
      </c>
      <c r="AG28" s="10">
        <f>+_xlfn.IFNA(INDEX(RUBRO!$W$2:$AA$732,MATCH(Tabla1[[#This Row],[FECHA ]],RUBRO!$W$2:$W$732,0),2)," ")</f>
        <v>0</v>
      </c>
      <c r="AH28" s="40">
        <f>IFERROR(Tabla1[[#This Row],[F]]*Tabla1[[#This Row],[COS.B+E]]," ")</f>
        <v>0</v>
      </c>
      <c r="AI28" s="40">
        <f>IFERROR(Tabla1[[#This Row],[COS.B+E]]*Tabla1[[#This Row],[D]]," ")</f>
        <v>0</v>
      </c>
      <c r="AJ28" s="40" t="str">
        <f>IFERROR(Tabla1[[#This Row],[F]]*#REF!," ")</f>
        <v xml:space="preserve"> </v>
      </c>
      <c r="AK28" s="40" t="str">
        <f>IFERROR(#REF!*Tabla1[[#This Row],[D]]," ")</f>
        <v xml:space="preserve"> </v>
      </c>
      <c r="AL28" s="103"/>
      <c r="AM28" s="103"/>
      <c r="AN28" s="103"/>
      <c r="AO28" s="38">
        <f>+Tabla1[[#This Row],[COS.B+E]]+Tabla1[[#This Row],[COS.F1]]+Tabla1[[#This Row],[COS.D1]]+Tabla1[[#This Row],[ALIMENTACION]]+Tabla1[[#This Row],[PRESTAMO]]+AN28</f>
        <v>60</v>
      </c>
      <c r="AP28" s="38" t="e">
        <f>+#REF!+Tabla1[[#This Row],[COS F2]]+Tabla1[[#This Row],[COS D2]]+Tabla1[[#This Row],[ALIMENTACION]]+Tabla1[[#This Row],[PRESTAMO]]+Tabla1[[#This Row],[PASAJES]]</f>
        <v>#REF!</v>
      </c>
    </row>
    <row r="29" spans="1:42" x14ac:dyDescent="0.25">
      <c r="A29" s="2" t="str">
        <f>TEXT(Tabla1[[#This Row],[FECHA ]],"DDDDD")</f>
        <v>viernes</v>
      </c>
      <c r="B29" s="2" t="str">
        <f>_xlfn.IFNA(VLOOKUP(Tabla1[[#This Row],[DESTINO]],RUBRO!$Q$1:$R$9996,2,FALSE)," ")</f>
        <v>PLANTA</v>
      </c>
      <c r="C29" s="104">
        <f>WEEKNUM(Tabla1[[#This Row],[FECHA ]],2)</f>
        <v>19</v>
      </c>
      <c r="D29" s="104" t="str">
        <f>TEXT(Tabla1[[#This Row],[FECHA ]],"MMM-YY")</f>
        <v>may-YY</v>
      </c>
      <c r="E29" s="104" t="str">
        <f>VLOOKUP(Tabla1[[#This Row],[DNI ]],RUBRO!$F$1:$O$9996,7,FALSE)</f>
        <v>5ta</v>
      </c>
      <c r="F29" s="104" t="str">
        <f>VLOOKUP(Tabla1[[#This Row],[DNI ]],RUBRO!$F$1:$O$88,3,FALSE)</f>
        <v>MAE3G-01</v>
      </c>
      <c r="G29" s="104" t="str">
        <f>VLOOKUP(Tabla1[[#This Row],[DNI ]],RUBRO!$F$1:$O$9996,5,FALSE)</f>
        <v>MAESTRO SOLDADOR 3G</v>
      </c>
      <c r="H29" s="66" t="str">
        <f>VLOOKUP(Tabla1[[#This Row],[DNI ]],RUBRO!$F$1:$O$9996,6,FALSE)</f>
        <v>LABAN SEVERINO EDWIN DENIS</v>
      </c>
      <c r="I29" s="94">
        <v>44323</v>
      </c>
      <c r="J29" s="10">
        <v>1</v>
      </c>
      <c r="K29" s="2">
        <v>47466045</v>
      </c>
      <c r="L29" s="4">
        <f>VLOOKUP(Tabla1[[#This Row],[DNI ]],RUBRO!$F$2:$O$9996,8,FALSE)</f>
        <v>70.38</v>
      </c>
      <c r="M29" s="88">
        <v>0.29166666666666669</v>
      </c>
      <c r="N29" s="28">
        <v>0.54166666666666663</v>
      </c>
      <c r="O29" s="28">
        <v>0.58333333333333337</v>
      </c>
      <c r="P29" s="28">
        <v>0.70833333333333337</v>
      </c>
      <c r="Q29" s="31">
        <f>(Tabla1[[#This Row],[SALIDA]]-Tabla1[[#This Row],[FIN ]])+(Tabla1[[#This Row],[INICIO]]-Tabla1[[#This Row],[INGRESO]])</f>
        <v>0.37499999999999994</v>
      </c>
      <c r="R29" s="13">
        <f t="shared" si="0"/>
        <v>0.37499999999999994</v>
      </c>
      <c r="S29" s="31">
        <f t="shared" si="1"/>
        <v>0</v>
      </c>
      <c r="T29" s="136"/>
      <c r="U29" s="136"/>
      <c r="V29" s="137">
        <f>(Tabla1[[#This Row],[COS.BASE 3]]*0.25+Tabla1[[#This Row],[COS.BASE 3]])*Tabla1[[#This Row],[HORAS 25 % ]]</f>
        <v>0</v>
      </c>
      <c r="W29" s="138">
        <f>(Tabla1[[#This Row],[COS.BASE 3]]*0.35+Tabla1[[#This Row],[COS.BASE 3]])*Tabla1[[#This Row],[HORAS 35% ]]</f>
        <v>0</v>
      </c>
      <c r="X29" s="138">
        <f>SUM(Tabla1[[#This Row],[C.HORA.35]],Tabla1[[#This Row],[C.HORA.25]])</f>
        <v>0</v>
      </c>
      <c r="Y29" s="31"/>
      <c r="Z29" s="10">
        <f>Tabla1[[#This Row],[T.HORAS]]*24</f>
        <v>8.9999999999999982</v>
      </c>
      <c r="AA29" s="4">
        <f>Tabla1[[#This Row],[H.NORMALES]]*24</f>
        <v>8.9999999999999982</v>
      </c>
      <c r="AB29" s="10">
        <f>Tabla1[[#This Row],[H.EXTRAS]]*24</f>
        <v>0</v>
      </c>
      <c r="AC29" s="105">
        <f t="shared" si="2"/>
        <v>70.379999999999981</v>
      </c>
      <c r="AD29" s="120">
        <f>Tabla1[[#This Row],[COS.BASE 2]]/8</f>
        <v>8.7974999999999977</v>
      </c>
      <c r="AE29" s="105">
        <f>Tabla1[[#This Row],[CST_H_E]]+Tabla1[[#This Row],[COS.BASE 2]]</f>
        <v>70.379999999999981</v>
      </c>
      <c r="AF29" s="106">
        <f>+_xlfn.IFNA(INDEX(RUBRO!$W$2:$AA$732,MATCH(Tabla1[[#This Row],[FECHA ]],RUBRO!$W$2:$W$732,0),5)," ")</f>
        <v>0</v>
      </c>
      <c r="AG29" s="10">
        <f>+_xlfn.IFNA(INDEX(RUBRO!$W$2:$AA$732,MATCH(Tabla1[[#This Row],[FECHA ]],RUBRO!$W$2:$W$732,0),2)," ")</f>
        <v>0</v>
      </c>
      <c r="AH29" s="40">
        <f>IFERROR(Tabla1[[#This Row],[F]]*Tabla1[[#This Row],[COS.B+E]]," ")</f>
        <v>0</v>
      </c>
      <c r="AI29" s="40">
        <f>IFERROR(Tabla1[[#This Row],[COS.B+E]]*Tabla1[[#This Row],[D]]," ")</f>
        <v>0</v>
      </c>
      <c r="AJ29" s="40" t="str">
        <f>IFERROR(Tabla1[[#This Row],[F]]*#REF!," ")</f>
        <v xml:space="preserve"> </v>
      </c>
      <c r="AK29" s="40" t="str">
        <f>IFERROR(#REF!*Tabla1[[#This Row],[D]]," ")</f>
        <v xml:space="preserve"> </v>
      </c>
      <c r="AL29" s="103"/>
      <c r="AM29" s="103"/>
      <c r="AN29" s="103"/>
      <c r="AO29" s="38">
        <f>+Tabla1[[#This Row],[COS.B+E]]+Tabla1[[#This Row],[COS.F1]]+Tabla1[[#This Row],[COS.D1]]+Tabla1[[#This Row],[ALIMENTACION]]+Tabla1[[#This Row],[PRESTAMO]]+AN29</f>
        <v>70.379999999999981</v>
      </c>
      <c r="AP29" s="38" t="e">
        <f>+#REF!+Tabla1[[#This Row],[COS F2]]+Tabla1[[#This Row],[COS D2]]+Tabla1[[#This Row],[ALIMENTACION]]+Tabla1[[#This Row],[PRESTAMO]]+Tabla1[[#This Row],[PASAJES]]</f>
        <v>#REF!</v>
      </c>
    </row>
    <row r="30" spans="1:42" x14ac:dyDescent="0.25">
      <c r="A30" s="2" t="str">
        <f>TEXT(Tabla1[[#This Row],[FECHA ]],"DDDDD")</f>
        <v>viernes</v>
      </c>
      <c r="B30" s="2" t="str">
        <f>_xlfn.IFNA(VLOOKUP(Tabla1[[#This Row],[DESTINO]],RUBRO!$Q$1:$R$9996,2,FALSE)," ")</f>
        <v>OBRA</v>
      </c>
      <c r="C30" s="104">
        <f>WEEKNUM(Tabla1[[#This Row],[FECHA ]],2)</f>
        <v>19</v>
      </c>
      <c r="D30" s="104" t="str">
        <f>TEXT(Tabla1[[#This Row],[FECHA ]],"MMM-YY")</f>
        <v>may-YY</v>
      </c>
      <c r="E30" s="104" t="str">
        <f>VLOOKUP(Tabla1[[#This Row],[DNI ]],RUBRO!$F$1:$O$9996,7,FALSE)</f>
        <v>5ta</v>
      </c>
      <c r="F30" s="104" t="str">
        <f>VLOOKUP(Tabla1[[#This Row],[DNI ]],RUBRO!$F$1:$O$88,3,FALSE)</f>
        <v>AYU-VA</v>
      </c>
      <c r="G30" s="104" t="str">
        <f>VLOOKUP(Tabla1[[#This Row],[DNI ]],RUBRO!$F$1:$O$9996,5,FALSE)</f>
        <v>AYUDANTE DE PRODUCCION</v>
      </c>
      <c r="H30" s="66" t="str">
        <f>VLOOKUP(Tabla1[[#This Row],[DNI ]],RUBRO!$F$1:$O$9996,6,FALSE)</f>
        <v xml:space="preserve">LOPEZ TANTARICO ELY </v>
      </c>
      <c r="I30" s="94">
        <v>44323</v>
      </c>
      <c r="J30" s="10">
        <v>2</v>
      </c>
      <c r="K30" s="2">
        <v>62188868</v>
      </c>
      <c r="L30" s="4">
        <f>VLOOKUP(Tabla1[[#This Row],[DNI ]],RUBRO!$F$2:$O$9996,8,FALSE)</f>
        <v>39.15</v>
      </c>
      <c r="M30" s="88">
        <v>0.29166666666666669</v>
      </c>
      <c r="N30" s="28">
        <v>0.54166666666666663</v>
      </c>
      <c r="O30" s="28">
        <v>0.58333333333333337</v>
      </c>
      <c r="P30" s="28">
        <v>0.75</v>
      </c>
      <c r="Q30" s="31">
        <f>(Tabla1[[#This Row],[SALIDA]]-Tabla1[[#This Row],[FIN ]])+(Tabla1[[#This Row],[INICIO]]-Tabla1[[#This Row],[INGRESO]])</f>
        <v>0.41666666666666657</v>
      </c>
      <c r="R30" s="13">
        <f t="shared" si="0"/>
        <v>0.33333333333333331</v>
      </c>
      <c r="S30" s="31">
        <f t="shared" si="1"/>
        <v>8.3333333333333259E-2</v>
      </c>
      <c r="T30" s="136"/>
      <c r="U30" s="136"/>
      <c r="V30" s="137">
        <f>(Tabla1[[#This Row],[COS.BASE 3]]*0.25+Tabla1[[#This Row],[COS.BASE 3]])*Tabla1[[#This Row],[HORAS 25 % ]]</f>
        <v>0</v>
      </c>
      <c r="W30" s="138">
        <f>(Tabla1[[#This Row],[COS.BASE 3]]*0.35+Tabla1[[#This Row],[COS.BASE 3]])*Tabla1[[#This Row],[HORAS 35% ]]</f>
        <v>0</v>
      </c>
      <c r="X30" s="138">
        <f>SUM(Tabla1[[#This Row],[C.HORA.35]],Tabla1[[#This Row],[C.HORA.25]])</f>
        <v>0</v>
      </c>
      <c r="Y30" s="31"/>
      <c r="Z30" s="10">
        <f>Tabla1[[#This Row],[T.HORAS]]*24</f>
        <v>9.9999999999999982</v>
      </c>
      <c r="AA30" s="4">
        <f>Tabla1[[#This Row],[H.NORMALES]]*24</f>
        <v>8</v>
      </c>
      <c r="AB30" s="10">
        <f>Tabla1[[#This Row],[H.EXTRAS]]*24</f>
        <v>1.9999999999999982</v>
      </c>
      <c r="AC30" s="105">
        <f t="shared" si="2"/>
        <v>39.15</v>
      </c>
      <c r="AD30" s="120">
        <f>Tabla1[[#This Row],[COS.BASE 2]]/8</f>
        <v>4.8937499999999998</v>
      </c>
      <c r="AE30" s="105">
        <f>Tabla1[[#This Row],[CST_H_E]]+Tabla1[[#This Row],[COS.BASE 2]]</f>
        <v>39.15</v>
      </c>
      <c r="AF30" s="106">
        <f>+_xlfn.IFNA(INDEX(RUBRO!$W$2:$AA$732,MATCH(Tabla1[[#This Row],[FECHA ]],RUBRO!$W$2:$W$732,0),5)," ")</f>
        <v>0</v>
      </c>
      <c r="AG30" s="10">
        <f>+_xlfn.IFNA(INDEX(RUBRO!$W$2:$AA$732,MATCH(Tabla1[[#This Row],[FECHA ]],RUBRO!$W$2:$W$732,0),2)," ")</f>
        <v>0</v>
      </c>
      <c r="AH30" s="40">
        <f>IFERROR(Tabla1[[#This Row],[F]]*Tabla1[[#This Row],[COS.B+E]]," ")</f>
        <v>0</v>
      </c>
      <c r="AI30" s="40">
        <f>IFERROR(Tabla1[[#This Row],[COS.B+E]]*Tabla1[[#This Row],[D]]," ")</f>
        <v>0</v>
      </c>
      <c r="AJ30" s="40" t="str">
        <f>IFERROR(Tabla1[[#This Row],[F]]*#REF!," ")</f>
        <v xml:space="preserve"> </v>
      </c>
      <c r="AK30" s="40" t="str">
        <f>IFERROR(#REF!*Tabla1[[#This Row],[D]]," ")</f>
        <v xml:space="preserve"> </v>
      </c>
      <c r="AL30" s="103"/>
      <c r="AM30" s="103"/>
      <c r="AN30" s="103"/>
      <c r="AO30" s="38">
        <f>+Tabla1[[#This Row],[COS.B+E]]+Tabla1[[#This Row],[COS.F1]]+Tabla1[[#This Row],[COS.D1]]+Tabla1[[#This Row],[ALIMENTACION]]+Tabla1[[#This Row],[PRESTAMO]]+AN30</f>
        <v>39.15</v>
      </c>
      <c r="AP30" s="38" t="e">
        <f>+#REF!+Tabla1[[#This Row],[COS F2]]+Tabla1[[#This Row],[COS D2]]+Tabla1[[#This Row],[ALIMENTACION]]+Tabla1[[#This Row],[PRESTAMO]]+Tabla1[[#This Row],[PASAJES]]</f>
        <v>#REF!</v>
      </c>
    </row>
    <row r="31" spans="1:42" x14ac:dyDescent="0.25">
      <c r="A31" s="2" t="str">
        <f>TEXT(Tabla1[[#This Row],[FECHA ]],"DDDDD")</f>
        <v>viernes</v>
      </c>
      <c r="B31" s="2" t="str">
        <f>_xlfn.IFNA(VLOOKUP(Tabla1[[#This Row],[DESTINO]],RUBRO!$Q$1:$R$9996,2,FALSE)," ")</f>
        <v>OBRA</v>
      </c>
      <c r="C31" s="104">
        <f>WEEKNUM(Tabla1[[#This Row],[FECHA ]],2)</f>
        <v>19</v>
      </c>
      <c r="D31" s="104" t="str">
        <f>TEXT(Tabla1[[#This Row],[FECHA ]],"MMM-YY")</f>
        <v>may-YY</v>
      </c>
      <c r="E31" s="104" t="str">
        <f>VLOOKUP(Tabla1[[#This Row],[DNI ]],RUBRO!$F$1:$O$9996,7,FALSE)</f>
        <v>5ta</v>
      </c>
      <c r="F31" s="104" t="str">
        <f>VLOOKUP(Tabla1[[#This Row],[DNI ]],RUBRO!$F$1:$O$88,3,FALSE)</f>
        <v>TEC-02</v>
      </c>
      <c r="G31" s="104" t="str">
        <f>VLOOKUP(Tabla1[[#This Row],[DNI ]],RUBRO!$F$1:$O$9996,5,FALSE)</f>
        <v>TECNICO MECANICO MONTAJISTA DE MAQUINARIA</v>
      </c>
      <c r="H31" s="66" t="str">
        <f>VLOOKUP(Tabla1[[#This Row],[DNI ]],RUBRO!$F$1:$O$9996,6,FALSE)</f>
        <v>MEJIA AYALA LUIS MANUEL</v>
      </c>
      <c r="I31" s="94">
        <v>44323</v>
      </c>
      <c r="J31" s="10">
        <v>2</v>
      </c>
      <c r="K31" s="2">
        <v>73541627</v>
      </c>
      <c r="L31" s="4">
        <f>VLOOKUP(Tabla1[[#This Row],[DNI ]],RUBRO!$F$2:$O$9996,8,FALSE)</f>
        <v>55</v>
      </c>
      <c r="M31" s="88">
        <v>0.29166666666666669</v>
      </c>
      <c r="N31" s="28">
        <v>0.54166666666666663</v>
      </c>
      <c r="O31" s="28">
        <v>0.58333333333333337</v>
      </c>
      <c r="P31" s="28">
        <v>0.75</v>
      </c>
      <c r="Q31" s="31">
        <f>(Tabla1[[#This Row],[SALIDA]]-Tabla1[[#This Row],[FIN ]])+(Tabla1[[#This Row],[INICIO]]-Tabla1[[#This Row],[INGRESO]])</f>
        <v>0.41666666666666657</v>
      </c>
      <c r="R31" s="13">
        <f t="shared" si="0"/>
        <v>0.33333333333333331</v>
      </c>
      <c r="S31" s="31">
        <f t="shared" si="1"/>
        <v>8.3333333333333259E-2</v>
      </c>
      <c r="T31" s="136"/>
      <c r="U31" s="136"/>
      <c r="V31" s="137">
        <f>(Tabla1[[#This Row],[COS.BASE 3]]*0.25+Tabla1[[#This Row],[COS.BASE 3]])*Tabla1[[#This Row],[HORAS 25 % ]]</f>
        <v>0</v>
      </c>
      <c r="W31" s="138">
        <f>(Tabla1[[#This Row],[COS.BASE 3]]*0.35+Tabla1[[#This Row],[COS.BASE 3]])*Tabla1[[#This Row],[HORAS 35% ]]</f>
        <v>0</v>
      </c>
      <c r="X31" s="138">
        <f>SUM(Tabla1[[#This Row],[C.HORA.35]],Tabla1[[#This Row],[C.HORA.25]])</f>
        <v>0</v>
      </c>
      <c r="Y31" s="31"/>
      <c r="Z31" s="10">
        <f>Tabla1[[#This Row],[T.HORAS]]*24</f>
        <v>9.9999999999999982</v>
      </c>
      <c r="AA31" s="4">
        <f>Tabla1[[#This Row],[H.NORMALES]]*24</f>
        <v>8</v>
      </c>
      <c r="AB31" s="10">
        <f>Tabla1[[#This Row],[H.EXTRAS]]*24</f>
        <v>1.9999999999999982</v>
      </c>
      <c r="AC31" s="105">
        <f t="shared" si="2"/>
        <v>55</v>
      </c>
      <c r="AD31" s="120">
        <f>Tabla1[[#This Row],[COS.BASE 2]]/8</f>
        <v>6.875</v>
      </c>
      <c r="AE31" s="105">
        <f>Tabla1[[#This Row],[CST_H_E]]+Tabla1[[#This Row],[COS.BASE 2]]</f>
        <v>55</v>
      </c>
      <c r="AF31" s="106">
        <f>+_xlfn.IFNA(INDEX(RUBRO!$W$2:$AA$732,MATCH(Tabla1[[#This Row],[FECHA ]],RUBRO!$W$2:$W$732,0),5)," ")</f>
        <v>0</v>
      </c>
      <c r="AG31" s="10">
        <f>+_xlfn.IFNA(INDEX(RUBRO!$W$2:$AA$732,MATCH(Tabla1[[#This Row],[FECHA ]],RUBRO!$W$2:$W$732,0),2)," ")</f>
        <v>0</v>
      </c>
      <c r="AH31" s="40">
        <f>IFERROR(Tabla1[[#This Row],[F]]*Tabla1[[#This Row],[COS.B+E]]," ")</f>
        <v>0</v>
      </c>
      <c r="AI31" s="40">
        <f>IFERROR(Tabla1[[#This Row],[COS.B+E]]*Tabla1[[#This Row],[D]]," ")</f>
        <v>0</v>
      </c>
      <c r="AJ31" s="40" t="str">
        <f>IFERROR(Tabla1[[#This Row],[F]]*#REF!," ")</f>
        <v xml:space="preserve"> </v>
      </c>
      <c r="AK31" s="40" t="str">
        <f>IFERROR(#REF!*Tabla1[[#This Row],[D]]," ")</f>
        <v xml:space="preserve"> </v>
      </c>
      <c r="AL31" s="103"/>
      <c r="AM31" s="103"/>
      <c r="AN31" s="103"/>
      <c r="AO31" s="38">
        <f>+Tabla1[[#This Row],[COS.B+E]]+Tabla1[[#This Row],[COS.F1]]+Tabla1[[#This Row],[COS.D1]]+Tabla1[[#This Row],[ALIMENTACION]]+Tabla1[[#This Row],[PRESTAMO]]+AN31</f>
        <v>55</v>
      </c>
      <c r="AP31" s="38" t="e">
        <f>+#REF!+Tabla1[[#This Row],[COS F2]]+Tabla1[[#This Row],[COS D2]]+Tabla1[[#This Row],[ALIMENTACION]]+Tabla1[[#This Row],[PRESTAMO]]+Tabla1[[#This Row],[PASAJES]]</f>
        <v>#REF!</v>
      </c>
    </row>
    <row r="32" spans="1:42" x14ac:dyDescent="0.25">
      <c r="A32" s="2" t="str">
        <f>TEXT(Tabla1[[#This Row],[FECHA ]],"DDDDD")</f>
        <v>viernes</v>
      </c>
      <c r="B32" s="2" t="str">
        <f>_xlfn.IFNA(VLOOKUP(Tabla1[[#This Row],[DESTINO]],RUBRO!$Q$1:$R$9996,2,FALSE)," ")</f>
        <v>OBRA</v>
      </c>
      <c r="C32" s="104">
        <f>WEEKNUM(Tabla1[[#This Row],[FECHA ]],2)</f>
        <v>19</v>
      </c>
      <c r="D32" s="104" t="str">
        <f>TEXT(Tabla1[[#This Row],[FECHA ]],"MMM-YY")</f>
        <v>may-YY</v>
      </c>
      <c r="E32" s="104" t="str">
        <f>VLOOKUP(Tabla1[[#This Row],[DNI ]],RUBRO!$F$1:$O$9996,7,FALSE)</f>
        <v>5ta</v>
      </c>
      <c r="F32" s="104" t="str">
        <f>VLOOKUP(Tabla1[[#This Row],[DNI ]],RUBRO!$F$1:$O$88,3,FALSE)</f>
        <v>TEC-04</v>
      </c>
      <c r="G32" s="104" t="str">
        <f>VLOOKUP(Tabla1[[#This Row],[DNI ]],RUBRO!$F$1:$O$9996,5,FALSE)</f>
        <v>TECNICO MECANICO MONTAJISTA DE MAQUINARIA EXTRANJERA</v>
      </c>
      <c r="H32" s="66" t="str">
        <f>VLOOKUP(Tabla1[[#This Row],[DNI ]],RUBRO!$F$1:$O$9996,6,FALSE)</f>
        <v>MEREGILDO CABRERA RICARDO JOEL</v>
      </c>
      <c r="I32" s="94">
        <v>44323</v>
      </c>
      <c r="J32" s="10">
        <v>2</v>
      </c>
      <c r="K32" s="2">
        <v>76811302</v>
      </c>
      <c r="L32" s="4">
        <f>VLOOKUP(Tabla1[[#This Row],[DNI ]],RUBRO!$F$2:$O$9996,8,FALSE)</f>
        <v>60</v>
      </c>
      <c r="M32" s="88">
        <v>0.29166666666666669</v>
      </c>
      <c r="N32" s="28">
        <v>0.54166666666666663</v>
      </c>
      <c r="O32" s="28">
        <v>0.58333333333333337</v>
      </c>
      <c r="P32" s="28">
        <v>0.75</v>
      </c>
      <c r="Q32" s="31">
        <f>(Tabla1[[#This Row],[SALIDA]]-Tabla1[[#This Row],[FIN ]])+(Tabla1[[#This Row],[INICIO]]-Tabla1[[#This Row],[INGRESO]])</f>
        <v>0.41666666666666657</v>
      </c>
      <c r="R32" s="13">
        <f t="shared" si="0"/>
        <v>0.33333333333333331</v>
      </c>
      <c r="S32" s="31">
        <f t="shared" si="1"/>
        <v>8.3333333333333259E-2</v>
      </c>
      <c r="T32" s="136"/>
      <c r="U32" s="136"/>
      <c r="V32" s="137">
        <f>(Tabla1[[#This Row],[COS.BASE 3]]*0.25+Tabla1[[#This Row],[COS.BASE 3]])*Tabla1[[#This Row],[HORAS 25 % ]]</f>
        <v>0</v>
      </c>
      <c r="W32" s="138">
        <f>(Tabla1[[#This Row],[COS.BASE 3]]*0.35+Tabla1[[#This Row],[COS.BASE 3]])*Tabla1[[#This Row],[HORAS 35% ]]</f>
        <v>0</v>
      </c>
      <c r="X32" s="138">
        <f>SUM(Tabla1[[#This Row],[C.HORA.35]],Tabla1[[#This Row],[C.HORA.25]])</f>
        <v>0</v>
      </c>
      <c r="Y32" s="31"/>
      <c r="Z32" s="10">
        <f>Tabla1[[#This Row],[T.HORAS]]*24</f>
        <v>9.9999999999999982</v>
      </c>
      <c r="AA32" s="4">
        <f>Tabla1[[#This Row],[H.NORMALES]]*24</f>
        <v>8</v>
      </c>
      <c r="AB32" s="10">
        <f>Tabla1[[#This Row],[H.EXTRAS]]*24</f>
        <v>1.9999999999999982</v>
      </c>
      <c r="AC32" s="105">
        <f t="shared" si="2"/>
        <v>60</v>
      </c>
      <c r="AD32" s="120">
        <f>Tabla1[[#This Row],[COS.BASE 2]]/8</f>
        <v>7.5</v>
      </c>
      <c r="AE32" s="105">
        <f>Tabla1[[#This Row],[CST_H_E]]+Tabla1[[#This Row],[COS.BASE 2]]</f>
        <v>60</v>
      </c>
      <c r="AF32" s="106">
        <f>+_xlfn.IFNA(INDEX(RUBRO!$W$2:$AA$732,MATCH(Tabla1[[#This Row],[FECHA ]],RUBRO!$W$2:$W$732,0),5)," ")</f>
        <v>0</v>
      </c>
      <c r="AG32" s="10">
        <f>+_xlfn.IFNA(INDEX(RUBRO!$W$2:$AA$732,MATCH(Tabla1[[#This Row],[FECHA ]],RUBRO!$W$2:$W$732,0),2)," ")</f>
        <v>0</v>
      </c>
      <c r="AH32" s="40">
        <f>IFERROR(Tabla1[[#This Row],[F]]*Tabla1[[#This Row],[COS.B+E]]," ")</f>
        <v>0</v>
      </c>
      <c r="AI32" s="40">
        <f>IFERROR(Tabla1[[#This Row],[COS.B+E]]*Tabla1[[#This Row],[D]]," ")</f>
        <v>0</v>
      </c>
      <c r="AJ32" s="40" t="str">
        <f>IFERROR(Tabla1[[#This Row],[F]]*#REF!," ")</f>
        <v xml:space="preserve"> </v>
      </c>
      <c r="AK32" s="40" t="str">
        <f>IFERROR(#REF!*Tabla1[[#This Row],[D]]," ")</f>
        <v xml:space="preserve"> </v>
      </c>
      <c r="AL32" s="103"/>
      <c r="AM32" s="103"/>
      <c r="AN32" s="103"/>
      <c r="AO32" s="38">
        <f>+Tabla1[[#This Row],[COS.B+E]]+Tabla1[[#This Row],[COS.F1]]+Tabla1[[#This Row],[COS.D1]]+Tabla1[[#This Row],[ALIMENTACION]]+Tabla1[[#This Row],[PRESTAMO]]+AN32</f>
        <v>60</v>
      </c>
      <c r="AP32" s="38" t="e">
        <f>+#REF!+Tabla1[[#This Row],[COS F2]]+Tabla1[[#This Row],[COS D2]]+Tabla1[[#This Row],[ALIMENTACION]]+Tabla1[[#This Row],[PRESTAMO]]+Tabla1[[#This Row],[PASAJES]]</f>
        <v>#REF!</v>
      </c>
    </row>
    <row r="33" spans="1:42" x14ac:dyDescent="0.25">
      <c r="A33" s="2" t="str">
        <f>TEXT(Tabla1[[#This Row],[FECHA ]],"DDDDD")</f>
        <v>viernes</v>
      </c>
      <c r="B33" s="2" t="str">
        <f>_xlfn.IFNA(VLOOKUP(Tabla1[[#This Row],[DESTINO]],RUBRO!$Q$1:$R$9996,2,FALSE)," ")</f>
        <v>OBRA</v>
      </c>
      <c r="C33" s="104">
        <f>WEEKNUM(Tabla1[[#This Row],[FECHA ]],2)</f>
        <v>19</v>
      </c>
      <c r="D33" s="104" t="str">
        <f>TEXT(Tabla1[[#This Row],[FECHA ]],"MMM-YY")</f>
        <v>may-YY</v>
      </c>
      <c r="E33" s="104" t="str">
        <f>VLOOKUP(Tabla1[[#This Row],[DNI ]],RUBRO!$F$1:$O$9996,7,FALSE)</f>
        <v xml:space="preserve">5ta </v>
      </c>
      <c r="F33" s="104" t="str">
        <f>VLOOKUP(Tabla1[[#This Row],[DNI ]],RUBRO!$F$1:$O$88,3,FALSE)</f>
        <v>AYU-VA</v>
      </c>
      <c r="G33" s="104" t="str">
        <f>VLOOKUP(Tabla1[[#This Row],[DNI ]],RUBRO!$F$1:$O$9996,5,FALSE)</f>
        <v>AYUDANTE DE PRODUCCION</v>
      </c>
      <c r="H33" s="66" t="str">
        <f>VLOOKUP(Tabla1[[#This Row],[DNI ]],RUBRO!$F$1:$O$9996,6,FALSE)</f>
        <v>MIO QUIÑONES ALEXIS</v>
      </c>
      <c r="I33" s="94">
        <v>44323</v>
      </c>
      <c r="J33" s="10">
        <v>2</v>
      </c>
      <c r="K33" s="2">
        <v>76457697</v>
      </c>
      <c r="L33" s="4">
        <f>VLOOKUP(Tabla1[[#This Row],[DNI ]],RUBRO!$F$2:$O$9996,8,FALSE)</f>
        <v>45</v>
      </c>
      <c r="M33" s="88">
        <v>0.29166666666666669</v>
      </c>
      <c r="N33" s="28">
        <v>0.54166666666666663</v>
      </c>
      <c r="O33" s="28">
        <v>0.58333333333333337</v>
      </c>
      <c r="P33" s="28">
        <v>0.75</v>
      </c>
      <c r="Q33" s="31">
        <f>(Tabla1[[#This Row],[SALIDA]]-Tabla1[[#This Row],[FIN ]])+(Tabla1[[#This Row],[INICIO]]-Tabla1[[#This Row],[INGRESO]])</f>
        <v>0.41666666666666657</v>
      </c>
      <c r="R33" s="13">
        <f t="shared" si="0"/>
        <v>0.33333333333333331</v>
      </c>
      <c r="S33" s="31">
        <f t="shared" si="1"/>
        <v>8.3333333333333259E-2</v>
      </c>
      <c r="T33" s="136"/>
      <c r="U33" s="136"/>
      <c r="V33" s="137">
        <f>(Tabla1[[#This Row],[COS.BASE 3]]*0.25+Tabla1[[#This Row],[COS.BASE 3]])*Tabla1[[#This Row],[HORAS 25 % ]]</f>
        <v>0</v>
      </c>
      <c r="W33" s="138">
        <f>(Tabla1[[#This Row],[COS.BASE 3]]*0.35+Tabla1[[#This Row],[COS.BASE 3]])*Tabla1[[#This Row],[HORAS 35% ]]</f>
        <v>0</v>
      </c>
      <c r="X33" s="138">
        <f>SUM(Tabla1[[#This Row],[C.HORA.35]],Tabla1[[#This Row],[C.HORA.25]])</f>
        <v>0</v>
      </c>
      <c r="Y33" s="31"/>
      <c r="Z33" s="10">
        <f>Tabla1[[#This Row],[T.HORAS]]*24</f>
        <v>9.9999999999999982</v>
      </c>
      <c r="AA33" s="4">
        <f>Tabla1[[#This Row],[H.NORMALES]]*24</f>
        <v>8</v>
      </c>
      <c r="AB33" s="10">
        <f>Tabla1[[#This Row],[H.EXTRAS]]*24</f>
        <v>1.9999999999999982</v>
      </c>
      <c r="AC33" s="105">
        <f t="shared" si="2"/>
        <v>45</v>
      </c>
      <c r="AD33" s="120">
        <f>Tabla1[[#This Row],[COS.BASE 2]]/8</f>
        <v>5.625</v>
      </c>
      <c r="AE33" s="105">
        <f>Tabla1[[#This Row],[CST_H_E]]+Tabla1[[#This Row],[COS.BASE 2]]</f>
        <v>45</v>
      </c>
      <c r="AF33" s="106">
        <f>+_xlfn.IFNA(INDEX(RUBRO!$W$2:$AA$732,MATCH(Tabla1[[#This Row],[FECHA ]],RUBRO!$W$2:$W$732,0),5)," ")</f>
        <v>0</v>
      </c>
      <c r="AG33" s="10">
        <f>+_xlfn.IFNA(INDEX(RUBRO!$W$2:$AA$732,MATCH(Tabla1[[#This Row],[FECHA ]],RUBRO!$W$2:$W$732,0),2)," ")</f>
        <v>0</v>
      </c>
      <c r="AH33" s="40">
        <f>IFERROR(Tabla1[[#This Row],[F]]*Tabla1[[#This Row],[COS.B+E]]," ")</f>
        <v>0</v>
      </c>
      <c r="AI33" s="40">
        <f>IFERROR(Tabla1[[#This Row],[COS.B+E]]*Tabla1[[#This Row],[D]]," ")</f>
        <v>0</v>
      </c>
      <c r="AJ33" s="40" t="str">
        <f>IFERROR(Tabla1[[#This Row],[F]]*#REF!," ")</f>
        <v xml:space="preserve"> </v>
      </c>
      <c r="AK33" s="40" t="str">
        <f>IFERROR(#REF!*Tabla1[[#This Row],[D]]," ")</f>
        <v xml:space="preserve"> </v>
      </c>
      <c r="AL33" s="103"/>
      <c r="AM33" s="103"/>
      <c r="AN33" s="103"/>
      <c r="AO33" s="38">
        <f>+Tabla1[[#This Row],[COS.B+E]]+Tabla1[[#This Row],[COS.F1]]+Tabla1[[#This Row],[COS.D1]]+Tabla1[[#This Row],[ALIMENTACION]]+Tabla1[[#This Row],[PRESTAMO]]+AN33</f>
        <v>45</v>
      </c>
      <c r="AP33" s="38" t="e">
        <f>+#REF!+Tabla1[[#This Row],[COS F2]]+Tabla1[[#This Row],[COS D2]]+Tabla1[[#This Row],[ALIMENTACION]]+Tabla1[[#This Row],[PRESTAMO]]+Tabla1[[#This Row],[PASAJES]]</f>
        <v>#REF!</v>
      </c>
    </row>
    <row r="34" spans="1:42" x14ac:dyDescent="0.25">
      <c r="A34" s="2" t="str">
        <f>TEXT(Tabla1[[#This Row],[FECHA ]],"DDDDD")</f>
        <v>viernes</v>
      </c>
      <c r="B34" s="2" t="str">
        <f>_xlfn.IFNA(VLOOKUP(Tabla1[[#This Row],[DESTINO]],RUBRO!$Q$1:$R$9996,2,FALSE)," ")</f>
        <v>OBRA</v>
      </c>
      <c r="C34" s="104">
        <f>WEEKNUM(Tabla1[[#This Row],[FECHA ]],2)</f>
        <v>19</v>
      </c>
      <c r="D34" s="104" t="str">
        <f>TEXT(Tabla1[[#This Row],[FECHA ]],"MMM-YY")</f>
        <v>may-YY</v>
      </c>
      <c r="E34" s="104">
        <f>VLOOKUP(Tabla1[[#This Row],[DNI ]],RUBRO!$F$1:$O$9996,7,FALSE)</f>
        <v>0</v>
      </c>
      <c r="F34" s="104" t="e">
        <f>VLOOKUP(Tabla1[[#This Row],[DNI ]],RUBRO!$F$1:$O$88,3,FALSE)</f>
        <v>#N/A</v>
      </c>
      <c r="G34" s="104">
        <f>VLOOKUP(Tabla1[[#This Row],[DNI ]],RUBRO!$F$1:$O$9996,5,FALSE)</f>
        <v>0</v>
      </c>
      <c r="H34" s="66" t="str">
        <f>VLOOKUP(Tabla1[[#This Row],[DNI ]],RUBRO!$F$1:$O$9996,6,FALSE)</f>
        <v>MONJA ACOSTA RONALD</v>
      </c>
      <c r="I34" s="94">
        <v>44323</v>
      </c>
      <c r="J34" s="10">
        <v>2</v>
      </c>
      <c r="K34" s="2">
        <v>75561146</v>
      </c>
      <c r="L34" s="4">
        <f>VLOOKUP(Tabla1[[#This Row],[DNI ]],RUBRO!$F$2:$O$9996,8,FALSE)</f>
        <v>0</v>
      </c>
      <c r="M34" s="88">
        <v>0.29166666666666669</v>
      </c>
      <c r="N34" s="28">
        <v>0.54166666666666663</v>
      </c>
      <c r="O34" s="28">
        <v>0.58333333333333337</v>
      </c>
      <c r="P34" s="28">
        <v>0.75</v>
      </c>
      <c r="Q34" s="31">
        <f>(Tabla1[[#This Row],[SALIDA]]-Tabla1[[#This Row],[FIN ]])+(Tabla1[[#This Row],[INICIO]]-Tabla1[[#This Row],[INGRESO]])</f>
        <v>0.41666666666666657</v>
      </c>
      <c r="R34" s="13">
        <f t="shared" si="0"/>
        <v>0.33333333333333331</v>
      </c>
      <c r="S34" s="31">
        <f t="shared" si="1"/>
        <v>8.3333333333333259E-2</v>
      </c>
      <c r="T34" s="136"/>
      <c r="U34" s="136"/>
      <c r="V34" s="137">
        <f>(Tabla1[[#This Row],[COS.BASE 3]]*0.25+Tabla1[[#This Row],[COS.BASE 3]])*Tabla1[[#This Row],[HORAS 25 % ]]</f>
        <v>0</v>
      </c>
      <c r="W34" s="138">
        <f>(Tabla1[[#This Row],[COS.BASE 3]]*0.35+Tabla1[[#This Row],[COS.BASE 3]])*Tabla1[[#This Row],[HORAS 35% ]]</f>
        <v>0</v>
      </c>
      <c r="X34" s="138">
        <f>SUM(Tabla1[[#This Row],[C.HORA.35]],Tabla1[[#This Row],[C.HORA.25]])</f>
        <v>0</v>
      </c>
      <c r="Y34" s="31"/>
      <c r="Z34" s="10">
        <f>Tabla1[[#This Row],[T.HORAS]]*24</f>
        <v>9.9999999999999982</v>
      </c>
      <c r="AA34" s="4">
        <f>Tabla1[[#This Row],[H.NORMALES]]*24</f>
        <v>8</v>
      </c>
      <c r="AB34" s="10">
        <f>Tabla1[[#This Row],[H.EXTRAS]]*24</f>
        <v>1.9999999999999982</v>
      </c>
      <c r="AC34" s="105">
        <f t="shared" si="2"/>
        <v>0</v>
      </c>
      <c r="AD34" s="120">
        <f>Tabla1[[#This Row],[COS.BASE 2]]/8</f>
        <v>0</v>
      </c>
      <c r="AE34" s="105">
        <f>Tabla1[[#This Row],[CST_H_E]]+Tabla1[[#This Row],[COS.BASE 2]]</f>
        <v>0</v>
      </c>
      <c r="AF34" s="106">
        <f>+_xlfn.IFNA(INDEX(RUBRO!$W$2:$AA$732,MATCH(Tabla1[[#This Row],[FECHA ]],RUBRO!$W$2:$W$732,0),5)," ")</f>
        <v>0</v>
      </c>
      <c r="AG34" s="10">
        <f>+_xlfn.IFNA(INDEX(RUBRO!$W$2:$AA$732,MATCH(Tabla1[[#This Row],[FECHA ]],RUBRO!$W$2:$W$732,0),2)," ")</f>
        <v>0</v>
      </c>
      <c r="AH34" s="40">
        <f>IFERROR(Tabla1[[#This Row],[F]]*Tabla1[[#This Row],[COS.B+E]]," ")</f>
        <v>0</v>
      </c>
      <c r="AI34" s="40">
        <f>IFERROR(Tabla1[[#This Row],[COS.B+E]]*Tabla1[[#This Row],[D]]," ")</f>
        <v>0</v>
      </c>
      <c r="AJ34" s="40" t="str">
        <f>IFERROR(Tabla1[[#This Row],[F]]*#REF!," ")</f>
        <v xml:space="preserve"> </v>
      </c>
      <c r="AK34" s="40" t="str">
        <f>IFERROR(#REF!*Tabla1[[#This Row],[D]]," ")</f>
        <v xml:space="preserve"> </v>
      </c>
      <c r="AL34" s="103"/>
      <c r="AM34" s="103"/>
      <c r="AN34" s="103"/>
      <c r="AO34" s="38">
        <f>+Tabla1[[#This Row],[COS.B+E]]+Tabla1[[#This Row],[COS.F1]]+Tabla1[[#This Row],[COS.D1]]+Tabla1[[#This Row],[ALIMENTACION]]+Tabla1[[#This Row],[PRESTAMO]]+AN34</f>
        <v>0</v>
      </c>
      <c r="AP34" s="38" t="e">
        <f>+#REF!+Tabla1[[#This Row],[COS F2]]+Tabla1[[#This Row],[COS D2]]+Tabla1[[#This Row],[ALIMENTACION]]+Tabla1[[#This Row],[PRESTAMO]]+Tabla1[[#This Row],[PASAJES]]</f>
        <v>#REF!</v>
      </c>
    </row>
    <row r="35" spans="1:42" x14ac:dyDescent="0.25">
      <c r="A35" s="2" t="str">
        <f>TEXT(Tabla1[[#This Row],[FECHA ]],"DDDDD")</f>
        <v>viernes</v>
      </c>
      <c r="B35" s="2" t="str">
        <f>_xlfn.IFNA(VLOOKUP(Tabla1[[#This Row],[DESTINO]],RUBRO!$Q$1:$R$9996,2,FALSE)," ")</f>
        <v>PLANTA</v>
      </c>
      <c r="C35" s="104">
        <f>WEEKNUM(Tabla1[[#This Row],[FECHA ]],2)</f>
        <v>19</v>
      </c>
      <c r="D35" s="104" t="str">
        <f>TEXT(Tabla1[[#This Row],[FECHA ]],"MMM-YY")</f>
        <v>may-YY</v>
      </c>
      <c r="E35" s="104">
        <f>VLOOKUP(Tabla1[[#This Row],[DNI ]],RUBRO!$F$1:$O$9996,7,FALSE)</f>
        <v>0</v>
      </c>
      <c r="F35" s="104" t="e">
        <f>VLOOKUP(Tabla1[[#This Row],[DNI ]],RUBRO!$F$1:$O$88,3,FALSE)</f>
        <v>#N/A</v>
      </c>
      <c r="G35" s="104">
        <f>VLOOKUP(Tabla1[[#This Row],[DNI ]],RUBRO!$F$1:$O$9996,5,FALSE)</f>
        <v>0</v>
      </c>
      <c r="H35" s="66" t="str">
        <f>VLOOKUP(Tabla1[[#This Row],[DNI ]],RUBRO!$F$1:$O$9996,6,FALSE)</f>
        <v>MONTENEGRO DAVILA EVER</v>
      </c>
      <c r="I35" s="94">
        <v>44323</v>
      </c>
      <c r="J35" s="10">
        <v>1</v>
      </c>
      <c r="K35" s="2">
        <v>76847602</v>
      </c>
      <c r="L35" s="4">
        <f>VLOOKUP(Tabla1[[#This Row],[DNI ]],RUBRO!$F$2:$O$9996,8,FALSE)</f>
        <v>0</v>
      </c>
      <c r="M35" s="88">
        <v>0.29166666666666669</v>
      </c>
      <c r="N35" s="28">
        <v>0.54166666666666663</v>
      </c>
      <c r="O35" s="28">
        <v>0.58333333333333337</v>
      </c>
      <c r="P35" s="28">
        <v>0.79166666666666663</v>
      </c>
      <c r="Q35" s="31">
        <f>(Tabla1[[#This Row],[SALIDA]]-Tabla1[[#This Row],[FIN ]])+(Tabla1[[#This Row],[INICIO]]-Tabla1[[#This Row],[INGRESO]])</f>
        <v>0.4583333333333332</v>
      </c>
      <c r="R35" s="13">
        <f t="shared" si="0"/>
        <v>0.375</v>
      </c>
      <c r="S35" s="31">
        <f t="shared" si="1"/>
        <v>8.3333333333333204E-2</v>
      </c>
      <c r="T35" s="136"/>
      <c r="U35" s="136"/>
      <c r="V35" s="137">
        <f>(Tabla1[[#This Row],[COS.BASE 3]]*0.25+Tabla1[[#This Row],[COS.BASE 3]])*Tabla1[[#This Row],[HORAS 25 % ]]</f>
        <v>0</v>
      </c>
      <c r="W35" s="138">
        <f>(Tabla1[[#This Row],[COS.BASE 3]]*0.35+Tabla1[[#This Row],[COS.BASE 3]])*Tabla1[[#This Row],[HORAS 35% ]]</f>
        <v>0</v>
      </c>
      <c r="X35" s="138">
        <f>SUM(Tabla1[[#This Row],[C.HORA.35]],Tabla1[[#This Row],[C.HORA.25]])</f>
        <v>0</v>
      </c>
      <c r="Y35" s="31"/>
      <c r="Z35" s="10">
        <f>Tabla1[[#This Row],[T.HORAS]]*24</f>
        <v>10.999999999999996</v>
      </c>
      <c r="AA35" s="4">
        <f>Tabla1[[#This Row],[H.NORMALES]]*24</f>
        <v>9</v>
      </c>
      <c r="AB35" s="10">
        <f>Tabla1[[#This Row],[H.EXTRAS]]*24</f>
        <v>1.9999999999999969</v>
      </c>
      <c r="AC35" s="105">
        <f t="shared" si="2"/>
        <v>0</v>
      </c>
      <c r="AD35" s="120">
        <f>Tabla1[[#This Row],[COS.BASE 2]]/8</f>
        <v>0</v>
      </c>
      <c r="AE35" s="105">
        <f>Tabla1[[#This Row],[CST_H_E]]+Tabla1[[#This Row],[COS.BASE 2]]</f>
        <v>0</v>
      </c>
      <c r="AF35" s="106">
        <f>+_xlfn.IFNA(INDEX(RUBRO!$W$2:$AA$732,MATCH(Tabla1[[#This Row],[FECHA ]],RUBRO!$W$2:$W$732,0),5)," ")</f>
        <v>0</v>
      </c>
      <c r="AG35" s="10">
        <f>+_xlfn.IFNA(INDEX(RUBRO!$W$2:$AA$732,MATCH(Tabla1[[#This Row],[FECHA ]],RUBRO!$W$2:$W$732,0),2)," ")</f>
        <v>0</v>
      </c>
      <c r="AH35" s="40">
        <f>IFERROR(Tabla1[[#This Row],[F]]*Tabla1[[#This Row],[COS.B+E]]," ")</f>
        <v>0</v>
      </c>
      <c r="AI35" s="40">
        <f>IFERROR(Tabla1[[#This Row],[COS.B+E]]*Tabla1[[#This Row],[D]]," ")</f>
        <v>0</v>
      </c>
      <c r="AJ35" s="40" t="str">
        <f>IFERROR(Tabla1[[#This Row],[F]]*#REF!," ")</f>
        <v xml:space="preserve"> </v>
      </c>
      <c r="AK35" s="40" t="str">
        <f>IFERROR(#REF!*Tabla1[[#This Row],[D]]," ")</f>
        <v xml:space="preserve"> </v>
      </c>
      <c r="AL35" s="103"/>
      <c r="AM35" s="103"/>
      <c r="AN35" s="103"/>
      <c r="AO35" s="38">
        <f>+Tabla1[[#This Row],[COS.B+E]]+Tabla1[[#This Row],[COS.F1]]+Tabla1[[#This Row],[COS.D1]]+Tabla1[[#This Row],[ALIMENTACION]]+Tabla1[[#This Row],[PRESTAMO]]+AN35</f>
        <v>0</v>
      </c>
      <c r="AP35" s="38" t="e">
        <f>+#REF!+Tabla1[[#This Row],[COS F2]]+Tabla1[[#This Row],[COS D2]]+Tabla1[[#This Row],[ALIMENTACION]]+Tabla1[[#This Row],[PRESTAMO]]+Tabla1[[#This Row],[PASAJES]]</f>
        <v>#REF!</v>
      </c>
    </row>
    <row r="36" spans="1:42" x14ac:dyDescent="0.25">
      <c r="A36" s="2" t="str">
        <f>TEXT(Tabla1[[#This Row],[FECHA ]],"DDDDD")</f>
        <v>viernes</v>
      </c>
      <c r="B36" s="2" t="str">
        <f>_xlfn.IFNA(VLOOKUP(Tabla1[[#This Row],[DESTINO]],RUBRO!$Q$1:$R$9996,2,FALSE)," ")</f>
        <v>FALTA</v>
      </c>
      <c r="C36" s="104">
        <f>WEEKNUM(Tabla1[[#This Row],[FECHA ]],2)</f>
        <v>19</v>
      </c>
      <c r="D36" s="104" t="str">
        <f>TEXT(Tabla1[[#This Row],[FECHA ]],"MMM-YY")</f>
        <v>may-YY</v>
      </c>
      <c r="E36" s="104" t="str">
        <f>VLOOKUP(Tabla1[[#This Row],[DNI ]],RUBRO!$F$1:$O$9996,7,FALSE)</f>
        <v>5ta</v>
      </c>
      <c r="F36" s="104" t="str">
        <f>VLOOKUP(Tabla1[[#This Row],[DNI ]],RUBRO!$F$1:$O$88,3,FALSE)</f>
        <v>TEC-01</v>
      </c>
      <c r="G36" s="104" t="str">
        <f>VLOOKUP(Tabla1[[#This Row],[DNI ]],RUBRO!$F$1:$O$9996,5,FALSE)</f>
        <v>TECNICO SOLDADOR</v>
      </c>
      <c r="H36" s="66" t="str">
        <f>VLOOKUP(Tabla1[[#This Row],[DNI ]],RUBRO!$F$1:$O$9996,6,FALSE)</f>
        <v>MUÑOZ EXEBIO IRWIS MANUEL</v>
      </c>
      <c r="I36" s="94">
        <v>44323</v>
      </c>
      <c r="J36" s="10">
        <v>4</v>
      </c>
      <c r="K36" s="2">
        <v>46933574</v>
      </c>
      <c r="L36" s="4">
        <f>VLOOKUP(Tabla1[[#This Row],[DNI ]],RUBRO!$F$2:$O$9996,8,FALSE)</f>
        <v>65</v>
      </c>
      <c r="M36" s="88"/>
      <c r="N36" s="28"/>
      <c r="P36" s="28"/>
      <c r="Q36" s="31">
        <f>(Tabla1[[#This Row],[SALIDA]]-Tabla1[[#This Row],[FIN ]])+(Tabla1[[#This Row],[INICIO]]-Tabla1[[#This Row],[INGRESO]])</f>
        <v>0</v>
      </c>
      <c r="R36" s="13">
        <f t="shared" si="0"/>
        <v>0</v>
      </c>
      <c r="S36" s="31">
        <f t="shared" si="1"/>
        <v>0</v>
      </c>
      <c r="T36" s="136"/>
      <c r="U36" s="136"/>
      <c r="V36" s="137">
        <f>(Tabla1[[#This Row],[COS.BASE 3]]*0.25+Tabla1[[#This Row],[COS.BASE 3]])*Tabla1[[#This Row],[HORAS 25 % ]]</f>
        <v>0</v>
      </c>
      <c r="W36" s="138">
        <f>(Tabla1[[#This Row],[COS.BASE 3]]*0.35+Tabla1[[#This Row],[COS.BASE 3]])*Tabla1[[#This Row],[HORAS 35% ]]</f>
        <v>0</v>
      </c>
      <c r="X36" s="138">
        <f>SUM(Tabla1[[#This Row],[C.HORA.35]],Tabla1[[#This Row],[C.HORA.25]])</f>
        <v>0</v>
      </c>
      <c r="Y36" s="31"/>
      <c r="Z36" s="10">
        <f>Tabla1[[#This Row],[T.HORAS]]*24</f>
        <v>0</v>
      </c>
      <c r="AA36" s="4">
        <f>Tabla1[[#This Row],[H.NORMALES]]*24</f>
        <v>0</v>
      </c>
      <c r="AB36" s="10">
        <f>Tabla1[[#This Row],[H.EXTRAS]]*24</f>
        <v>0</v>
      </c>
      <c r="AC36" s="105">
        <f t="shared" si="2"/>
        <v>0</v>
      </c>
      <c r="AD36" s="120">
        <f>Tabla1[[#This Row],[COS.BASE 2]]/8</f>
        <v>0</v>
      </c>
      <c r="AE36" s="105">
        <f>Tabla1[[#This Row],[CST_H_E]]+Tabla1[[#This Row],[COS.BASE 2]]</f>
        <v>0</v>
      </c>
      <c r="AF36" s="106">
        <f>+_xlfn.IFNA(INDEX(RUBRO!$W$2:$AA$732,MATCH(Tabla1[[#This Row],[FECHA ]],RUBRO!$W$2:$W$732,0),5)," ")</f>
        <v>0</v>
      </c>
      <c r="AG36" s="10">
        <f>+_xlfn.IFNA(INDEX(RUBRO!$W$2:$AA$732,MATCH(Tabla1[[#This Row],[FECHA ]],RUBRO!$W$2:$W$732,0),2)," ")</f>
        <v>0</v>
      </c>
      <c r="AH36" s="40">
        <f>IFERROR(Tabla1[[#This Row],[F]]*Tabla1[[#This Row],[COS.B+E]]," ")</f>
        <v>0</v>
      </c>
      <c r="AI36" s="40">
        <f>IFERROR(Tabla1[[#This Row],[COS.B+E]]*Tabla1[[#This Row],[D]]," ")</f>
        <v>0</v>
      </c>
      <c r="AJ36" s="40" t="str">
        <f>IFERROR(Tabla1[[#This Row],[F]]*#REF!," ")</f>
        <v xml:space="preserve"> </v>
      </c>
      <c r="AK36" s="40" t="str">
        <f>IFERROR(#REF!*Tabla1[[#This Row],[D]]," ")</f>
        <v xml:space="preserve"> </v>
      </c>
      <c r="AL36" s="103"/>
      <c r="AM36" s="103"/>
      <c r="AN36" s="103"/>
      <c r="AO36" s="38">
        <f>+Tabla1[[#This Row],[COS.B+E]]+Tabla1[[#This Row],[COS.F1]]+Tabla1[[#This Row],[COS.D1]]+Tabla1[[#This Row],[ALIMENTACION]]+Tabla1[[#This Row],[PRESTAMO]]+AN36</f>
        <v>0</v>
      </c>
      <c r="AP36" s="38" t="e">
        <f>+#REF!+Tabla1[[#This Row],[COS F2]]+Tabla1[[#This Row],[COS D2]]+Tabla1[[#This Row],[ALIMENTACION]]+Tabla1[[#This Row],[PRESTAMO]]+Tabla1[[#This Row],[PASAJES]]</f>
        <v>#REF!</v>
      </c>
    </row>
    <row r="37" spans="1:42" x14ac:dyDescent="0.25">
      <c r="A37" s="2" t="str">
        <f>TEXT(Tabla1[[#This Row],[FECHA ]],"DDDDD")</f>
        <v>viernes</v>
      </c>
      <c r="B37" s="2" t="str">
        <f>_xlfn.IFNA(VLOOKUP(Tabla1[[#This Row],[DESTINO]],RUBRO!$Q$1:$R$9996,2,FALSE)," ")</f>
        <v>PLANTA</v>
      </c>
      <c r="C37" s="104">
        <f>WEEKNUM(Tabla1[[#This Row],[FECHA ]],2)</f>
        <v>19</v>
      </c>
      <c r="D37" s="104" t="str">
        <f>TEXT(Tabla1[[#This Row],[FECHA ]],"MMM-YY")</f>
        <v>may-YY</v>
      </c>
      <c r="E37" s="104" t="str">
        <f>VLOOKUP(Tabla1[[#This Row],[DNI ]],RUBRO!$F$1:$O$9996,7,FALSE)</f>
        <v>5ta</v>
      </c>
      <c r="F37" s="104" t="e">
        <f>VLOOKUP(Tabla1[[#This Row],[DNI ]],RUBRO!$F$1:$O$88,3,FALSE)</f>
        <v>#N/A</v>
      </c>
      <c r="G37" s="104">
        <f>VLOOKUP(Tabla1[[#This Row],[DNI ]],RUBRO!$F$1:$O$9996,5,FALSE)</f>
        <v>0</v>
      </c>
      <c r="H37" s="66" t="str">
        <f>VLOOKUP(Tabla1[[#This Row],[DNI ]],RUBRO!$F$1:$O$9996,6,FALSE)</f>
        <v>OLANO GARCIA</v>
      </c>
      <c r="I37" s="94">
        <v>44323</v>
      </c>
      <c r="J37" s="10">
        <v>1</v>
      </c>
      <c r="K37" s="2">
        <v>41234982</v>
      </c>
      <c r="L37" s="4">
        <f>VLOOKUP(Tabla1[[#This Row],[DNI ]],RUBRO!$F$2:$O$9996,8,FALSE)</f>
        <v>0</v>
      </c>
      <c r="M37" s="88">
        <v>0.29166666666666669</v>
      </c>
      <c r="N37" s="28">
        <v>0.54166666666666663</v>
      </c>
      <c r="O37" s="28">
        <v>0.58333333333333337</v>
      </c>
      <c r="P37" s="28">
        <v>0.70833333333333337</v>
      </c>
      <c r="Q37" s="31">
        <f>(Tabla1[[#This Row],[SALIDA]]-Tabla1[[#This Row],[FIN ]])+(Tabla1[[#This Row],[INICIO]]-Tabla1[[#This Row],[INGRESO]])</f>
        <v>0.37499999999999994</v>
      </c>
      <c r="R37" s="13">
        <f t="shared" si="0"/>
        <v>0.37499999999999994</v>
      </c>
      <c r="S37" s="31">
        <f t="shared" si="1"/>
        <v>0</v>
      </c>
      <c r="T37" s="136"/>
      <c r="U37" s="136"/>
      <c r="V37" s="137">
        <f>(Tabla1[[#This Row],[COS.BASE 3]]*0.25+Tabla1[[#This Row],[COS.BASE 3]])*Tabla1[[#This Row],[HORAS 25 % ]]</f>
        <v>0</v>
      </c>
      <c r="W37" s="138">
        <f>(Tabla1[[#This Row],[COS.BASE 3]]*0.35+Tabla1[[#This Row],[COS.BASE 3]])*Tabla1[[#This Row],[HORAS 35% ]]</f>
        <v>0</v>
      </c>
      <c r="X37" s="138">
        <f>SUM(Tabla1[[#This Row],[C.HORA.35]],Tabla1[[#This Row],[C.HORA.25]])</f>
        <v>0</v>
      </c>
      <c r="Y37" s="31"/>
      <c r="Z37" s="10">
        <f>Tabla1[[#This Row],[T.HORAS]]*24</f>
        <v>8.9999999999999982</v>
      </c>
      <c r="AA37" s="4">
        <f>Tabla1[[#This Row],[H.NORMALES]]*24</f>
        <v>8.9999999999999982</v>
      </c>
      <c r="AB37" s="10">
        <f>Tabla1[[#This Row],[H.EXTRAS]]*24</f>
        <v>0</v>
      </c>
      <c r="AC37" s="105">
        <f t="shared" si="2"/>
        <v>0</v>
      </c>
      <c r="AD37" s="120">
        <f>Tabla1[[#This Row],[COS.BASE 2]]/8</f>
        <v>0</v>
      </c>
      <c r="AE37" s="105">
        <f>Tabla1[[#This Row],[CST_H_E]]+Tabla1[[#This Row],[COS.BASE 2]]</f>
        <v>0</v>
      </c>
      <c r="AF37" s="106">
        <f>+_xlfn.IFNA(INDEX(RUBRO!$W$2:$AA$732,MATCH(Tabla1[[#This Row],[FECHA ]],RUBRO!$W$2:$W$732,0),5)," ")</f>
        <v>0</v>
      </c>
      <c r="AG37" s="10">
        <f>+_xlfn.IFNA(INDEX(RUBRO!$W$2:$AA$732,MATCH(Tabla1[[#This Row],[FECHA ]],RUBRO!$W$2:$W$732,0),2)," ")</f>
        <v>0</v>
      </c>
      <c r="AH37" s="40">
        <f>IFERROR(Tabla1[[#This Row],[F]]*Tabla1[[#This Row],[COS.B+E]]," ")</f>
        <v>0</v>
      </c>
      <c r="AI37" s="40">
        <f>IFERROR(Tabla1[[#This Row],[COS.B+E]]*Tabla1[[#This Row],[D]]," ")</f>
        <v>0</v>
      </c>
      <c r="AJ37" s="40" t="str">
        <f>IFERROR(Tabla1[[#This Row],[F]]*#REF!," ")</f>
        <v xml:space="preserve"> </v>
      </c>
      <c r="AK37" s="40" t="str">
        <f>IFERROR(#REF!*Tabla1[[#This Row],[D]]," ")</f>
        <v xml:space="preserve"> </v>
      </c>
      <c r="AL37" s="103"/>
      <c r="AM37" s="103"/>
      <c r="AN37" s="103"/>
      <c r="AO37" s="38">
        <f>+Tabla1[[#This Row],[COS.B+E]]+Tabla1[[#This Row],[COS.F1]]+Tabla1[[#This Row],[COS.D1]]+Tabla1[[#This Row],[ALIMENTACION]]+Tabla1[[#This Row],[PRESTAMO]]+AN37</f>
        <v>0</v>
      </c>
      <c r="AP37" s="38" t="e">
        <f>+#REF!+Tabla1[[#This Row],[COS F2]]+Tabla1[[#This Row],[COS D2]]+Tabla1[[#This Row],[ALIMENTACION]]+Tabla1[[#This Row],[PRESTAMO]]+Tabla1[[#This Row],[PASAJES]]</f>
        <v>#REF!</v>
      </c>
    </row>
    <row r="38" spans="1:42" x14ac:dyDescent="0.25">
      <c r="A38" s="2" t="str">
        <f>TEXT(Tabla1[[#This Row],[FECHA ]],"DDDDD")</f>
        <v>viernes</v>
      </c>
      <c r="B38" s="2" t="str">
        <f>_xlfn.IFNA(VLOOKUP(Tabla1[[#This Row],[DESTINO]],RUBRO!$Q$1:$R$9996,2,FALSE)," ")</f>
        <v>PLANTA</v>
      </c>
      <c r="C38" s="104">
        <f>WEEKNUM(Tabla1[[#This Row],[FECHA ]],2)</f>
        <v>19</v>
      </c>
      <c r="D38" s="104" t="str">
        <f>TEXT(Tabla1[[#This Row],[FECHA ]],"MMM-YY")</f>
        <v>may-YY</v>
      </c>
      <c r="E38" s="104" t="str">
        <f>VLOOKUP(Tabla1[[#This Row],[DNI ]],RUBRO!$F$1:$O$9996,7,FALSE)</f>
        <v>5ta</v>
      </c>
      <c r="F38" s="104" t="str">
        <f>VLOOKUP(Tabla1[[#This Row],[DNI ]],RUBRO!$F$1:$O$88,3,FALSE)</f>
        <v>TEC-05</v>
      </c>
      <c r="G38" s="104" t="str">
        <f>VLOOKUP(Tabla1[[#This Row],[DNI ]],RUBRO!$F$1:$O$9996,5,FALSE)</f>
        <v>TECNICO MECANICO MONTAJISTA DE NAVE INDUSTRIAL</v>
      </c>
      <c r="H38" s="66" t="str">
        <f>VLOOKUP(Tabla1[[#This Row],[DNI ]],RUBRO!$F$1:$O$9996,6,FALSE)</f>
        <v>ORTIZ PANTALEON POLH MANIX</v>
      </c>
      <c r="I38" s="94">
        <v>44323</v>
      </c>
      <c r="J38" s="10">
        <v>1</v>
      </c>
      <c r="K38" s="2">
        <v>45821420</v>
      </c>
      <c r="L38" s="4">
        <f>VLOOKUP(Tabla1[[#This Row],[DNI ]],RUBRO!$F$2:$O$9996,8,FALSE)</f>
        <v>56.55</v>
      </c>
      <c r="M38" s="88">
        <v>0.29166666666666669</v>
      </c>
      <c r="N38" s="28">
        <v>0.54166666666666663</v>
      </c>
      <c r="O38" s="28">
        <v>0.58333333333333337</v>
      </c>
      <c r="P38" s="28">
        <v>0.70833333333333337</v>
      </c>
      <c r="Q38" s="31">
        <f>(Tabla1[[#This Row],[SALIDA]]-Tabla1[[#This Row],[FIN ]])+(Tabla1[[#This Row],[INICIO]]-Tabla1[[#This Row],[INGRESO]])</f>
        <v>0.37499999999999994</v>
      </c>
      <c r="R38" s="13">
        <f t="shared" si="0"/>
        <v>0.37499999999999994</v>
      </c>
      <c r="S38" s="31">
        <f t="shared" si="1"/>
        <v>0</v>
      </c>
      <c r="T38" s="136"/>
      <c r="U38" s="136"/>
      <c r="V38" s="137">
        <f>(Tabla1[[#This Row],[COS.BASE 3]]*0.25+Tabla1[[#This Row],[COS.BASE 3]])*Tabla1[[#This Row],[HORAS 25 % ]]</f>
        <v>0</v>
      </c>
      <c r="W38" s="138">
        <f>(Tabla1[[#This Row],[COS.BASE 3]]*0.35+Tabla1[[#This Row],[COS.BASE 3]])*Tabla1[[#This Row],[HORAS 35% ]]</f>
        <v>0</v>
      </c>
      <c r="X38" s="138">
        <f>SUM(Tabla1[[#This Row],[C.HORA.35]],Tabla1[[#This Row],[C.HORA.25]])</f>
        <v>0</v>
      </c>
      <c r="Y38" s="31"/>
      <c r="Z38" s="10">
        <f>Tabla1[[#This Row],[T.HORAS]]*24</f>
        <v>8.9999999999999982</v>
      </c>
      <c r="AA38" s="4">
        <f>Tabla1[[#This Row],[H.NORMALES]]*24</f>
        <v>8.9999999999999982</v>
      </c>
      <c r="AB38" s="10">
        <f>Tabla1[[#This Row],[H.EXTRAS]]*24</f>
        <v>0</v>
      </c>
      <c r="AC38" s="105">
        <f t="shared" si="2"/>
        <v>56.54999999999999</v>
      </c>
      <c r="AD38" s="120">
        <f>Tabla1[[#This Row],[COS.BASE 2]]/8</f>
        <v>7.0687499999999988</v>
      </c>
      <c r="AE38" s="105">
        <f>Tabla1[[#This Row],[CST_H_E]]+Tabla1[[#This Row],[COS.BASE 2]]</f>
        <v>56.54999999999999</v>
      </c>
      <c r="AF38" s="106">
        <f>+_xlfn.IFNA(INDEX(RUBRO!$W$2:$AA$732,MATCH(Tabla1[[#This Row],[FECHA ]],RUBRO!$W$2:$W$732,0),5)," ")</f>
        <v>0</v>
      </c>
      <c r="AG38" s="10">
        <f>+_xlfn.IFNA(INDEX(RUBRO!$W$2:$AA$732,MATCH(Tabla1[[#This Row],[FECHA ]],RUBRO!$W$2:$W$732,0),2)," ")</f>
        <v>0</v>
      </c>
      <c r="AH38" s="40">
        <f>IFERROR(Tabla1[[#This Row],[F]]*Tabla1[[#This Row],[COS.B+E]]," ")</f>
        <v>0</v>
      </c>
      <c r="AI38" s="40">
        <f>IFERROR(Tabla1[[#This Row],[COS.B+E]]*Tabla1[[#This Row],[D]]," ")</f>
        <v>0</v>
      </c>
      <c r="AJ38" s="40" t="str">
        <f>IFERROR(Tabla1[[#This Row],[F]]*#REF!," ")</f>
        <v xml:space="preserve"> </v>
      </c>
      <c r="AK38" s="40" t="str">
        <f>IFERROR(#REF!*Tabla1[[#This Row],[D]]," ")</f>
        <v xml:space="preserve"> </v>
      </c>
      <c r="AL38" s="103"/>
      <c r="AM38" s="103"/>
      <c r="AN38" s="103"/>
      <c r="AO38" s="38">
        <f>+Tabla1[[#This Row],[COS.B+E]]+Tabla1[[#This Row],[COS.F1]]+Tabla1[[#This Row],[COS.D1]]+Tabla1[[#This Row],[ALIMENTACION]]+Tabla1[[#This Row],[PRESTAMO]]+AN38</f>
        <v>56.54999999999999</v>
      </c>
      <c r="AP38" s="38" t="e">
        <f>+#REF!+Tabla1[[#This Row],[COS F2]]+Tabla1[[#This Row],[COS D2]]+Tabla1[[#This Row],[ALIMENTACION]]+Tabla1[[#This Row],[PRESTAMO]]+Tabla1[[#This Row],[PASAJES]]</f>
        <v>#REF!</v>
      </c>
    </row>
    <row r="39" spans="1:42" x14ac:dyDescent="0.25">
      <c r="A39" s="2" t="str">
        <f>TEXT(Tabla1[[#This Row],[FECHA ]],"DDDDD")</f>
        <v>viernes</v>
      </c>
      <c r="B39" s="2" t="str">
        <f>_xlfn.IFNA(VLOOKUP(Tabla1[[#This Row],[DESTINO]],RUBRO!$Q$1:$R$9996,2,FALSE)," ")</f>
        <v>PLANTA</v>
      </c>
      <c r="C39" s="104">
        <f>WEEKNUM(Tabla1[[#This Row],[FECHA ]],2)</f>
        <v>19</v>
      </c>
      <c r="D39" s="104" t="str">
        <f>TEXT(Tabla1[[#This Row],[FECHA ]],"MMM-YY")</f>
        <v>may-YY</v>
      </c>
      <c r="E39" s="104" t="str">
        <f>VLOOKUP(Tabla1[[#This Row],[DNI ]],RUBRO!$F$1:$O$9996,7,FALSE)</f>
        <v>5ta</v>
      </c>
      <c r="F39" s="104" t="str">
        <f>VLOOKUP(Tabla1[[#This Row],[DNI ]],RUBRO!$F$1:$O$88,3,FALSE)</f>
        <v>TEC-01</v>
      </c>
      <c r="G39" s="104" t="str">
        <f>VLOOKUP(Tabla1[[#This Row],[DNI ]],RUBRO!$F$1:$O$9996,5,FALSE)</f>
        <v>TECNICO SOLDADOR</v>
      </c>
      <c r="H39" s="66" t="str">
        <f>VLOOKUP(Tabla1[[#This Row],[DNI ]],RUBRO!$F$1:$O$9996,6,FALSE)</f>
        <v>PANDO SALAZAR LUIS BRYAN</v>
      </c>
      <c r="I39" s="94">
        <v>44323</v>
      </c>
      <c r="J39" s="10">
        <v>1</v>
      </c>
      <c r="K39" s="2">
        <v>47887505</v>
      </c>
      <c r="L39" s="4">
        <f>VLOOKUP(Tabla1[[#This Row],[DNI ]],RUBRO!$F$2:$O$9996,8,FALSE)</f>
        <v>66.48</v>
      </c>
      <c r="M39" s="88">
        <v>0.29166666666666669</v>
      </c>
      <c r="N39" s="28">
        <v>0.54166666666666663</v>
      </c>
      <c r="O39" s="28">
        <v>0.58333333333333337</v>
      </c>
      <c r="P39" s="28">
        <v>0.79166666666666663</v>
      </c>
      <c r="Q39" s="31">
        <f>(Tabla1[[#This Row],[SALIDA]]-Tabla1[[#This Row],[FIN ]])+(Tabla1[[#This Row],[INICIO]]-Tabla1[[#This Row],[INGRESO]])</f>
        <v>0.4583333333333332</v>
      </c>
      <c r="R39" s="13">
        <f t="shared" si="0"/>
        <v>0.375</v>
      </c>
      <c r="S39" s="31">
        <f t="shared" si="1"/>
        <v>8.3333333333333204E-2</v>
      </c>
      <c r="T39" s="136"/>
      <c r="U39" s="136"/>
      <c r="V39" s="137">
        <f>(Tabla1[[#This Row],[COS.BASE 3]]*0.25+Tabla1[[#This Row],[COS.BASE 3]])*Tabla1[[#This Row],[HORAS 25 % ]]</f>
        <v>0</v>
      </c>
      <c r="W39" s="138">
        <f>(Tabla1[[#This Row],[COS.BASE 3]]*0.35+Tabla1[[#This Row],[COS.BASE 3]])*Tabla1[[#This Row],[HORAS 35% ]]</f>
        <v>0</v>
      </c>
      <c r="X39" s="138">
        <f>SUM(Tabla1[[#This Row],[C.HORA.35]],Tabla1[[#This Row],[C.HORA.25]])</f>
        <v>0</v>
      </c>
      <c r="Y39" s="31"/>
      <c r="Z39" s="10">
        <f>Tabla1[[#This Row],[T.HORAS]]*24</f>
        <v>10.999999999999996</v>
      </c>
      <c r="AA39" s="4">
        <f>Tabla1[[#This Row],[H.NORMALES]]*24</f>
        <v>9</v>
      </c>
      <c r="AB39" s="10">
        <f>Tabla1[[#This Row],[H.EXTRAS]]*24</f>
        <v>1.9999999999999969</v>
      </c>
      <c r="AC39" s="105">
        <f t="shared" si="2"/>
        <v>66.48</v>
      </c>
      <c r="AD39" s="120">
        <f>Tabla1[[#This Row],[COS.BASE 2]]/8</f>
        <v>8.31</v>
      </c>
      <c r="AE39" s="105">
        <f>Tabla1[[#This Row],[CST_H_E]]+Tabla1[[#This Row],[COS.BASE 2]]</f>
        <v>66.48</v>
      </c>
      <c r="AF39" s="106">
        <f>+_xlfn.IFNA(INDEX(RUBRO!$W$2:$AA$732,MATCH(Tabla1[[#This Row],[FECHA ]],RUBRO!$W$2:$W$732,0),5)," ")</f>
        <v>0</v>
      </c>
      <c r="AG39" s="10">
        <f>+_xlfn.IFNA(INDEX(RUBRO!$W$2:$AA$732,MATCH(Tabla1[[#This Row],[FECHA ]],RUBRO!$W$2:$W$732,0),2)," ")</f>
        <v>0</v>
      </c>
      <c r="AH39" s="40">
        <f>IFERROR(Tabla1[[#This Row],[F]]*Tabla1[[#This Row],[COS.B+E]]," ")</f>
        <v>0</v>
      </c>
      <c r="AI39" s="40">
        <f>IFERROR(Tabla1[[#This Row],[COS.B+E]]*Tabla1[[#This Row],[D]]," ")</f>
        <v>0</v>
      </c>
      <c r="AJ39" s="40" t="str">
        <f>IFERROR(Tabla1[[#This Row],[F]]*#REF!," ")</f>
        <v xml:space="preserve"> </v>
      </c>
      <c r="AK39" s="40" t="str">
        <f>IFERROR(#REF!*Tabla1[[#This Row],[D]]," ")</f>
        <v xml:space="preserve"> </v>
      </c>
      <c r="AL39" s="103"/>
      <c r="AM39" s="103"/>
      <c r="AN39" s="103"/>
      <c r="AO39" s="38">
        <f>+Tabla1[[#This Row],[COS.B+E]]+Tabla1[[#This Row],[COS.F1]]+Tabla1[[#This Row],[COS.D1]]+Tabla1[[#This Row],[ALIMENTACION]]+Tabla1[[#This Row],[PRESTAMO]]+AN39</f>
        <v>66.48</v>
      </c>
      <c r="AP39" s="38" t="e">
        <f>+#REF!+Tabla1[[#This Row],[COS F2]]+Tabla1[[#This Row],[COS D2]]+Tabla1[[#This Row],[ALIMENTACION]]+Tabla1[[#This Row],[PRESTAMO]]+Tabla1[[#This Row],[PASAJES]]</f>
        <v>#REF!</v>
      </c>
    </row>
    <row r="40" spans="1:42" x14ac:dyDescent="0.25">
      <c r="A40" s="2" t="str">
        <f>TEXT(Tabla1[[#This Row],[FECHA ]],"DDDDD")</f>
        <v>viernes</v>
      </c>
      <c r="B40" s="2" t="str">
        <f>_xlfn.IFNA(VLOOKUP(Tabla1[[#This Row],[DESTINO]],RUBRO!$Q$1:$R$9996,2,FALSE)," ")</f>
        <v>OBRA</v>
      </c>
      <c r="C40" s="104">
        <f>WEEKNUM(Tabla1[[#This Row],[FECHA ]],2)</f>
        <v>19</v>
      </c>
      <c r="D40" s="104" t="str">
        <f>TEXT(Tabla1[[#This Row],[FECHA ]],"MMM-YY")</f>
        <v>may-YY</v>
      </c>
      <c r="E40" s="104" t="str">
        <f>VLOOKUP(Tabla1[[#This Row],[DNI ]],RUBRO!$F$1:$O$9996,7,FALSE)</f>
        <v>5ta</v>
      </c>
      <c r="F40" s="104" t="e">
        <f>VLOOKUP(Tabla1[[#This Row],[DNI ]],RUBRO!$F$1:$O$88,3,FALSE)</f>
        <v>#N/A</v>
      </c>
      <c r="G40" s="104">
        <f>VLOOKUP(Tabla1[[#This Row],[DNI ]],RUBRO!$F$1:$O$9996,5,FALSE)</f>
        <v>0</v>
      </c>
      <c r="H40" s="66" t="str">
        <f>VLOOKUP(Tabla1[[#This Row],[DNI ]],RUBRO!$F$1:$O$9996,6,FALSE)</f>
        <v xml:space="preserve">PECHE CHAPOÑAN ALBERTO </v>
      </c>
      <c r="I40" s="94">
        <v>44323</v>
      </c>
      <c r="J40" s="10">
        <v>2</v>
      </c>
      <c r="K40" s="2">
        <v>77226886</v>
      </c>
      <c r="L40" s="4">
        <f>VLOOKUP(Tabla1[[#This Row],[DNI ]],RUBRO!$F$2:$O$9996,8,FALSE)</f>
        <v>80</v>
      </c>
      <c r="M40" s="88">
        <v>0.29166666666666669</v>
      </c>
      <c r="N40" s="28">
        <v>0.54166666666666663</v>
      </c>
      <c r="O40" s="28">
        <v>0.58333333333333337</v>
      </c>
      <c r="P40" s="28">
        <v>0.75</v>
      </c>
      <c r="Q40" s="31">
        <f>(Tabla1[[#This Row],[SALIDA]]-Tabla1[[#This Row],[FIN ]])+(Tabla1[[#This Row],[INICIO]]-Tabla1[[#This Row],[INGRESO]])</f>
        <v>0.41666666666666657</v>
      </c>
      <c r="R40" s="13">
        <f t="shared" si="0"/>
        <v>0.33333333333333331</v>
      </c>
      <c r="S40" s="31">
        <f t="shared" si="1"/>
        <v>8.3333333333333259E-2</v>
      </c>
      <c r="T40" s="136"/>
      <c r="U40" s="136"/>
      <c r="V40" s="137">
        <f>(Tabla1[[#This Row],[COS.BASE 3]]*0.25+Tabla1[[#This Row],[COS.BASE 3]])*Tabla1[[#This Row],[HORAS 25 % ]]</f>
        <v>0</v>
      </c>
      <c r="W40" s="138">
        <f>(Tabla1[[#This Row],[COS.BASE 3]]*0.35+Tabla1[[#This Row],[COS.BASE 3]])*Tabla1[[#This Row],[HORAS 35% ]]</f>
        <v>0</v>
      </c>
      <c r="X40" s="138">
        <f>SUM(Tabla1[[#This Row],[C.HORA.35]],Tabla1[[#This Row],[C.HORA.25]])</f>
        <v>0</v>
      </c>
      <c r="Y40" s="31"/>
      <c r="Z40" s="10">
        <f>Tabla1[[#This Row],[T.HORAS]]*24</f>
        <v>9.9999999999999982</v>
      </c>
      <c r="AA40" s="4">
        <f>Tabla1[[#This Row],[H.NORMALES]]*24</f>
        <v>8</v>
      </c>
      <c r="AB40" s="10">
        <f>Tabla1[[#This Row],[H.EXTRAS]]*24</f>
        <v>1.9999999999999982</v>
      </c>
      <c r="AC40" s="105">
        <f t="shared" si="2"/>
        <v>80</v>
      </c>
      <c r="AD40" s="120">
        <f>Tabla1[[#This Row],[COS.BASE 2]]/8</f>
        <v>10</v>
      </c>
      <c r="AE40" s="105">
        <f>Tabla1[[#This Row],[CST_H_E]]+Tabla1[[#This Row],[COS.BASE 2]]</f>
        <v>80</v>
      </c>
      <c r="AF40" s="106">
        <f>+_xlfn.IFNA(INDEX(RUBRO!$W$2:$AA$732,MATCH(Tabla1[[#This Row],[FECHA ]],RUBRO!$W$2:$W$732,0),5)," ")</f>
        <v>0</v>
      </c>
      <c r="AG40" s="10">
        <f>+_xlfn.IFNA(INDEX(RUBRO!$W$2:$AA$732,MATCH(Tabla1[[#This Row],[FECHA ]],RUBRO!$W$2:$W$732,0),2)," ")</f>
        <v>0</v>
      </c>
      <c r="AH40" s="40">
        <f>IFERROR(Tabla1[[#This Row],[F]]*Tabla1[[#This Row],[COS.B+E]]," ")</f>
        <v>0</v>
      </c>
      <c r="AI40" s="40">
        <f>IFERROR(Tabla1[[#This Row],[COS.B+E]]*Tabla1[[#This Row],[D]]," ")</f>
        <v>0</v>
      </c>
      <c r="AJ40" s="40" t="str">
        <f>IFERROR(Tabla1[[#This Row],[F]]*#REF!," ")</f>
        <v xml:space="preserve"> </v>
      </c>
      <c r="AK40" s="40" t="str">
        <f>IFERROR(#REF!*Tabla1[[#This Row],[D]]," ")</f>
        <v xml:space="preserve"> </v>
      </c>
      <c r="AL40" s="103"/>
      <c r="AM40" s="103"/>
      <c r="AN40" s="103"/>
      <c r="AO40" s="38">
        <f>+Tabla1[[#This Row],[COS.B+E]]+Tabla1[[#This Row],[COS.F1]]+Tabla1[[#This Row],[COS.D1]]+Tabla1[[#This Row],[ALIMENTACION]]+Tabla1[[#This Row],[PRESTAMO]]+AN40</f>
        <v>80</v>
      </c>
      <c r="AP40" s="38" t="e">
        <f>+#REF!+Tabla1[[#This Row],[COS F2]]+Tabla1[[#This Row],[COS D2]]+Tabla1[[#This Row],[ALIMENTACION]]+Tabla1[[#This Row],[PRESTAMO]]+Tabla1[[#This Row],[PASAJES]]</f>
        <v>#REF!</v>
      </c>
    </row>
    <row r="41" spans="1:42" x14ac:dyDescent="0.25">
      <c r="A41" s="2" t="str">
        <f>TEXT(Tabla1[[#This Row],[FECHA ]],"DDDDD")</f>
        <v>viernes</v>
      </c>
      <c r="B41" s="2" t="str">
        <f>_xlfn.IFNA(VLOOKUP(Tabla1[[#This Row],[DESTINO]],RUBRO!$Q$1:$R$9996,2,FALSE)," ")</f>
        <v xml:space="preserve"> </v>
      </c>
      <c r="C41" s="104">
        <f>WEEKNUM(Tabla1[[#This Row],[FECHA ]],2)</f>
        <v>19</v>
      </c>
      <c r="D41" s="104" t="str">
        <f>TEXT(Tabla1[[#This Row],[FECHA ]],"MMM-YY")</f>
        <v>may-YY</v>
      </c>
      <c r="E41" s="104" t="str">
        <f>VLOOKUP(Tabla1[[#This Row],[DNI ]],RUBRO!$F$1:$O$9996,7,FALSE)</f>
        <v>5ta</v>
      </c>
      <c r="F41" s="104" t="str">
        <f>VLOOKUP(Tabla1[[#This Row],[DNI ]],RUBRO!$F$1:$O$88,3,FALSE)</f>
        <v>MEC-02</v>
      </c>
      <c r="G41" s="104" t="str">
        <f>VLOOKUP(Tabla1[[#This Row],[DNI ]],RUBRO!$F$1:$O$9996,5,FALSE)</f>
        <v>MECANICO MONTAJISTA DE MAQUINARIA</v>
      </c>
      <c r="H41" s="66" t="str">
        <f>VLOOKUP(Tabla1[[#This Row],[DNI ]],RUBRO!$F$1:$O$9996,6,FALSE)</f>
        <v>PEREZ VASQUEZ RONAL</v>
      </c>
      <c r="I41" s="94">
        <v>44323</v>
      </c>
      <c r="K41" s="2">
        <v>47942907</v>
      </c>
      <c r="L41" s="4">
        <f>VLOOKUP(Tabla1[[#This Row],[DNI ]],RUBRO!$F$2:$O$9996,8,FALSE)</f>
        <v>75</v>
      </c>
      <c r="M41" s="88"/>
      <c r="N41" s="28"/>
      <c r="P41" s="28"/>
      <c r="Q41" s="31">
        <f>(Tabla1[[#This Row],[SALIDA]]-Tabla1[[#This Row],[FIN ]])+(Tabla1[[#This Row],[INICIO]]-Tabla1[[#This Row],[INGRESO]])</f>
        <v>0</v>
      </c>
      <c r="R41" s="13">
        <f t="shared" si="0"/>
        <v>0</v>
      </c>
      <c r="S41" s="31">
        <f t="shared" si="1"/>
        <v>0</v>
      </c>
      <c r="T41" s="136"/>
      <c r="U41" s="136"/>
      <c r="V41" s="137">
        <f>(Tabla1[[#This Row],[COS.BASE 3]]*0.25+Tabla1[[#This Row],[COS.BASE 3]])*Tabla1[[#This Row],[HORAS 25 % ]]</f>
        <v>0</v>
      </c>
      <c r="W41" s="138">
        <f>(Tabla1[[#This Row],[COS.BASE 3]]*0.35+Tabla1[[#This Row],[COS.BASE 3]])*Tabla1[[#This Row],[HORAS 35% ]]</f>
        <v>0</v>
      </c>
      <c r="X41" s="138">
        <f>SUM(Tabla1[[#This Row],[C.HORA.35]],Tabla1[[#This Row],[C.HORA.25]])</f>
        <v>0</v>
      </c>
      <c r="Y41" s="31"/>
      <c r="Z41" s="10">
        <f>Tabla1[[#This Row],[T.HORAS]]*24</f>
        <v>0</v>
      </c>
      <c r="AA41" s="4">
        <f>Tabla1[[#This Row],[H.NORMALES]]*24</f>
        <v>0</v>
      </c>
      <c r="AB41" s="10">
        <f>Tabla1[[#This Row],[H.EXTRAS]]*24</f>
        <v>0</v>
      </c>
      <c r="AC41" s="105">
        <f t="shared" si="2"/>
        <v>0</v>
      </c>
      <c r="AD41" s="120">
        <f>Tabla1[[#This Row],[COS.BASE 2]]/8</f>
        <v>0</v>
      </c>
      <c r="AE41" s="105">
        <f>Tabla1[[#This Row],[CST_H_E]]+Tabla1[[#This Row],[COS.BASE 2]]</f>
        <v>0</v>
      </c>
      <c r="AF41" s="106">
        <f>+_xlfn.IFNA(INDEX(RUBRO!$W$2:$AA$732,MATCH(Tabla1[[#This Row],[FECHA ]],RUBRO!$W$2:$W$732,0),5)," ")</f>
        <v>0</v>
      </c>
      <c r="AG41" s="10">
        <f>+_xlfn.IFNA(INDEX(RUBRO!$W$2:$AA$732,MATCH(Tabla1[[#This Row],[FECHA ]],RUBRO!$W$2:$W$732,0),2)," ")</f>
        <v>0</v>
      </c>
      <c r="AH41" s="40">
        <f>IFERROR(Tabla1[[#This Row],[F]]*Tabla1[[#This Row],[COS.B+E]]," ")</f>
        <v>0</v>
      </c>
      <c r="AI41" s="40">
        <f>IFERROR(Tabla1[[#This Row],[COS.B+E]]*Tabla1[[#This Row],[D]]," ")</f>
        <v>0</v>
      </c>
      <c r="AJ41" s="40" t="str">
        <f>IFERROR(Tabla1[[#This Row],[F]]*#REF!," ")</f>
        <v xml:space="preserve"> </v>
      </c>
      <c r="AK41" s="40" t="str">
        <f>IFERROR(#REF!*Tabla1[[#This Row],[D]]," ")</f>
        <v xml:space="preserve"> </v>
      </c>
      <c r="AL41" s="103"/>
      <c r="AM41" s="103"/>
      <c r="AN41" s="103"/>
      <c r="AO41" s="38">
        <f>+Tabla1[[#This Row],[COS.B+E]]+Tabla1[[#This Row],[COS.F1]]+Tabla1[[#This Row],[COS.D1]]+Tabla1[[#This Row],[ALIMENTACION]]+Tabla1[[#This Row],[PRESTAMO]]+AN41</f>
        <v>0</v>
      </c>
      <c r="AP41" s="38" t="e">
        <f>+#REF!+Tabla1[[#This Row],[COS F2]]+Tabla1[[#This Row],[COS D2]]+Tabla1[[#This Row],[ALIMENTACION]]+Tabla1[[#This Row],[PRESTAMO]]+Tabla1[[#This Row],[PASAJES]]</f>
        <v>#REF!</v>
      </c>
    </row>
    <row r="42" spans="1:42" x14ac:dyDescent="0.25">
      <c r="A42" s="2" t="str">
        <f>TEXT(Tabla1[[#This Row],[FECHA ]],"DDDDD")</f>
        <v>viernes</v>
      </c>
      <c r="B42" s="2" t="str">
        <f>_xlfn.IFNA(VLOOKUP(Tabla1[[#This Row],[DESTINO]],RUBRO!$Q$1:$R$9996,2,FALSE)," ")</f>
        <v>PLANTA</v>
      </c>
      <c r="C42" s="104">
        <f>WEEKNUM(Tabla1[[#This Row],[FECHA ]],2)</f>
        <v>19</v>
      </c>
      <c r="D42" s="104" t="str">
        <f>TEXT(Tabla1[[#This Row],[FECHA ]],"MMM-YY")</f>
        <v>may-YY</v>
      </c>
      <c r="E42" s="104" t="str">
        <f>VLOOKUP(Tabla1[[#This Row],[DNI ]],RUBRO!$F$1:$O$9996,7,FALSE)</f>
        <v>5ta</v>
      </c>
      <c r="F42" s="104" t="str">
        <f>VLOOKUP(Tabla1[[#This Row],[DNI ]],RUBRO!$F$1:$O$88,3,FALSE)</f>
        <v>TEC-02</v>
      </c>
      <c r="G42" s="104" t="str">
        <f>VLOOKUP(Tabla1[[#This Row],[DNI ]],RUBRO!$F$1:$O$9996,5,FALSE)</f>
        <v>TECNICO MECANICO MONTAJISTA DE MAQUINARIA</v>
      </c>
      <c r="H42" s="66" t="str">
        <f>VLOOKUP(Tabla1[[#This Row],[DNI ]],RUBRO!$F$1:$O$9996,6,FALSE)</f>
        <v>PURIZACA CHUÑE JHON ANDERSON</v>
      </c>
      <c r="I42" s="94">
        <v>44323</v>
      </c>
      <c r="J42" s="10">
        <v>1</v>
      </c>
      <c r="K42" s="2">
        <v>48372384</v>
      </c>
      <c r="L42" s="4">
        <f>VLOOKUP(Tabla1[[#This Row],[DNI ]],RUBRO!$F$2:$O$9996,8,FALSE)</f>
        <v>57.62</v>
      </c>
      <c r="M42" s="88">
        <v>0.29166666666666669</v>
      </c>
      <c r="N42" s="28">
        <v>0.54166666666666663</v>
      </c>
      <c r="O42" s="28">
        <v>0.58333333333333337</v>
      </c>
      <c r="P42" s="28">
        <v>0.70833333333333337</v>
      </c>
      <c r="Q42" s="31">
        <f>(Tabla1[[#This Row],[SALIDA]]-Tabla1[[#This Row],[FIN ]])+(Tabla1[[#This Row],[INICIO]]-Tabla1[[#This Row],[INGRESO]])</f>
        <v>0.37499999999999994</v>
      </c>
      <c r="R42" s="13">
        <f t="shared" si="0"/>
        <v>0.37499999999999994</v>
      </c>
      <c r="S42" s="31">
        <f t="shared" si="1"/>
        <v>0</v>
      </c>
      <c r="T42" s="136"/>
      <c r="U42" s="136"/>
      <c r="V42" s="137">
        <f>(Tabla1[[#This Row],[COS.BASE 3]]*0.25+Tabla1[[#This Row],[COS.BASE 3]])*Tabla1[[#This Row],[HORAS 25 % ]]</f>
        <v>0</v>
      </c>
      <c r="W42" s="138">
        <f>(Tabla1[[#This Row],[COS.BASE 3]]*0.35+Tabla1[[#This Row],[COS.BASE 3]])*Tabla1[[#This Row],[HORAS 35% ]]</f>
        <v>0</v>
      </c>
      <c r="X42" s="138">
        <f>SUM(Tabla1[[#This Row],[C.HORA.35]],Tabla1[[#This Row],[C.HORA.25]])</f>
        <v>0</v>
      </c>
      <c r="Y42" s="31"/>
      <c r="Z42" s="10">
        <f>Tabla1[[#This Row],[T.HORAS]]*24</f>
        <v>8.9999999999999982</v>
      </c>
      <c r="AA42" s="4">
        <f>Tabla1[[#This Row],[H.NORMALES]]*24</f>
        <v>8.9999999999999982</v>
      </c>
      <c r="AB42" s="10">
        <f>Tabla1[[#This Row],[H.EXTRAS]]*24</f>
        <v>0</v>
      </c>
      <c r="AC42" s="105">
        <f t="shared" si="2"/>
        <v>57.61999999999999</v>
      </c>
      <c r="AD42" s="120">
        <f>Tabla1[[#This Row],[COS.BASE 2]]/8</f>
        <v>7.2024999999999988</v>
      </c>
      <c r="AE42" s="105">
        <f>Tabla1[[#This Row],[CST_H_E]]+Tabla1[[#This Row],[COS.BASE 2]]</f>
        <v>57.61999999999999</v>
      </c>
      <c r="AF42" s="106">
        <f>+_xlfn.IFNA(INDEX(RUBRO!$W$2:$AA$732,MATCH(Tabla1[[#This Row],[FECHA ]],RUBRO!$W$2:$W$732,0),5)," ")</f>
        <v>0</v>
      </c>
      <c r="AG42" s="10">
        <f>+_xlfn.IFNA(INDEX(RUBRO!$W$2:$AA$732,MATCH(Tabla1[[#This Row],[FECHA ]],RUBRO!$W$2:$W$732,0),2)," ")</f>
        <v>0</v>
      </c>
      <c r="AH42" s="40">
        <f>IFERROR(Tabla1[[#This Row],[F]]*Tabla1[[#This Row],[COS.B+E]]," ")</f>
        <v>0</v>
      </c>
      <c r="AI42" s="40">
        <f>IFERROR(Tabla1[[#This Row],[COS.B+E]]*Tabla1[[#This Row],[D]]," ")</f>
        <v>0</v>
      </c>
      <c r="AJ42" s="40" t="str">
        <f>IFERROR(Tabla1[[#This Row],[F]]*#REF!," ")</f>
        <v xml:space="preserve"> </v>
      </c>
      <c r="AK42" s="40" t="str">
        <f>IFERROR(#REF!*Tabla1[[#This Row],[D]]," ")</f>
        <v xml:space="preserve"> </v>
      </c>
      <c r="AL42" s="103"/>
      <c r="AM42" s="103"/>
      <c r="AN42" s="103"/>
      <c r="AO42" s="38">
        <f>+Tabla1[[#This Row],[COS.B+E]]+Tabla1[[#This Row],[COS.F1]]+Tabla1[[#This Row],[COS.D1]]+Tabla1[[#This Row],[ALIMENTACION]]+Tabla1[[#This Row],[PRESTAMO]]+AN42</f>
        <v>57.61999999999999</v>
      </c>
      <c r="AP42" s="38" t="e">
        <f>+#REF!+Tabla1[[#This Row],[COS F2]]+Tabla1[[#This Row],[COS D2]]+Tabla1[[#This Row],[ALIMENTACION]]+Tabla1[[#This Row],[PRESTAMO]]+Tabla1[[#This Row],[PASAJES]]</f>
        <v>#REF!</v>
      </c>
    </row>
    <row r="43" spans="1:42" x14ac:dyDescent="0.25">
      <c r="A43" s="2" t="str">
        <f>TEXT(Tabla1[[#This Row],[FECHA ]],"DDDDD")</f>
        <v>viernes</v>
      </c>
      <c r="B43" s="2" t="str">
        <f>_xlfn.IFNA(VLOOKUP(Tabla1[[#This Row],[DESTINO]],RUBRO!$Q$1:$R$9996,2,FALSE)," ")</f>
        <v>PLANTA</v>
      </c>
      <c r="C43" s="104">
        <f>WEEKNUM(Tabla1[[#This Row],[FECHA ]],2)</f>
        <v>19</v>
      </c>
      <c r="D43" s="104" t="str">
        <f>TEXT(Tabla1[[#This Row],[FECHA ]],"MMM-YY")</f>
        <v>may-YY</v>
      </c>
      <c r="E43" s="104" t="str">
        <f>VLOOKUP(Tabla1[[#This Row],[DNI ]],RUBRO!$F$1:$O$9996,7,FALSE)</f>
        <v>5ta</v>
      </c>
      <c r="F43" s="104" t="str">
        <f>VLOOKUP(Tabla1[[#This Row],[DNI ]],RUBRO!$F$1:$O$88,3,FALSE)</f>
        <v>MAE-02</v>
      </c>
      <c r="G43" s="104" t="str">
        <f>VLOOKUP(Tabla1[[#This Row],[DNI ]],RUBRO!$F$1:$O$9996,5,FALSE)</f>
        <v>MAESTRO MECANICO MONTAJISTA DE MAQUINARIA</v>
      </c>
      <c r="H43" s="66" t="str">
        <f>VLOOKUP(Tabla1[[#This Row],[DNI ]],RUBRO!$F$1:$O$9996,6,FALSE)</f>
        <v>PURIZACA SEVERINO DANIEL FERNANDO</v>
      </c>
      <c r="I43" s="94">
        <v>44323</v>
      </c>
      <c r="J43" s="10">
        <v>1</v>
      </c>
      <c r="K43" s="2">
        <v>42308744</v>
      </c>
      <c r="L43" s="4">
        <f>VLOOKUP(Tabla1[[#This Row],[DNI ]],RUBRO!$F$2:$O$9996,8,FALSE)</f>
        <v>87.1</v>
      </c>
      <c r="M43" s="88">
        <v>0.29166666666666669</v>
      </c>
      <c r="N43" s="28">
        <v>0.54166666666666663</v>
      </c>
      <c r="O43" s="28">
        <v>0.58333333333333337</v>
      </c>
      <c r="P43" s="28">
        <v>0.70833333333333337</v>
      </c>
      <c r="Q43" s="31">
        <f>(Tabla1[[#This Row],[SALIDA]]-Tabla1[[#This Row],[FIN ]])+(Tabla1[[#This Row],[INICIO]]-Tabla1[[#This Row],[INGRESO]])</f>
        <v>0.37499999999999994</v>
      </c>
      <c r="R43" s="13">
        <f t="shared" si="0"/>
        <v>0.37499999999999994</v>
      </c>
      <c r="S43" s="31">
        <f t="shared" si="1"/>
        <v>0</v>
      </c>
      <c r="T43" s="136"/>
      <c r="U43" s="136"/>
      <c r="V43" s="137">
        <f>(Tabla1[[#This Row],[COS.BASE 3]]*0.25+Tabla1[[#This Row],[COS.BASE 3]])*Tabla1[[#This Row],[HORAS 25 % ]]</f>
        <v>0</v>
      </c>
      <c r="W43" s="138">
        <f>(Tabla1[[#This Row],[COS.BASE 3]]*0.35+Tabla1[[#This Row],[COS.BASE 3]])*Tabla1[[#This Row],[HORAS 35% ]]</f>
        <v>0</v>
      </c>
      <c r="X43" s="138">
        <f>SUM(Tabla1[[#This Row],[C.HORA.35]],Tabla1[[#This Row],[C.HORA.25]])</f>
        <v>0</v>
      </c>
      <c r="Y43" s="31"/>
      <c r="Z43" s="10">
        <f>Tabla1[[#This Row],[T.HORAS]]*24</f>
        <v>8.9999999999999982</v>
      </c>
      <c r="AA43" s="4">
        <f>Tabla1[[#This Row],[H.NORMALES]]*24</f>
        <v>8.9999999999999982</v>
      </c>
      <c r="AB43" s="10">
        <f>Tabla1[[#This Row],[H.EXTRAS]]*24</f>
        <v>0</v>
      </c>
      <c r="AC43" s="105">
        <f t="shared" si="2"/>
        <v>87.09999999999998</v>
      </c>
      <c r="AD43" s="120">
        <f>Tabla1[[#This Row],[COS.BASE 2]]/8</f>
        <v>10.887499999999998</v>
      </c>
      <c r="AE43" s="105">
        <f>Tabla1[[#This Row],[CST_H_E]]+Tabla1[[#This Row],[COS.BASE 2]]</f>
        <v>87.09999999999998</v>
      </c>
      <c r="AF43" s="106">
        <f>+_xlfn.IFNA(INDEX(RUBRO!$W$2:$AA$732,MATCH(Tabla1[[#This Row],[FECHA ]],RUBRO!$W$2:$W$732,0),5)," ")</f>
        <v>0</v>
      </c>
      <c r="AG43" s="10">
        <f>+_xlfn.IFNA(INDEX(RUBRO!$W$2:$AA$732,MATCH(Tabla1[[#This Row],[FECHA ]],RUBRO!$W$2:$W$732,0),2)," ")</f>
        <v>0</v>
      </c>
      <c r="AH43" s="40">
        <f>IFERROR(Tabla1[[#This Row],[F]]*Tabla1[[#This Row],[COS.B+E]]," ")</f>
        <v>0</v>
      </c>
      <c r="AI43" s="40">
        <f>IFERROR(Tabla1[[#This Row],[COS.B+E]]*Tabla1[[#This Row],[D]]," ")</f>
        <v>0</v>
      </c>
      <c r="AJ43" s="40" t="str">
        <f>IFERROR(Tabla1[[#This Row],[F]]*#REF!," ")</f>
        <v xml:space="preserve"> </v>
      </c>
      <c r="AK43" s="40" t="str">
        <f>IFERROR(#REF!*Tabla1[[#This Row],[D]]," ")</f>
        <v xml:space="preserve"> </v>
      </c>
      <c r="AL43" s="103"/>
      <c r="AM43" s="103"/>
      <c r="AN43" s="103"/>
      <c r="AO43" s="38">
        <f>+Tabla1[[#This Row],[COS.B+E]]+Tabla1[[#This Row],[COS.F1]]+Tabla1[[#This Row],[COS.D1]]+Tabla1[[#This Row],[ALIMENTACION]]+Tabla1[[#This Row],[PRESTAMO]]+AN43</f>
        <v>87.09999999999998</v>
      </c>
      <c r="AP43" s="38" t="e">
        <f>+#REF!+Tabla1[[#This Row],[COS F2]]+Tabla1[[#This Row],[COS D2]]+Tabla1[[#This Row],[ALIMENTACION]]+Tabla1[[#This Row],[PRESTAMO]]+Tabla1[[#This Row],[PASAJES]]</f>
        <v>#REF!</v>
      </c>
    </row>
    <row r="44" spans="1:42" x14ac:dyDescent="0.25">
      <c r="A44" s="2" t="str">
        <f>TEXT(Tabla1[[#This Row],[FECHA ]],"DDDDD")</f>
        <v>viernes</v>
      </c>
      <c r="B44" s="2" t="str">
        <f>_xlfn.IFNA(VLOOKUP(Tabla1[[#This Row],[DESTINO]],RUBRO!$Q$1:$R$9996,2,FALSE)," ")</f>
        <v>OBRA</v>
      </c>
      <c r="C44" s="104">
        <f>WEEKNUM(Tabla1[[#This Row],[FECHA ]],2)</f>
        <v>19</v>
      </c>
      <c r="D44" s="104" t="str">
        <f>TEXT(Tabla1[[#This Row],[FECHA ]],"MMM-YY")</f>
        <v>may-YY</v>
      </c>
      <c r="E44" s="104" t="str">
        <f>VLOOKUP(Tabla1[[#This Row],[DNI ]],RUBRO!$F$1:$O$9996,7,FALSE)</f>
        <v>4ta</v>
      </c>
      <c r="F44" s="104" t="str">
        <f>VLOOKUP(Tabla1[[#This Row],[DNI ]],RUBRO!$F$1:$O$88,3,FALSE)</f>
        <v>MAE3G-01</v>
      </c>
      <c r="G44" s="104" t="str">
        <f>VLOOKUP(Tabla1[[#This Row],[DNI ]],RUBRO!$F$1:$O$9996,5,FALSE)</f>
        <v>MAESTRO SOLDADOR 3G</v>
      </c>
      <c r="H44" s="66" t="str">
        <f>VLOOKUP(Tabla1[[#This Row],[DNI ]],RUBRO!$F$1:$O$9996,6,FALSE)</f>
        <v>QUIROZ CORTEJANA DANTE GABRIEL</v>
      </c>
      <c r="I44" s="94">
        <v>44323</v>
      </c>
      <c r="J44" s="10">
        <v>2</v>
      </c>
      <c r="K44" s="2">
        <v>45486657</v>
      </c>
      <c r="L44" s="4">
        <f>VLOOKUP(Tabla1[[#This Row],[DNI ]],RUBRO!$F$2:$O$9996,8,FALSE)</f>
        <v>90</v>
      </c>
      <c r="M44" s="88">
        <v>0.29166666666666669</v>
      </c>
      <c r="N44" s="28">
        <v>0.54166666666666663</v>
      </c>
      <c r="O44" s="28">
        <v>0.58333333333333337</v>
      </c>
      <c r="P44" s="28">
        <v>0.75</v>
      </c>
      <c r="Q44" s="31">
        <f>(Tabla1[[#This Row],[SALIDA]]-Tabla1[[#This Row],[FIN ]])+(Tabla1[[#This Row],[INICIO]]-Tabla1[[#This Row],[INGRESO]])</f>
        <v>0.41666666666666657</v>
      </c>
      <c r="R44" s="13">
        <f t="shared" si="0"/>
        <v>0.33333333333333331</v>
      </c>
      <c r="S44" s="31">
        <f t="shared" si="1"/>
        <v>8.3333333333333259E-2</v>
      </c>
      <c r="T44" s="136"/>
      <c r="U44" s="136"/>
      <c r="V44" s="137">
        <f>(Tabla1[[#This Row],[COS.BASE 3]]*0.25+Tabla1[[#This Row],[COS.BASE 3]])*Tabla1[[#This Row],[HORAS 25 % ]]</f>
        <v>0</v>
      </c>
      <c r="W44" s="138">
        <f>(Tabla1[[#This Row],[COS.BASE 3]]*0.35+Tabla1[[#This Row],[COS.BASE 3]])*Tabla1[[#This Row],[HORAS 35% ]]</f>
        <v>0</v>
      </c>
      <c r="X44" s="138">
        <f>SUM(Tabla1[[#This Row],[C.HORA.35]],Tabla1[[#This Row],[C.HORA.25]])</f>
        <v>0</v>
      </c>
      <c r="Y44" s="31"/>
      <c r="Z44" s="10">
        <f>Tabla1[[#This Row],[T.HORAS]]*24</f>
        <v>9.9999999999999982</v>
      </c>
      <c r="AA44" s="4">
        <f>Tabla1[[#This Row],[H.NORMALES]]*24</f>
        <v>8</v>
      </c>
      <c r="AB44" s="10">
        <f>Tabla1[[#This Row],[H.EXTRAS]]*24</f>
        <v>1.9999999999999982</v>
      </c>
      <c r="AC44" s="105">
        <f t="shared" si="2"/>
        <v>90</v>
      </c>
      <c r="AD44" s="120">
        <f>Tabla1[[#This Row],[COS.BASE 2]]/8</f>
        <v>11.25</v>
      </c>
      <c r="AE44" s="105">
        <f>Tabla1[[#This Row],[CST_H_E]]+Tabla1[[#This Row],[COS.BASE 2]]</f>
        <v>90</v>
      </c>
      <c r="AF44" s="106">
        <f>+_xlfn.IFNA(INDEX(RUBRO!$W$2:$AA$732,MATCH(Tabla1[[#This Row],[FECHA ]],RUBRO!$W$2:$W$732,0),5)," ")</f>
        <v>0</v>
      </c>
      <c r="AG44" s="10">
        <f>+_xlfn.IFNA(INDEX(RUBRO!$W$2:$AA$732,MATCH(Tabla1[[#This Row],[FECHA ]],RUBRO!$W$2:$W$732,0),2)," ")</f>
        <v>0</v>
      </c>
      <c r="AH44" s="40">
        <f>IFERROR(Tabla1[[#This Row],[F]]*Tabla1[[#This Row],[COS.B+E]]," ")</f>
        <v>0</v>
      </c>
      <c r="AI44" s="40">
        <f>IFERROR(Tabla1[[#This Row],[COS.B+E]]*Tabla1[[#This Row],[D]]," ")</f>
        <v>0</v>
      </c>
      <c r="AJ44" s="40" t="str">
        <f>IFERROR(Tabla1[[#This Row],[F]]*#REF!," ")</f>
        <v xml:space="preserve"> </v>
      </c>
      <c r="AK44" s="40" t="str">
        <f>IFERROR(#REF!*Tabla1[[#This Row],[D]]," ")</f>
        <v xml:space="preserve"> </v>
      </c>
      <c r="AL44" s="103"/>
      <c r="AM44" s="103"/>
      <c r="AN44" s="103"/>
      <c r="AO44" s="38">
        <f>+Tabla1[[#This Row],[COS.B+E]]+Tabla1[[#This Row],[COS.F1]]+Tabla1[[#This Row],[COS.D1]]+Tabla1[[#This Row],[ALIMENTACION]]+Tabla1[[#This Row],[PRESTAMO]]+AN44</f>
        <v>90</v>
      </c>
      <c r="AP44" s="38" t="e">
        <f>+#REF!+Tabla1[[#This Row],[COS F2]]+Tabla1[[#This Row],[COS D2]]+Tabla1[[#This Row],[ALIMENTACION]]+Tabla1[[#This Row],[PRESTAMO]]+Tabla1[[#This Row],[PASAJES]]</f>
        <v>#REF!</v>
      </c>
    </row>
    <row r="45" spans="1:42" x14ac:dyDescent="0.25">
      <c r="A45" s="2" t="str">
        <f>TEXT(Tabla1[[#This Row],[FECHA ]],"DDDDD")</f>
        <v>viernes</v>
      </c>
      <c r="B45" s="2" t="str">
        <f>_xlfn.IFNA(VLOOKUP(Tabla1[[#This Row],[DESTINO]],RUBRO!$Q$1:$R$9996,2,FALSE)," ")</f>
        <v>OBRA</v>
      </c>
      <c r="C45" s="104">
        <f>WEEKNUM(Tabla1[[#This Row],[FECHA ]],2)</f>
        <v>19</v>
      </c>
      <c r="D45" s="104" t="str">
        <f>TEXT(Tabla1[[#This Row],[FECHA ]],"MMM-YY")</f>
        <v>may-YY</v>
      </c>
      <c r="E45" s="104" t="str">
        <f>VLOOKUP(Tabla1[[#This Row],[DNI ]],RUBRO!$F$1:$O$9996,7,FALSE)</f>
        <v>5ta</v>
      </c>
      <c r="F45" s="104" t="str">
        <f>VLOOKUP(Tabla1[[#This Row],[DNI ]],RUBRO!$F$1:$O$88,3,FALSE)</f>
        <v>MAEME-03</v>
      </c>
      <c r="G45" s="104" t="str">
        <f>VLOOKUP(Tabla1[[#This Row],[DNI ]],RUBRO!$F$1:$O$9996,5,FALSE)</f>
        <v>MAESTRO ELECTRICO MONTAJISTA DE MAQUINARIA EXTRANJERA</v>
      </c>
      <c r="H45" s="66" t="str">
        <f>VLOOKUP(Tabla1[[#This Row],[DNI ]],RUBRO!$F$1:$O$9996,6,FALSE)</f>
        <v>RAMIREZ PELAEZ ELIAS</v>
      </c>
      <c r="I45" s="111">
        <v>44323</v>
      </c>
      <c r="J45" s="112">
        <v>2</v>
      </c>
      <c r="K45" s="113">
        <v>45779525</v>
      </c>
      <c r="L45" s="4">
        <f>VLOOKUP(Tabla1[[#This Row],[DNI ]],RUBRO!$F$2:$O$9996,8,FALSE)</f>
        <v>116.06</v>
      </c>
      <c r="M45" s="88">
        <v>0.27083333333333331</v>
      </c>
      <c r="N45" s="28"/>
      <c r="P45" s="28">
        <v>0.54166666666666663</v>
      </c>
      <c r="Q45" s="31">
        <f>(Tabla1[[#This Row],[SALIDA]]-Tabla1[[#This Row],[FIN ]])+(Tabla1[[#This Row],[INICIO]]-Tabla1[[#This Row],[INGRESO]])</f>
        <v>0.27083333333333331</v>
      </c>
      <c r="R45" s="13">
        <f t="shared" si="0"/>
        <v>0.27083333333333331</v>
      </c>
      <c r="S45" s="31">
        <f t="shared" si="1"/>
        <v>0</v>
      </c>
      <c r="T45" s="136"/>
      <c r="U45" s="136"/>
      <c r="V45" s="137">
        <f>(Tabla1[[#This Row],[COS.BASE 3]]*0.25+Tabla1[[#This Row],[COS.BASE 3]])*Tabla1[[#This Row],[HORAS 25 % ]]</f>
        <v>0</v>
      </c>
      <c r="W45" s="138">
        <f>(Tabla1[[#This Row],[COS.BASE 3]]*0.35+Tabla1[[#This Row],[COS.BASE 3]])*Tabla1[[#This Row],[HORAS 35% ]]</f>
        <v>0</v>
      </c>
      <c r="X45" s="138">
        <f>SUM(Tabla1[[#This Row],[C.HORA.35]],Tabla1[[#This Row],[C.HORA.25]])</f>
        <v>0</v>
      </c>
      <c r="Y45" s="31"/>
      <c r="Z45" s="10">
        <f>Tabla1[[#This Row],[T.HORAS]]*24</f>
        <v>6.5</v>
      </c>
      <c r="AA45" s="4">
        <f>Tabla1[[#This Row],[H.NORMALES]]*24</f>
        <v>6.5</v>
      </c>
      <c r="AB45" s="10">
        <f>Tabla1[[#This Row],[H.EXTRAS]]*24</f>
        <v>0</v>
      </c>
      <c r="AC45" s="105">
        <f t="shared" si="2"/>
        <v>94.298749999999998</v>
      </c>
      <c r="AD45" s="120">
        <f>Tabla1[[#This Row],[COS.BASE 2]]/8</f>
        <v>11.78734375</v>
      </c>
      <c r="AE45" s="105">
        <f>Tabla1[[#This Row],[CST_H_E]]+Tabla1[[#This Row],[COS.BASE 2]]</f>
        <v>94.298749999999998</v>
      </c>
      <c r="AF45" s="106">
        <f>+_xlfn.IFNA(INDEX(RUBRO!$W$2:$AA$732,MATCH(Tabla1[[#This Row],[FECHA ]],RUBRO!$W$2:$W$732,0),5)," ")</f>
        <v>0</v>
      </c>
      <c r="AG45" s="10">
        <f>+_xlfn.IFNA(INDEX(RUBRO!$W$2:$AA$732,MATCH(Tabla1[[#This Row],[FECHA ]],RUBRO!$W$2:$W$732,0),2)," ")</f>
        <v>0</v>
      </c>
      <c r="AH45" s="40">
        <f>IFERROR(Tabla1[[#This Row],[F]]*Tabla1[[#This Row],[COS.B+E]]," ")</f>
        <v>0</v>
      </c>
      <c r="AI45" s="40">
        <f>IFERROR(Tabla1[[#This Row],[COS.B+E]]*Tabla1[[#This Row],[D]]," ")</f>
        <v>0</v>
      </c>
      <c r="AJ45" s="40" t="str">
        <f>IFERROR(Tabla1[[#This Row],[F]]*#REF!," ")</f>
        <v xml:space="preserve"> </v>
      </c>
      <c r="AK45" s="40" t="str">
        <f>IFERROR(#REF!*Tabla1[[#This Row],[D]]," ")</f>
        <v xml:space="preserve"> </v>
      </c>
      <c r="AL45" s="103"/>
      <c r="AM45" s="103"/>
      <c r="AN45" s="103"/>
      <c r="AO45" s="38">
        <f>+Tabla1[[#This Row],[COS.B+E]]+Tabla1[[#This Row],[COS.F1]]+Tabla1[[#This Row],[COS.D1]]+Tabla1[[#This Row],[ALIMENTACION]]+Tabla1[[#This Row],[PRESTAMO]]+AN45</f>
        <v>94.298749999999998</v>
      </c>
      <c r="AP45" s="38" t="e">
        <f>+#REF!+Tabla1[[#This Row],[COS F2]]+Tabla1[[#This Row],[COS D2]]+Tabla1[[#This Row],[ALIMENTACION]]+Tabla1[[#This Row],[PRESTAMO]]+Tabla1[[#This Row],[PASAJES]]</f>
        <v>#REF!</v>
      </c>
    </row>
    <row r="46" spans="1:42" x14ac:dyDescent="0.25">
      <c r="A46" s="2" t="str">
        <f>TEXT(Tabla1[[#This Row],[FECHA ]],"DDDDD")</f>
        <v>viernes</v>
      </c>
      <c r="B46" s="2" t="str">
        <f>_xlfn.IFNA(VLOOKUP(Tabla1[[#This Row],[DESTINO]],RUBRO!$Q$1:$R$9996,2,FALSE)," ")</f>
        <v>FALTA</v>
      </c>
      <c r="C46" s="104">
        <f>WEEKNUM(Tabla1[[#This Row],[FECHA ]],2)</f>
        <v>19</v>
      </c>
      <c r="D46" s="104" t="str">
        <f>TEXT(Tabla1[[#This Row],[FECHA ]],"MMM-YY")</f>
        <v>may-YY</v>
      </c>
      <c r="E46" s="104" t="str">
        <f>VLOOKUP(Tabla1[[#This Row],[DNI ]],RUBRO!$F$1:$O$9996,7,FALSE)</f>
        <v>5ta</v>
      </c>
      <c r="F46" s="104" t="str">
        <f>VLOOKUP(Tabla1[[#This Row],[DNI ]],RUBRO!$F$1:$O$88,3,FALSE)</f>
        <v>MAE3G-01</v>
      </c>
      <c r="G46" s="104" t="str">
        <f>VLOOKUP(Tabla1[[#This Row],[DNI ]],RUBRO!$F$1:$O$9996,5,FALSE)</f>
        <v>MAESTRO SOLDADOR 3G</v>
      </c>
      <c r="H46" s="66" t="str">
        <f>VLOOKUP(Tabla1[[#This Row],[DNI ]],RUBRO!$F$1:$O$9996,6,FALSE)</f>
        <v>RIOJA RODRIGUEZ MARCO JEAIR</v>
      </c>
      <c r="I46" s="94">
        <v>44323</v>
      </c>
      <c r="J46" s="10">
        <v>4</v>
      </c>
      <c r="K46" s="2">
        <v>77423720</v>
      </c>
      <c r="L46" s="4">
        <f>VLOOKUP(Tabla1[[#This Row],[DNI ]],RUBRO!$F$2:$O$9996,8,FALSE)</f>
        <v>69.44</v>
      </c>
      <c r="M46" s="88"/>
      <c r="N46" s="28"/>
      <c r="P46" s="28"/>
      <c r="Q46" s="31">
        <f>(Tabla1[[#This Row],[SALIDA]]-Tabla1[[#This Row],[FIN ]])+(Tabla1[[#This Row],[INICIO]]-Tabla1[[#This Row],[INGRESO]])</f>
        <v>0</v>
      </c>
      <c r="R46" s="13">
        <f t="shared" si="0"/>
        <v>0</v>
      </c>
      <c r="S46" s="31">
        <f t="shared" si="1"/>
        <v>0</v>
      </c>
      <c r="T46" s="136"/>
      <c r="U46" s="136"/>
      <c r="V46" s="137">
        <f>(Tabla1[[#This Row],[COS.BASE 3]]*0.25+Tabla1[[#This Row],[COS.BASE 3]])*Tabla1[[#This Row],[HORAS 25 % ]]</f>
        <v>0</v>
      </c>
      <c r="W46" s="138">
        <f>(Tabla1[[#This Row],[COS.BASE 3]]*0.35+Tabla1[[#This Row],[COS.BASE 3]])*Tabla1[[#This Row],[HORAS 35% ]]</f>
        <v>0</v>
      </c>
      <c r="X46" s="138">
        <f>SUM(Tabla1[[#This Row],[C.HORA.35]],Tabla1[[#This Row],[C.HORA.25]])</f>
        <v>0</v>
      </c>
      <c r="Y46" s="31"/>
      <c r="Z46" s="10">
        <f>Tabla1[[#This Row],[T.HORAS]]*24</f>
        <v>0</v>
      </c>
      <c r="AA46" s="4">
        <f>Tabla1[[#This Row],[H.NORMALES]]*24</f>
        <v>0</v>
      </c>
      <c r="AB46" s="10">
        <f>Tabla1[[#This Row],[H.EXTRAS]]*24</f>
        <v>0</v>
      </c>
      <c r="AC46" s="105">
        <f t="shared" si="2"/>
        <v>0</v>
      </c>
      <c r="AD46" s="120">
        <f>Tabla1[[#This Row],[COS.BASE 2]]/8</f>
        <v>0</v>
      </c>
      <c r="AE46" s="105">
        <f>Tabla1[[#This Row],[CST_H_E]]+Tabla1[[#This Row],[COS.BASE 2]]</f>
        <v>0</v>
      </c>
      <c r="AF46" s="106">
        <f>+_xlfn.IFNA(INDEX(RUBRO!$W$2:$AA$732,MATCH(Tabla1[[#This Row],[FECHA ]],RUBRO!$W$2:$W$732,0),5)," ")</f>
        <v>0</v>
      </c>
      <c r="AG46" s="10">
        <f>+_xlfn.IFNA(INDEX(RUBRO!$W$2:$AA$732,MATCH(Tabla1[[#This Row],[FECHA ]],RUBRO!$W$2:$W$732,0),2)," ")</f>
        <v>0</v>
      </c>
      <c r="AH46" s="40">
        <f>IFERROR(Tabla1[[#This Row],[F]]*Tabla1[[#This Row],[COS.B+E]]," ")</f>
        <v>0</v>
      </c>
      <c r="AI46" s="40">
        <f>IFERROR(Tabla1[[#This Row],[COS.B+E]]*Tabla1[[#This Row],[D]]," ")</f>
        <v>0</v>
      </c>
      <c r="AJ46" s="40" t="str">
        <f>IFERROR(Tabla1[[#This Row],[F]]*#REF!," ")</f>
        <v xml:space="preserve"> </v>
      </c>
      <c r="AK46" s="40" t="str">
        <f>IFERROR(#REF!*Tabla1[[#This Row],[D]]," ")</f>
        <v xml:space="preserve"> </v>
      </c>
      <c r="AL46" s="103"/>
      <c r="AM46" s="103"/>
      <c r="AN46" s="103"/>
      <c r="AO46" s="38">
        <f>+Tabla1[[#This Row],[COS.B+E]]+Tabla1[[#This Row],[COS.F1]]+Tabla1[[#This Row],[COS.D1]]+Tabla1[[#This Row],[ALIMENTACION]]+Tabla1[[#This Row],[PRESTAMO]]+AN46</f>
        <v>0</v>
      </c>
      <c r="AP46" s="38" t="e">
        <f>+#REF!+Tabla1[[#This Row],[COS F2]]+Tabla1[[#This Row],[COS D2]]+Tabla1[[#This Row],[ALIMENTACION]]+Tabla1[[#This Row],[PRESTAMO]]+Tabla1[[#This Row],[PASAJES]]</f>
        <v>#REF!</v>
      </c>
    </row>
    <row r="47" spans="1:42" x14ac:dyDescent="0.25">
      <c r="A47" s="2" t="str">
        <f>TEXT(Tabla1[[#This Row],[FECHA ]],"DDDDD")</f>
        <v>viernes</v>
      </c>
      <c r="B47" s="2" t="str">
        <f>_xlfn.IFNA(VLOOKUP(Tabla1[[#This Row],[DESTINO]],RUBRO!$Q$1:$R$9996,2,FALSE)," ")</f>
        <v>PLANTA</v>
      </c>
      <c r="C47" s="104">
        <f>WEEKNUM(Tabla1[[#This Row],[FECHA ]],2)</f>
        <v>19</v>
      </c>
      <c r="D47" s="104" t="str">
        <f>TEXT(Tabla1[[#This Row],[FECHA ]],"MMM-YY")</f>
        <v>may-YY</v>
      </c>
      <c r="E47" s="104" t="str">
        <f>VLOOKUP(Tabla1[[#This Row],[DNI ]],RUBRO!$F$1:$O$9996,7,FALSE)</f>
        <v>5ta</v>
      </c>
      <c r="F47" s="104" t="str">
        <f>VLOOKUP(Tabla1[[#This Row],[DNI ]],RUBRO!$F$1:$O$88,3,FALSE)</f>
        <v>MAE6G-01</v>
      </c>
      <c r="G47" s="104" t="str">
        <f>VLOOKUP(Tabla1[[#This Row],[DNI ]],RUBRO!$F$1:$O$9996,5,FALSE)</f>
        <v>MAESTRO SOLDADOR 6G MONTAJISTA DE MAQUINARIA</v>
      </c>
      <c r="H47" s="66" t="str">
        <f>VLOOKUP(Tabla1[[#This Row],[DNI ]],RUBRO!$F$1:$O$9996,6,FALSE)</f>
        <v>RIVERA LEONARDO EVER JOSE</v>
      </c>
      <c r="I47" s="94">
        <v>44323</v>
      </c>
      <c r="J47" s="10">
        <v>1</v>
      </c>
      <c r="K47" s="2">
        <v>45035778</v>
      </c>
      <c r="L47" s="4">
        <f>VLOOKUP(Tabla1[[#This Row],[DNI ]],RUBRO!$F$2:$O$9996,8,FALSE)</f>
        <v>92.8</v>
      </c>
      <c r="M47" s="88">
        <v>0.29166666666666669</v>
      </c>
      <c r="N47" s="28">
        <v>0.54166666666666663</v>
      </c>
      <c r="O47" s="28">
        <v>0.58333333333333337</v>
      </c>
      <c r="P47" s="28">
        <v>0.79166666666666663</v>
      </c>
      <c r="Q47" s="31">
        <f>(Tabla1[[#This Row],[SALIDA]]-Tabla1[[#This Row],[FIN ]])+(Tabla1[[#This Row],[INICIO]]-Tabla1[[#This Row],[INGRESO]])</f>
        <v>0.4583333333333332</v>
      </c>
      <c r="R47" s="13">
        <f t="shared" si="0"/>
        <v>0.375</v>
      </c>
      <c r="S47" s="31">
        <f t="shared" si="1"/>
        <v>8.3333333333333204E-2</v>
      </c>
      <c r="T47" s="136"/>
      <c r="U47" s="136"/>
      <c r="V47" s="137">
        <f>(Tabla1[[#This Row],[COS.BASE 3]]*0.25+Tabla1[[#This Row],[COS.BASE 3]])*Tabla1[[#This Row],[HORAS 25 % ]]</f>
        <v>0</v>
      </c>
      <c r="W47" s="138">
        <f>(Tabla1[[#This Row],[COS.BASE 3]]*0.35+Tabla1[[#This Row],[COS.BASE 3]])*Tabla1[[#This Row],[HORAS 35% ]]</f>
        <v>0</v>
      </c>
      <c r="X47" s="138">
        <f>SUM(Tabla1[[#This Row],[C.HORA.35]],Tabla1[[#This Row],[C.HORA.25]])</f>
        <v>0</v>
      </c>
      <c r="Y47" s="31"/>
      <c r="Z47" s="10">
        <f>Tabla1[[#This Row],[T.HORAS]]*24</f>
        <v>10.999999999999996</v>
      </c>
      <c r="AA47" s="4">
        <f>Tabla1[[#This Row],[H.NORMALES]]*24</f>
        <v>9</v>
      </c>
      <c r="AB47" s="10">
        <f>Tabla1[[#This Row],[H.EXTRAS]]*24</f>
        <v>1.9999999999999969</v>
      </c>
      <c r="AC47" s="105">
        <f t="shared" si="2"/>
        <v>92.799999999999983</v>
      </c>
      <c r="AD47" s="120">
        <f>Tabla1[[#This Row],[COS.BASE 2]]/8</f>
        <v>11.599999999999998</v>
      </c>
      <c r="AE47" s="105">
        <f>Tabla1[[#This Row],[CST_H_E]]+Tabla1[[#This Row],[COS.BASE 2]]</f>
        <v>92.799999999999983</v>
      </c>
      <c r="AF47" s="106">
        <f>+_xlfn.IFNA(INDEX(RUBRO!$W$2:$AA$732,MATCH(Tabla1[[#This Row],[FECHA ]],RUBRO!$W$2:$W$732,0),5)," ")</f>
        <v>0</v>
      </c>
      <c r="AG47" s="10">
        <f>+_xlfn.IFNA(INDEX(RUBRO!$W$2:$AA$732,MATCH(Tabla1[[#This Row],[FECHA ]],RUBRO!$W$2:$W$732,0),2)," ")</f>
        <v>0</v>
      </c>
      <c r="AH47" s="40">
        <f>IFERROR(Tabla1[[#This Row],[F]]*Tabla1[[#This Row],[COS.B+E]]," ")</f>
        <v>0</v>
      </c>
      <c r="AI47" s="40">
        <f>IFERROR(Tabla1[[#This Row],[COS.B+E]]*Tabla1[[#This Row],[D]]," ")</f>
        <v>0</v>
      </c>
      <c r="AJ47" s="40" t="str">
        <f>IFERROR(Tabla1[[#This Row],[F]]*#REF!," ")</f>
        <v xml:space="preserve"> </v>
      </c>
      <c r="AK47" s="40" t="str">
        <f>IFERROR(#REF!*Tabla1[[#This Row],[D]]," ")</f>
        <v xml:space="preserve"> </v>
      </c>
      <c r="AL47" s="103"/>
      <c r="AM47" s="103"/>
      <c r="AN47" s="103"/>
      <c r="AO47" s="38">
        <f>+Tabla1[[#This Row],[COS.B+E]]+Tabla1[[#This Row],[COS.F1]]+Tabla1[[#This Row],[COS.D1]]+Tabla1[[#This Row],[ALIMENTACION]]+Tabla1[[#This Row],[PRESTAMO]]+AN47</f>
        <v>92.799999999999983</v>
      </c>
      <c r="AP47" s="38" t="e">
        <f>+#REF!+Tabla1[[#This Row],[COS F2]]+Tabla1[[#This Row],[COS D2]]+Tabla1[[#This Row],[ALIMENTACION]]+Tabla1[[#This Row],[PRESTAMO]]+Tabla1[[#This Row],[PASAJES]]</f>
        <v>#REF!</v>
      </c>
    </row>
    <row r="48" spans="1:42" x14ac:dyDescent="0.25">
      <c r="A48" s="2" t="str">
        <f>TEXT(Tabla1[[#This Row],[FECHA ]],"DDDDD")</f>
        <v>viernes</v>
      </c>
      <c r="B48" s="2" t="str">
        <f>_xlfn.IFNA(VLOOKUP(Tabla1[[#This Row],[DESTINO]],RUBRO!$Q$1:$R$9996,2,FALSE)," ")</f>
        <v>OBRA</v>
      </c>
      <c r="C48" s="104">
        <f>WEEKNUM(Tabla1[[#This Row],[FECHA ]],2)</f>
        <v>19</v>
      </c>
      <c r="D48" s="104" t="str">
        <f>TEXT(Tabla1[[#This Row],[FECHA ]],"MMM-YY")</f>
        <v>may-YY</v>
      </c>
      <c r="E48" s="104" t="str">
        <f>VLOOKUP(Tabla1[[#This Row],[DNI ]],RUBRO!$F$1:$O$9996,7,FALSE)</f>
        <v>5ta</v>
      </c>
      <c r="F48" s="104" t="str">
        <f>VLOOKUP(Tabla1[[#This Row],[DNI ]],RUBRO!$F$1:$O$88,3,FALSE)</f>
        <v>MAE-04</v>
      </c>
      <c r="G48" s="104" t="str">
        <f>VLOOKUP(Tabla1[[#This Row],[DNI ]],RUBRO!$F$1:$O$9996,5,FALSE)</f>
        <v>MAESTRO MECANICO MONTAJISTA DE MAQUINARIA EXTRANJERA</v>
      </c>
      <c r="H48" s="66" t="str">
        <f>VLOOKUP(Tabla1[[#This Row],[DNI ]],RUBRO!$F$1:$O$9996,6,FALSE)</f>
        <v>ROMERO MARIN JAIRO JOEL</v>
      </c>
      <c r="I48" s="94">
        <v>44323</v>
      </c>
      <c r="J48" s="10">
        <v>2</v>
      </c>
      <c r="K48" s="2">
        <v>72926564</v>
      </c>
      <c r="L48" s="4">
        <f>VLOOKUP(Tabla1[[#This Row],[DNI ]],RUBRO!$F$2:$O$9996,8,FALSE)</f>
        <v>88.27</v>
      </c>
      <c r="M48" s="88">
        <v>0</v>
      </c>
      <c r="N48" s="28">
        <v>0.29166666666666669</v>
      </c>
      <c r="O48" s="28">
        <v>0.91666666666666663</v>
      </c>
      <c r="P48" s="28">
        <v>0.99930555555555556</v>
      </c>
      <c r="Q48" s="31">
        <f>(Tabla1[[#This Row],[SALIDA]]-Tabla1[[#This Row],[FIN ]])+(Tabla1[[#This Row],[INICIO]]-Tabla1[[#This Row],[INGRESO]])</f>
        <v>0.37430555555555561</v>
      </c>
      <c r="R48" s="13">
        <f t="shared" si="0"/>
        <v>0.33333333333333331</v>
      </c>
      <c r="S48" s="31">
        <f t="shared" si="1"/>
        <v>4.0972222222222299E-2</v>
      </c>
      <c r="T48" s="136"/>
      <c r="U48" s="136"/>
      <c r="V48" s="137">
        <f>(Tabla1[[#This Row],[COS.BASE 3]]*0.25+Tabla1[[#This Row],[COS.BASE 3]])*Tabla1[[#This Row],[HORAS 25 % ]]</f>
        <v>0</v>
      </c>
      <c r="W48" s="138">
        <f>(Tabla1[[#This Row],[COS.BASE 3]]*0.35+Tabla1[[#This Row],[COS.BASE 3]])*Tabla1[[#This Row],[HORAS 35% ]]</f>
        <v>0</v>
      </c>
      <c r="X48" s="138">
        <f>SUM(Tabla1[[#This Row],[C.HORA.35]],Tabla1[[#This Row],[C.HORA.25]])</f>
        <v>0</v>
      </c>
      <c r="Y48" s="31"/>
      <c r="Z48" s="10">
        <f>Tabla1[[#This Row],[T.HORAS]]*24</f>
        <v>8.9833333333333343</v>
      </c>
      <c r="AA48" s="4">
        <f>Tabla1[[#This Row],[H.NORMALES]]*24</f>
        <v>8</v>
      </c>
      <c r="AB48" s="10">
        <f>Tabla1[[#This Row],[H.EXTRAS]]*24</f>
        <v>0.98333333333333517</v>
      </c>
      <c r="AC48" s="105">
        <f t="shared" si="2"/>
        <v>88.27</v>
      </c>
      <c r="AD48" s="120">
        <f>Tabla1[[#This Row],[COS.BASE 2]]/8</f>
        <v>11.03375</v>
      </c>
      <c r="AE48" s="105">
        <f>Tabla1[[#This Row],[CST_H_E]]+Tabla1[[#This Row],[COS.BASE 2]]</f>
        <v>88.27</v>
      </c>
      <c r="AF48" s="106">
        <f>+_xlfn.IFNA(INDEX(RUBRO!$W$2:$AA$732,MATCH(Tabla1[[#This Row],[FECHA ]],RUBRO!$W$2:$W$732,0),5)," ")</f>
        <v>0</v>
      </c>
      <c r="AG48" s="10">
        <f>+_xlfn.IFNA(INDEX(RUBRO!$W$2:$AA$732,MATCH(Tabla1[[#This Row],[FECHA ]],RUBRO!$W$2:$W$732,0),2)," ")</f>
        <v>0</v>
      </c>
      <c r="AH48" s="40">
        <f>IFERROR(Tabla1[[#This Row],[F]]*Tabla1[[#This Row],[COS.B+E]]," ")</f>
        <v>0</v>
      </c>
      <c r="AI48" s="40">
        <f>IFERROR(Tabla1[[#This Row],[COS.B+E]]*Tabla1[[#This Row],[D]]," ")</f>
        <v>0</v>
      </c>
      <c r="AJ48" s="40" t="str">
        <f>IFERROR(Tabla1[[#This Row],[F]]*#REF!," ")</f>
        <v xml:space="preserve"> </v>
      </c>
      <c r="AK48" s="40" t="str">
        <f>IFERROR(#REF!*Tabla1[[#This Row],[D]]," ")</f>
        <v xml:space="preserve"> </v>
      </c>
      <c r="AL48" s="103"/>
      <c r="AM48" s="103"/>
      <c r="AN48" s="103"/>
      <c r="AO48" s="38">
        <f>+Tabla1[[#This Row],[COS.B+E]]+Tabla1[[#This Row],[COS.F1]]+Tabla1[[#This Row],[COS.D1]]+Tabla1[[#This Row],[ALIMENTACION]]+Tabla1[[#This Row],[PRESTAMO]]+AN48</f>
        <v>88.27</v>
      </c>
      <c r="AP48" s="38" t="e">
        <f>+#REF!+Tabla1[[#This Row],[COS F2]]+Tabla1[[#This Row],[COS D2]]+Tabla1[[#This Row],[ALIMENTACION]]+Tabla1[[#This Row],[PRESTAMO]]+Tabla1[[#This Row],[PASAJES]]</f>
        <v>#REF!</v>
      </c>
    </row>
    <row r="49" spans="1:42" x14ac:dyDescent="0.25">
      <c r="A49" s="2" t="str">
        <f>TEXT(Tabla1[[#This Row],[FECHA ]],"DDDDD")</f>
        <v>viernes</v>
      </c>
      <c r="B49" s="2" t="str">
        <f>_xlfn.IFNA(VLOOKUP(Tabla1[[#This Row],[DESTINO]],RUBRO!$Q$1:$R$9996,2,FALSE)," ")</f>
        <v>FALTA</v>
      </c>
      <c r="C49" s="104">
        <f>WEEKNUM(Tabla1[[#This Row],[FECHA ]],2)</f>
        <v>19</v>
      </c>
      <c r="D49" s="104" t="str">
        <f>TEXT(Tabla1[[#This Row],[FECHA ]],"MMM-YY")</f>
        <v>may-YY</v>
      </c>
      <c r="E49" s="104" t="str">
        <f>VLOOKUP(Tabla1[[#This Row],[DNI ]],RUBRO!$F$1:$O$9996,7,FALSE)</f>
        <v>5ta</v>
      </c>
      <c r="F49" s="104" t="e">
        <f>VLOOKUP(Tabla1[[#This Row],[DNI ]],RUBRO!$F$1:$O$88,3,FALSE)</f>
        <v>#N/A</v>
      </c>
      <c r="G49" s="104" t="str">
        <f>VLOOKUP(Tabla1[[#This Row],[DNI ]],RUBRO!$F$1:$O$9996,5,FALSE)</f>
        <v>TECNICO SOLDADOR</v>
      </c>
      <c r="H49" s="66" t="str">
        <f>VLOOKUP(Tabla1[[#This Row],[DNI ]],RUBRO!$F$1:$O$9996,6,FALSE)</f>
        <v xml:space="preserve">SALAZAR FERNANDEZ WALTER </v>
      </c>
      <c r="I49" s="94">
        <v>44323</v>
      </c>
      <c r="J49" s="10">
        <v>4</v>
      </c>
      <c r="K49" s="2">
        <v>72927801</v>
      </c>
      <c r="L49" s="4">
        <f>VLOOKUP(Tabla1[[#This Row],[DNI ]],RUBRO!$F$2:$O$9996,8,FALSE)</f>
        <v>60</v>
      </c>
      <c r="M49" s="88"/>
      <c r="N49" s="28"/>
      <c r="P49" s="28"/>
      <c r="Q49" s="31">
        <f>(Tabla1[[#This Row],[SALIDA]]-Tabla1[[#This Row],[FIN ]])+(Tabla1[[#This Row],[INICIO]]-Tabla1[[#This Row],[INGRESO]])</f>
        <v>0</v>
      </c>
      <c r="R49" s="13">
        <f t="shared" si="0"/>
        <v>0</v>
      </c>
      <c r="S49" s="31">
        <f t="shared" si="1"/>
        <v>0</v>
      </c>
      <c r="T49" s="136"/>
      <c r="U49" s="136"/>
      <c r="V49" s="137">
        <f>(Tabla1[[#This Row],[COS.BASE 3]]*0.25+Tabla1[[#This Row],[COS.BASE 3]])*Tabla1[[#This Row],[HORAS 25 % ]]</f>
        <v>0</v>
      </c>
      <c r="W49" s="138">
        <f>(Tabla1[[#This Row],[COS.BASE 3]]*0.35+Tabla1[[#This Row],[COS.BASE 3]])*Tabla1[[#This Row],[HORAS 35% ]]</f>
        <v>0</v>
      </c>
      <c r="X49" s="138">
        <f>SUM(Tabla1[[#This Row],[C.HORA.35]],Tabla1[[#This Row],[C.HORA.25]])</f>
        <v>0</v>
      </c>
      <c r="Y49" s="31"/>
      <c r="Z49" s="10">
        <f>Tabla1[[#This Row],[T.HORAS]]*24</f>
        <v>0</v>
      </c>
      <c r="AA49" s="4">
        <f>Tabla1[[#This Row],[H.NORMALES]]*24</f>
        <v>0</v>
      </c>
      <c r="AB49" s="10">
        <f>Tabla1[[#This Row],[H.EXTRAS]]*24</f>
        <v>0</v>
      </c>
      <c r="AC49" s="105">
        <f t="shared" si="2"/>
        <v>0</v>
      </c>
      <c r="AD49" s="120">
        <f>Tabla1[[#This Row],[COS.BASE 2]]/8</f>
        <v>0</v>
      </c>
      <c r="AE49" s="105">
        <f>Tabla1[[#This Row],[CST_H_E]]+Tabla1[[#This Row],[COS.BASE 2]]</f>
        <v>0</v>
      </c>
      <c r="AF49" s="106">
        <f>+_xlfn.IFNA(INDEX(RUBRO!$W$2:$AA$732,MATCH(Tabla1[[#This Row],[FECHA ]],RUBRO!$W$2:$W$732,0),5)," ")</f>
        <v>0</v>
      </c>
      <c r="AG49" s="10">
        <f>+_xlfn.IFNA(INDEX(RUBRO!$W$2:$AA$732,MATCH(Tabla1[[#This Row],[FECHA ]],RUBRO!$W$2:$W$732,0),2)," ")</f>
        <v>0</v>
      </c>
      <c r="AH49" s="40">
        <f>IFERROR(Tabla1[[#This Row],[F]]*Tabla1[[#This Row],[COS.B+E]]," ")</f>
        <v>0</v>
      </c>
      <c r="AI49" s="40">
        <f>IFERROR(Tabla1[[#This Row],[COS.B+E]]*Tabla1[[#This Row],[D]]," ")</f>
        <v>0</v>
      </c>
      <c r="AJ49" s="40" t="str">
        <f>IFERROR(Tabla1[[#This Row],[F]]*#REF!," ")</f>
        <v xml:space="preserve"> </v>
      </c>
      <c r="AK49" s="40" t="str">
        <f>IFERROR(#REF!*Tabla1[[#This Row],[D]]," ")</f>
        <v xml:space="preserve"> </v>
      </c>
      <c r="AL49" s="103"/>
      <c r="AM49" s="103"/>
      <c r="AN49" s="103"/>
      <c r="AO49" s="38">
        <f>+Tabla1[[#This Row],[COS.B+E]]+Tabla1[[#This Row],[COS.F1]]+Tabla1[[#This Row],[COS.D1]]+Tabla1[[#This Row],[ALIMENTACION]]+Tabla1[[#This Row],[PRESTAMO]]+AN49</f>
        <v>0</v>
      </c>
      <c r="AP49" s="38" t="e">
        <f>+#REF!+Tabla1[[#This Row],[COS F2]]+Tabla1[[#This Row],[COS D2]]+Tabla1[[#This Row],[ALIMENTACION]]+Tabla1[[#This Row],[PRESTAMO]]+Tabla1[[#This Row],[PASAJES]]</f>
        <v>#REF!</v>
      </c>
    </row>
    <row r="50" spans="1:42" x14ac:dyDescent="0.25">
      <c r="A50" s="2" t="str">
        <f>TEXT(Tabla1[[#This Row],[FECHA ]],"DDDDD")</f>
        <v>viernes</v>
      </c>
      <c r="B50" s="2" t="str">
        <f>_xlfn.IFNA(VLOOKUP(Tabla1[[#This Row],[DESTINO]],RUBRO!$Q$1:$R$9996,2,FALSE)," ")</f>
        <v>OBRA</v>
      </c>
      <c r="C50" s="104">
        <f>WEEKNUM(Tabla1[[#This Row],[FECHA ]],2)</f>
        <v>19</v>
      </c>
      <c r="D50" s="104" t="str">
        <f>TEXT(Tabla1[[#This Row],[FECHA ]],"MMM-YY")</f>
        <v>may-YY</v>
      </c>
      <c r="E50" s="104" t="str">
        <f>VLOOKUP(Tabla1[[#This Row],[DNI ]],RUBRO!$F$1:$O$9996,7,FALSE)</f>
        <v>5ta</v>
      </c>
      <c r="F50" s="104" t="str">
        <f>VLOOKUP(Tabla1[[#This Row],[DNI ]],RUBRO!$F$1:$O$88,3,FALSE)</f>
        <v>MEC-04</v>
      </c>
      <c r="G50" s="104" t="str">
        <f>VLOOKUP(Tabla1[[#This Row],[DNI ]],RUBRO!$F$1:$O$9996,5,FALSE)</f>
        <v>MECANICO MONTAJISTA DE MAQUINARIA EXTRANJERA</v>
      </c>
      <c r="H50" s="66" t="str">
        <f>VLOOKUP(Tabla1[[#This Row],[DNI ]],RUBRO!$F$1:$O$9996,6,FALSE)</f>
        <v>SANDOVAL CHAPOÑAN ELVIS EDUARDO</v>
      </c>
      <c r="I50" s="94">
        <v>44323</v>
      </c>
      <c r="J50" s="10">
        <v>2</v>
      </c>
      <c r="K50" s="2">
        <v>45360771</v>
      </c>
      <c r="L50" s="4">
        <f>VLOOKUP(Tabla1[[#This Row],[DNI ]],RUBRO!$F$2:$O$9996,8,FALSE)</f>
        <v>94.35</v>
      </c>
      <c r="M50" s="88">
        <v>0</v>
      </c>
      <c r="N50" s="28">
        <v>0.29166666666666669</v>
      </c>
      <c r="O50" s="28">
        <v>0.875</v>
      </c>
      <c r="P50" s="28">
        <v>0.95833333333333337</v>
      </c>
      <c r="Q50" s="31">
        <f>(Tabla1[[#This Row],[SALIDA]]-Tabla1[[#This Row],[FIN ]])+(Tabla1[[#This Row],[INICIO]]-Tabla1[[#This Row],[INGRESO]])</f>
        <v>0.37500000000000006</v>
      </c>
      <c r="R50" s="13">
        <f t="shared" si="0"/>
        <v>0.33333333333333331</v>
      </c>
      <c r="S50" s="31">
        <f t="shared" si="1"/>
        <v>4.1666666666666741E-2</v>
      </c>
      <c r="T50" s="136"/>
      <c r="U50" s="136"/>
      <c r="V50" s="137">
        <f>(Tabla1[[#This Row],[COS.BASE 3]]*0.25+Tabla1[[#This Row],[COS.BASE 3]])*Tabla1[[#This Row],[HORAS 25 % ]]</f>
        <v>0</v>
      </c>
      <c r="W50" s="138">
        <f>(Tabla1[[#This Row],[COS.BASE 3]]*0.35+Tabla1[[#This Row],[COS.BASE 3]])*Tabla1[[#This Row],[HORAS 35% ]]</f>
        <v>0</v>
      </c>
      <c r="X50" s="138">
        <f>SUM(Tabla1[[#This Row],[C.HORA.35]],Tabla1[[#This Row],[C.HORA.25]])</f>
        <v>0</v>
      </c>
      <c r="Y50" s="31"/>
      <c r="Z50" s="10">
        <f>Tabla1[[#This Row],[T.HORAS]]*24</f>
        <v>9.0000000000000018</v>
      </c>
      <c r="AA50" s="4">
        <f>Tabla1[[#This Row],[H.NORMALES]]*24</f>
        <v>8</v>
      </c>
      <c r="AB50" s="10">
        <f>Tabla1[[#This Row],[H.EXTRAS]]*24</f>
        <v>1.0000000000000018</v>
      </c>
      <c r="AC50" s="105">
        <f t="shared" si="2"/>
        <v>94.35</v>
      </c>
      <c r="AD50" s="120">
        <f>Tabla1[[#This Row],[COS.BASE 2]]/8</f>
        <v>11.793749999999999</v>
      </c>
      <c r="AE50" s="105">
        <f>Tabla1[[#This Row],[CST_H_E]]+Tabla1[[#This Row],[COS.BASE 2]]</f>
        <v>94.35</v>
      </c>
      <c r="AF50" s="106">
        <f>+_xlfn.IFNA(INDEX(RUBRO!$W$2:$AA$732,MATCH(Tabla1[[#This Row],[FECHA ]],RUBRO!$W$2:$W$732,0),5)," ")</f>
        <v>0</v>
      </c>
      <c r="AG50" s="10">
        <f>+_xlfn.IFNA(INDEX(RUBRO!$W$2:$AA$732,MATCH(Tabla1[[#This Row],[FECHA ]],RUBRO!$W$2:$W$732,0),2)," ")</f>
        <v>0</v>
      </c>
      <c r="AH50" s="40">
        <f>IFERROR(Tabla1[[#This Row],[F]]*Tabla1[[#This Row],[COS.B+E]]," ")</f>
        <v>0</v>
      </c>
      <c r="AI50" s="40">
        <f>IFERROR(Tabla1[[#This Row],[COS.B+E]]*Tabla1[[#This Row],[D]]," ")</f>
        <v>0</v>
      </c>
      <c r="AJ50" s="40" t="str">
        <f>IFERROR(Tabla1[[#This Row],[F]]*#REF!," ")</f>
        <v xml:space="preserve"> </v>
      </c>
      <c r="AK50" s="40" t="str">
        <f>IFERROR(#REF!*Tabla1[[#This Row],[D]]," ")</f>
        <v xml:space="preserve"> </v>
      </c>
      <c r="AL50" s="103"/>
      <c r="AM50" s="103"/>
      <c r="AN50" s="103"/>
      <c r="AO50" s="38">
        <f>+Tabla1[[#This Row],[COS.B+E]]+Tabla1[[#This Row],[COS.F1]]+Tabla1[[#This Row],[COS.D1]]+Tabla1[[#This Row],[ALIMENTACION]]+Tabla1[[#This Row],[PRESTAMO]]+AN50</f>
        <v>94.35</v>
      </c>
      <c r="AP50" s="38" t="e">
        <f>+#REF!+Tabla1[[#This Row],[COS F2]]+Tabla1[[#This Row],[COS D2]]+Tabla1[[#This Row],[ALIMENTACION]]+Tabla1[[#This Row],[PRESTAMO]]+Tabla1[[#This Row],[PASAJES]]</f>
        <v>#REF!</v>
      </c>
    </row>
    <row r="51" spans="1:42" x14ac:dyDescent="0.25">
      <c r="A51" s="2" t="str">
        <f>TEXT(Tabla1[[#This Row],[FECHA ]],"DDDDD")</f>
        <v>viernes</v>
      </c>
      <c r="B51" s="2" t="str">
        <f>_xlfn.IFNA(VLOOKUP(Tabla1[[#This Row],[DESTINO]],RUBRO!$Q$1:$R$9996,2,FALSE)," ")</f>
        <v>OBRA</v>
      </c>
      <c r="C51" s="104">
        <f>WEEKNUM(Tabla1[[#This Row],[FECHA ]],2)</f>
        <v>19</v>
      </c>
      <c r="D51" s="104" t="str">
        <f>TEXT(Tabla1[[#This Row],[FECHA ]],"MMM-YY")</f>
        <v>may-YY</v>
      </c>
      <c r="E51" s="104" t="str">
        <f>VLOOKUP(Tabla1[[#This Row],[DNI ]],RUBRO!$F$1:$O$9996,7,FALSE)</f>
        <v>5ta</v>
      </c>
      <c r="F51" s="104" t="e">
        <f>VLOOKUP(Tabla1[[#This Row],[DNI ]],RUBRO!$F$1:$O$88,3,FALSE)</f>
        <v>#N/A</v>
      </c>
      <c r="G51" s="104" t="str">
        <f>VLOOKUP(Tabla1[[#This Row],[DNI ]],RUBRO!$F$1:$O$9996,5,FALSE)</f>
        <v>TECNICO MECANICO MONTAJISTA DE NAVE INDUSTRIAL</v>
      </c>
      <c r="H51" s="66" t="str">
        <f>VLOOKUP(Tabla1[[#This Row],[DNI ]],RUBRO!$F$1:$O$9996,6,FALSE)</f>
        <v>SOLANO SUELDO CARLOS</v>
      </c>
      <c r="I51" s="94">
        <v>44323</v>
      </c>
      <c r="J51" s="10">
        <v>2</v>
      </c>
      <c r="K51" s="2">
        <v>44676684</v>
      </c>
      <c r="L51" s="4">
        <f>VLOOKUP(Tabla1[[#This Row],[DNI ]],RUBRO!$F$2:$O$9996,8,FALSE)</f>
        <v>70</v>
      </c>
      <c r="M51" s="88">
        <v>0.29166666666666669</v>
      </c>
      <c r="N51" s="28">
        <v>0.54166666666666663</v>
      </c>
      <c r="O51" s="28">
        <v>0.58333333333333337</v>
      </c>
      <c r="P51" s="28">
        <v>0.75</v>
      </c>
      <c r="Q51" s="31">
        <f>(Tabla1[[#This Row],[SALIDA]]-Tabla1[[#This Row],[FIN ]])+(Tabla1[[#This Row],[INICIO]]-Tabla1[[#This Row],[INGRESO]])</f>
        <v>0.41666666666666657</v>
      </c>
      <c r="R51" s="13">
        <f t="shared" si="0"/>
        <v>0.33333333333333331</v>
      </c>
      <c r="S51" s="31">
        <f t="shared" si="1"/>
        <v>8.3333333333333259E-2</v>
      </c>
      <c r="T51" s="136"/>
      <c r="U51" s="136"/>
      <c r="V51" s="137">
        <f>(Tabla1[[#This Row],[COS.BASE 3]]*0.25+Tabla1[[#This Row],[COS.BASE 3]])*Tabla1[[#This Row],[HORAS 25 % ]]</f>
        <v>0</v>
      </c>
      <c r="W51" s="138">
        <f>(Tabla1[[#This Row],[COS.BASE 3]]*0.35+Tabla1[[#This Row],[COS.BASE 3]])*Tabla1[[#This Row],[HORAS 35% ]]</f>
        <v>0</v>
      </c>
      <c r="X51" s="138">
        <f>SUM(Tabla1[[#This Row],[C.HORA.35]],Tabla1[[#This Row],[C.HORA.25]])</f>
        <v>0</v>
      </c>
      <c r="Y51" s="31"/>
      <c r="Z51" s="10">
        <f>Tabla1[[#This Row],[T.HORAS]]*24</f>
        <v>9.9999999999999982</v>
      </c>
      <c r="AA51" s="4">
        <f>Tabla1[[#This Row],[H.NORMALES]]*24</f>
        <v>8</v>
      </c>
      <c r="AB51" s="10">
        <f>Tabla1[[#This Row],[H.EXTRAS]]*24</f>
        <v>1.9999999999999982</v>
      </c>
      <c r="AC51" s="105">
        <f t="shared" si="2"/>
        <v>70</v>
      </c>
      <c r="AD51" s="120">
        <f>Tabla1[[#This Row],[COS.BASE 2]]/8</f>
        <v>8.75</v>
      </c>
      <c r="AE51" s="105">
        <f>Tabla1[[#This Row],[CST_H_E]]+Tabla1[[#This Row],[COS.BASE 2]]</f>
        <v>70</v>
      </c>
      <c r="AF51" s="106">
        <f>+_xlfn.IFNA(INDEX(RUBRO!$W$2:$AA$732,MATCH(Tabla1[[#This Row],[FECHA ]],RUBRO!$W$2:$W$732,0),5)," ")</f>
        <v>0</v>
      </c>
      <c r="AG51" s="10">
        <f>+_xlfn.IFNA(INDEX(RUBRO!$W$2:$AA$732,MATCH(Tabla1[[#This Row],[FECHA ]],RUBRO!$W$2:$W$732,0),2)," ")</f>
        <v>0</v>
      </c>
      <c r="AH51" s="40">
        <f>IFERROR(Tabla1[[#This Row],[F]]*Tabla1[[#This Row],[COS.B+E]]," ")</f>
        <v>0</v>
      </c>
      <c r="AI51" s="40">
        <f>IFERROR(Tabla1[[#This Row],[COS.B+E]]*Tabla1[[#This Row],[D]]," ")</f>
        <v>0</v>
      </c>
      <c r="AJ51" s="40" t="str">
        <f>IFERROR(Tabla1[[#This Row],[F]]*#REF!," ")</f>
        <v xml:space="preserve"> </v>
      </c>
      <c r="AK51" s="40" t="str">
        <f>IFERROR(#REF!*Tabla1[[#This Row],[D]]," ")</f>
        <v xml:space="preserve"> </v>
      </c>
      <c r="AL51" s="103"/>
      <c r="AM51" s="103"/>
      <c r="AN51" s="103"/>
      <c r="AO51" s="38">
        <f>+Tabla1[[#This Row],[COS.B+E]]+Tabla1[[#This Row],[COS.F1]]+Tabla1[[#This Row],[COS.D1]]+Tabla1[[#This Row],[ALIMENTACION]]+Tabla1[[#This Row],[PRESTAMO]]+AN51</f>
        <v>70</v>
      </c>
      <c r="AP51" s="38" t="e">
        <f>+#REF!+Tabla1[[#This Row],[COS F2]]+Tabla1[[#This Row],[COS D2]]+Tabla1[[#This Row],[ALIMENTACION]]+Tabla1[[#This Row],[PRESTAMO]]+Tabla1[[#This Row],[PASAJES]]</f>
        <v>#REF!</v>
      </c>
    </row>
    <row r="52" spans="1:42" x14ac:dyDescent="0.25">
      <c r="A52" s="2" t="str">
        <f>TEXT(Tabla1[[#This Row],[FECHA ]],"DDDDD")</f>
        <v>viernes</v>
      </c>
      <c r="B52" s="2" t="str">
        <f>_xlfn.IFNA(VLOOKUP(Tabla1[[#This Row],[DESTINO]],RUBRO!$Q$1:$R$9996,2,FALSE)," ")</f>
        <v xml:space="preserve"> </v>
      </c>
      <c r="C52" s="104">
        <f>WEEKNUM(Tabla1[[#This Row],[FECHA ]],2)</f>
        <v>19</v>
      </c>
      <c r="D52" s="104" t="str">
        <f>TEXT(Tabla1[[#This Row],[FECHA ]],"MMM-YY")</f>
        <v>may-YY</v>
      </c>
      <c r="E52" s="104" t="str">
        <f>VLOOKUP(Tabla1[[#This Row],[DNI ]],RUBRO!$F$1:$O$9996,7,FALSE)</f>
        <v>4ta</v>
      </c>
      <c r="F52" s="104" t="e">
        <f>VLOOKUP(Tabla1[[#This Row],[DNI ]],RUBRO!$F$1:$O$88,3,FALSE)</f>
        <v>#N/A</v>
      </c>
      <c r="G52" s="104">
        <f>VLOOKUP(Tabla1[[#This Row],[DNI ]],RUBRO!$F$1:$O$9996,5,FALSE)</f>
        <v>0</v>
      </c>
      <c r="H52" s="66" t="str">
        <f>VLOOKUP(Tabla1[[#This Row],[DNI ]],RUBRO!$F$1:$O$9996,6,FALSE)</f>
        <v>SOTO NIETO ALEXANDRO FABIO</v>
      </c>
      <c r="I52" s="94">
        <v>44323</v>
      </c>
      <c r="K52" s="2">
        <v>71214531</v>
      </c>
      <c r="L52" s="4">
        <f>VLOOKUP(Tabla1[[#This Row],[DNI ]],RUBRO!$F$2:$O$9996,8,FALSE)</f>
        <v>0</v>
      </c>
      <c r="M52" s="88"/>
      <c r="N52" s="28"/>
      <c r="P52" s="28"/>
      <c r="Q52" s="31">
        <f>(Tabla1[[#This Row],[SALIDA]]-Tabla1[[#This Row],[FIN ]])+(Tabla1[[#This Row],[INICIO]]-Tabla1[[#This Row],[INGRESO]])</f>
        <v>0</v>
      </c>
      <c r="R52" s="13">
        <f t="shared" si="0"/>
        <v>0</v>
      </c>
      <c r="S52" s="31">
        <f t="shared" si="1"/>
        <v>0</v>
      </c>
      <c r="T52" s="136"/>
      <c r="U52" s="136"/>
      <c r="V52" s="137">
        <f>(Tabla1[[#This Row],[COS.BASE 3]]*0.25+Tabla1[[#This Row],[COS.BASE 3]])*Tabla1[[#This Row],[HORAS 25 % ]]</f>
        <v>0</v>
      </c>
      <c r="W52" s="138">
        <f>(Tabla1[[#This Row],[COS.BASE 3]]*0.35+Tabla1[[#This Row],[COS.BASE 3]])*Tabla1[[#This Row],[HORAS 35% ]]</f>
        <v>0</v>
      </c>
      <c r="X52" s="138">
        <f>SUM(Tabla1[[#This Row],[C.HORA.35]],Tabla1[[#This Row],[C.HORA.25]])</f>
        <v>0</v>
      </c>
      <c r="Y52" s="31"/>
      <c r="Z52" s="10">
        <f>Tabla1[[#This Row],[T.HORAS]]*24</f>
        <v>0</v>
      </c>
      <c r="AA52" s="4">
        <f>Tabla1[[#This Row],[H.NORMALES]]*24</f>
        <v>0</v>
      </c>
      <c r="AB52" s="10">
        <f>Tabla1[[#This Row],[H.EXTRAS]]*24</f>
        <v>0</v>
      </c>
      <c r="AC52" s="105">
        <f t="shared" si="2"/>
        <v>0</v>
      </c>
      <c r="AD52" s="120">
        <f>Tabla1[[#This Row],[COS.BASE 2]]/8</f>
        <v>0</v>
      </c>
      <c r="AE52" s="105">
        <f>Tabla1[[#This Row],[CST_H_E]]+Tabla1[[#This Row],[COS.BASE 2]]</f>
        <v>0</v>
      </c>
      <c r="AF52" s="106">
        <f>+_xlfn.IFNA(INDEX(RUBRO!$W$2:$AA$732,MATCH(Tabla1[[#This Row],[FECHA ]],RUBRO!$W$2:$W$732,0),5)," ")</f>
        <v>0</v>
      </c>
      <c r="AG52" s="10">
        <f>+_xlfn.IFNA(INDEX(RUBRO!$W$2:$AA$732,MATCH(Tabla1[[#This Row],[FECHA ]],RUBRO!$W$2:$W$732,0),2)," ")</f>
        <v>0</v>
      </c>
      <c r="AH52" s="40">
        <f>IFERROR(Tabla1[[#This Row],[F]]*Tabla1[[#This Row],[COS.B+E]]," ")</f>
        <v>0</v>
      </c>
      <c r="AI52" s="40">
        <f>IFERROR(Tabla1[[#This Row],[COS.B+E]]*Tabla1[[#This Row],[D]]," ")</f>
        <v>0</v>
      </c>
      <c r="AJ52" s="40" t="str">
        <f>IFERROR(Tabla1[[#This Row],[F]]*#REF!," ")</f>
        <v xml:space="preserve"> </v>
      </c>
      <c r="AK52" s="40" t="str">
        <f>IFERROR(#REF!*Tabla1[[#This Row],[D]]," ")</f>
        <v xml:space="preserve"> </v>
      </c>
      <c r="AL52" s="103"/>
      <c r="AM52" s="103"/>
      <c r="AN52" s="103"/>
      <c r="AO52" s="38">
        <f>+Tabla1[[#This Row],[COS.B+E]]+Tabla1[[#This Row],[COS.F1]]+Tabla1[[#This Row],[COS.D1]]+Tabla1[[#This Row],[ALIMENTACION]]+Tabla1[[#This Row],[PRESTAMO]]+AN52</f>
        <v>0</v>
      </c>
      <c r="AP52" s="38" t="e">
        <f>+#REF!+Tabla1[[#This Row],[COS F2]]+Tabla1[[#This Row],[COS D2]]+Tabla1[[#This Row],[ALIMENTACION]]+Tabla1[[#This Row],[PRESTAMO]]+Tabla1[[#This Row],[PASAJES]]</f>
        <v>#REF!</v>
      </c>
    </row>
    <row r="53" spans="1:42" x14ac:dyDescent="0.25">
      <c r="A53" s="2" t="str">
        <f>TEXT(Tabla1[[#This Row],[FECHA ]],"DDDDD")</f>
        <v>viernes</v>
      </c>
      <c r="B53" s="2" t="str">
        <f>_xlfn.IFNA(VLOOKUP(Tabla1[[#This Row],[DESTINO]],RUBRO!$Q$1:$R$9996,2,FALSE)," ")</f>
        <v>PLANTA</v>
      </c>
      <c r="C53" s="104">
        <f>WEEKNUM(Tabla1[[#This Row],[FECHA ]],2)</f>
        <v>19</v>
      </c>
      <c r="D53" s="104" t="str">
        <f>TEXT(Tabla1[[#This Row],[FECHA ]],"MMM-YY")</f>
        <v>may-YY</v>
      </c>
      <c r="E53" s="104" t="str">
        <f>VLOOKUP(Tabla1[[#This Row],[DNI ]],RUBRO!$F$1:$O$9996,7,FALSE)</f>
        <v>5ta</v>
      </c>
      <c r="F53" s="104" t="str">
        <f>VLOOKUP(Tabla1[[#This Row],[DNI ]],RUBRO!$F$1:$O$88,3,FALSE)</f>
        <v>TEC-02</v>
      </c>
      <c r="G53" s="104" t="str">
        <f>VLOOKUP(Tabla1[[#This Row],[DNI ]],RUBRO!$F$1:$O$9996,5,FALSE)</f>
        <v>TECNICO MECANICO MONTAJISTA DE MAQUINARIA</v>
      </c>
      <c r="H53" s="66" t="str">
        <f>VLOOKUP(Tabla1[[#This Row],[DNI ]],RUBRO!$F$1:$O$9996,6,FALSE)</f>
        <v>TINOCO SANTISTEBAN JIMMY JOEL</v>
      </c>
      <c r="I53" s="94">
        <v>44323</v>
      </c>
      <c r="J53" s="10">
        <v>1</v>
      </c>
      <c r="K53" s="2">
        <v>47158079</v>
      </c>
      <c r="L53" s="4">
        <f>VLOOKUP(Tabla1[[#This Row],[DNI ]],RUBRO!$F$2:$O$9996,8,FALSE)</f>
        <v>56.55</v>
      </c>
      <c r="M53" s="88">
        <v>0.29166666666666669</v>
      </c>
      <c r="N53" s="28">
        <v>0.54166666666666663</v>
      </c>
      <c r="O53" s="28">
        <v>0.58333333333333337</v>
      </c>
      <c r="P53" s="28">
        <v>0.70833333333333337</v>
      </c>
      <c r="Q53" s="31">
        <f>(Tabla1[[#This Row],[SALIDA]]-Tabla1[[#This Row],[FIN ]])+(Tabla1[[#This Row],[INICIO]]-Tabla1[[#This Row],[INGRESO]])</f>
        <v>0.37499999999999994</v>
      </c>
      <c r="R53" s="13">
        <f t="shared" si="0"/>
        <v>0.37499999999999994</v>
      </c>
      <c r="S53" s="31">
        <f t="shared" si="1"/>
        <v>0</v>
      </c>
      <c r="T53" s="136"/>
      <c r="U53" s="136"/>
      <c r="V53" s="137">
        <f>(Tabla1[[#This Row],[COS.BASE 3]]*0.25+Tabla1[[#This Row],[COS.BASE 3]])*Tabla1[[#This Row],[HORAS 25 % ]]</f>
        <v>0</v>
      </c>
      <c r="W53" s="138">
        <f>(Tabla1[[#This Row],[COS.BASE 3]]*0.35+Tabla1[[#This Row],[COS.BASE 3]])*Tabla1[[#This Row],[HORAS 35% ]]</f>
        <v>0</v>
      </c>
      <c r="X53" s="138">
        <f>SUM(Tabla1[[#This Row],[C.HORA.35]],Tabla1[[#This Row],[C.HORA.25]])</f>
        <v>0</v>
      </c>
      <c r="Y53" s="31"/>
      <c r="Z53" s="10">
        <f>Tabla1[[#This Row],[T.HORAS]]*24</f>
        <v>8.9999999999999982</v>
      </c>
      <c r="AA53" s="4">
        <f>Tabla1[[#This Row],[H.NORMALES]]*24</f>
        <v>8.9999999999999982</v>
      </c>
      <c r="AB53" s="10">
        <f>Tabla1[[#This Row],[H.EXTRAS]]*24</f>
        <v>0</v>
      </c>
      <c r="AC53" s="105">
        <f t="shared" si="2"/>
        <v>56.54999999999999</v>
      </c>
      <c r="AD53" s="120">
        <f>Tabla1[[#This Row],[COS.BASE 2]]/8</f>
        <v>7.0687499999999988</v>
      </c>
      <c r="AE53" s="105">
        <f>Tabla1[[#This Row],[CST_H_E]]+Tabla1[[#This Row],[COS.BASE 2]]</f>
        <v>56.54999999999999</v>
      </c>
      <c r="AF53" s="106">
        <f>+_xlfn.IFNA(INDEX(RUBRO!$W$2:$AA$732,MATCH(Tabla1[[#This Row],[FECHA ]],RUBRO!$W$2:$W$732,0),5)," ")</f>
        <v>0</v>
      </c>
      <c r="AG53" s="10">
        <f>+_xlfn.IFNA(INDEX(RUBRO!$W$2:$AA$732,MATCH(Tabla1[[#This Row],[FECHA ]],RUBRO!$W$2:$W$732,0),2)," ")</f>
        <v>0</v>
      </c>
      <c r="AH53" s="40">
        <f>IFERROR(Tabla1[[#This Row],[F]]*Tabla1[[#This Row],[COS.B+E]]," ")</f>
        <v>0</v>
      </c>
      <c r="AI53" s="40">
        <f>IFERROR(Tabla1[[#This Row],[COS.B+E]]*Tabla1[[#This Row],[D]]," ")</f>
        <v>0</v>
      </c>
      <c r="AJ53" s="40" t="str">
        <f>IFERROR(Tabla1[[#This Row],[F]]*#REF!," ")</f>
        <v xml:space="preserve"> </v>
      </c>
      <c r="AK53" s="40" t="str">
        <f>IFERROR(#REF!*Tabla1[[#This Row],[D]]," ")</f>
        <v xml:space="preserve"> </v>
      </c>
      <c r="AL53" s="103"/>
      <c r="AM53" s="103"/>
      <c r="AN53" s="103"/>
      <c r="AO53" s="38">
        <f>+Tabla1[[#This Row],[COS.B+E]]+Tabla1[[#This Row],[COS.F1]]+Tabla1[[#This Row],[COS.D1]]+Tabla1[[#This Row],[ALIMENTACION]]+Tabla1[[#This Row],[PRESTAMO]]+AN53</f>
        <v>56.54999999999999</v>
      </c>
      <c r="AP53" s="38" t="e">
        <f>+#REF!+Tabla1[[#This Row],[COS F2]]+Tabla1[[#This Row],[COS D2]]+Tabla1[[#This Row],[ALIMENTACION]]+Tabla1[[#This Row],[PRESTAMO]]+Tabla1[[#This Row],[PASAJES]]</f>
        <v>#REF!</v>
      </c>
    </row>
    <row r="54" spans="1:42" x14ac:dyDescent="0.25">
      <c r="A54" s="2" t="str">
        <f>TEXT(Tabla1[[#This Row],[FECHA ]],"DDDDD")</f>
        <v>viernes</v>
      </c>
      <c r="B54" s="2" t="str">
        <f>_xlfn.IFNA(VLOOKUP(Tabla1[[#This Row],[DESTINO]],RUBRO!$Q$1:$R$9996,2,FALSE)," ")</f>
        <v>FALTA</v>
      </c>
      <c r="C54" s="104">
        <f>WEEKNUM(Tabla1[[#This Row],[FECHA ]],2)</f>
        <v>19</v>
      </c>
      <c r="D54" s="104" t="str">
        <f>TEXT(Tabla1[[#This Row],[FECHA ]],"MMM-YY")</f>
        <v>may-YY</v>
      </c>
      <c r="E54" s="104" t="str">
        <f>VLOOKUP(Tabla1[[#This Row],[DNI ]],RUBRO!$F$1:$O$9996,7,FALSE)</f>
        <v>5ta</v>
      </c>
      <c r="F54" s="104" t="str">
        <f>VLOOKUP(Tabla1[[#This Row],[DNI ]],RUBRO!$F$1:$O$88,3,FALSE)</f>
        <v>TECME-03</v>
      </c>
      <c r="G54" s="104" t="str">
        <f>VLOOKUP(Tabla1[[#This Row],[DNI ]],RUBRO!$F$1:$O$9996,5,FALSE)</f>
        <v>TECNICO ELECTRICO MONTAJISTA DE MAQUINARIA EXTRANJERA</v>
      </c>
      <c r="H54" s="66" t="str">
        <f>VLOOKUP(Tabla1[[#This Row],[DNI ]],RUBRO!$F$1:$O$9996,6,FALSE)</f>
        <v>TORRES RAMOS ANGY ANDREINA</v>
      </c>
      <c r="I54" s="94">
        <v>44323</v>
      </c>
      <c r="J54" s="10">
        <v>4</v>
      </c>
      <c r="K54" s="2">
        <v>76449683</v>
      </c>
      <c r="L54" s="4">
        <f>VLOOKUP(Tabla1[[#This Row],[DNI ]],RUBRO!$F$2:$O$9996,8,FALSE)</f>
        <v>73.87</v>
      </c>
      <c r="M54" s="88"/>
      <c r="N54" s="28"/>
      <c r="P54" s="28"/>
      <c r="Q54" s="31">
        <f>(Tabla1[[#This Row],[SALIDA]]-Tabla1[[#This Row],[FIN ]])+(Tabla1[[#This Row],[INICIO]]-Tabla1[[#This Row],[INGRESO]])</f>
        <v>0</v>
      </c>
      <c r="R54" s="13">
        <f t="shared" si="0"/>
        <v>0</v>
      </c>
      <c r="S54" s="31">
        <f t="shared" si="1"/>
        <v>0</v>
      </c>
      <c r="T54" s="136"/>
      <c r="U54" s="136"/>
      <c r="V54" s="137">
        <f>(Tabla1[[#This Row],[COS.BASE 3]]*0.25+Tabla1[[#This Row],[COS.BASE 3]])*Tabla1[[#This Row],[HORAS 25 % ]]</f>
        <v>0</v>
      </c>
      <c r="W54" s="138">
        <f>(Tabla1[[#This Row],[COS.BASE 3]]*0.35+Tabla1[[#This Row],[COS.BASE 3]])*Tabla1[[#This Row],[HORAS 35% ]]</f>
        <v>0</v>
      </c>
      <c r="X54" s="138">
        <f>SUM(Tabla1[[#This Row],[C.HORA.35]],Tabla1[[#This Row],[C.HORA.25]])</f>
        <v>0</v>
      </c>
      <c r="Y54" s="4"/>
      <c r="Z54" s="10">
        <f>Tabla1[[#This Row],[T.HORAS]]*24</f>
        <v>0</v>
      </c>
      <c r="AA54" s="4">
        <f>Tabla1[[#This Row],[H.NORMALES]]*24</f>
        <v>0</v>
      </c>
      <c r="AB54" s="10">
        <f>Tabla1[[#This Row],[H.EXTRAS]]*24</f>
        <v>0</v>
      </c>
      <c r="AC54" s="105">
        <f t="shared" si="2"/>
        <v>0</v>
      </c>
      <c r="AD54" s="120">
        <f>Tabla1[[#This Row],[COS.BASE 2]]/8</f>
        <v>0</v>
      </c>
      <c r="AE54" s="134">
        <f>Tabla1[[#This Row],[CST_H_E]]+Tabla1[[#This Row],[COS.BASE 2]]</f>
        <v>0</v>
      </c>
      <c r="AF54" s="106">
        <f>+_xlfn.IFNA(INDEX(RUBRO!$W$2:$AA$732,MATCH(Tabla1[[#This Row],[FECHA ]],RUBRO!$W$2:$W$732,0),5)," ")</f>
        <v>0</v>
      </c>
      <c r="AG54" s="10">
        <f>+_xlfn.IFNA(INDEX(RUBRO!$W$2:$AA$732,MATCH(Tabla1[[#This Row],[FECHA ]],RUBRO!$W$2:$W$732,0),2)," ")</f>
        <v>0</v>
      </c>
      <c r="AH54" s="40">
        <f>IFERROR(Tabla1[[#This Row],[F]]*Tabla1[[#This Row],[COS.B+E]]," ")</f>
        <v>0</v>
      </c>
      <c r="AI54" s="40">
        <f>IFERROR(Tabla1[[#This Row],[COS.B+E]]*Tabla1[[#This Row],[D]]," ")</f>
        <v>0</v>
      </c>
      <c r="AJ54" s="40" t="str">
        <f>IFERROR(Tabla1[[#This Row],[F]]*#REF!," ")</f>
        <v xml:space="preserve"> </v>
      </c>
      <c r="AK54" s="40" t="str">
        <f>IFERROR(#REF!*Tabla1[[#This Row],[D]]," ")</f>
        <v xml:space="preserve"> </v>
      </c>
      <c r="AL54" s="103"/>
      <c r="AM54" s="103"/>
      <c r="AN54" s="103"/>
      <c r="AO54" s="38">
        <f>+Tabla1[[#This Row],[COS.B+E]]+Tabla1[[#This Row],[COS.F1]]+Tabla1[[#This Row],[COS.D1]]+Tabla1[[#This Row],[ALIMENTACION]]+Tabla1[[#This Row],[PRESTAMO]]+AN54</f>
        <v>0</v>
      </c>
      <c r="AP54" s="38" t="e">
        <f>+#REF!+Tabla1[[#This Row],[COS F2]]+Tabla1[[#This Row],[COS D2]]+Tabla1[[#This Row],[ALIMENTACION]]+Tabla1[[#This Row],[PRESTAMO]]+Tabla1[[#This Row],[PASAJES]]</f>
        <v>#REF!</v>
      </c>
    </row>
    <row r="55" spans="1:42" x14ac:dyDescent="0.25">
      <c r="A55" s="2" t="str">
        <f>TEXT(Tabla1[[#This Row],[FECHA ]],"DDDDD")</f>
        <v>viernes</v>
      </c>
      <c r="B55" s="2" t="str">
        <f>_xlfn.IFNA(VLOOKUP(Tabla1[[#This Row],[DESTINO]],RUBRO!$Q$1:$R$9996,2,FALSE)," ")</f>
        <v>FALTA</v>
      </c>
      <c r="C55" s="104">
        <f>WEEKNUM(Tabla1[[#This Row],[FECHA ]],2)</f>
        <v>19</v>
      </c>
      <c r="D55" s="104" t="str">
        <f>TEXT(Tabla1[[#This Row],[FECHA ]],"MMM-YY")</f>
        <v>may-YY</v>
      </c>
      <c r="E55" s="104" t="str">
        <f>VLOOKUP(Tabla1[[#This Row],[DNI ]],RUBRO!$F$1:$O$9996,7,FALSE)</f>
        <v>5ta</v>
      </c>
      <c r="F55" s="104" t="str">
        <f>VLOOKUP(Tabla1[[#This Row],[DNI ]],RUBRO!$F$1:$O$88,3,FALSE)</f>
        <v>MEC-04</v>
      </c>
      <c r="G55" s="104" t="str">
        <f>VLOOKUP(Tabla1[[#This Row],[DNI ]],RUBRO!$F$1:$O$9996,5,FALSE)</f>
        <v>MECANICO MONTAJISTA DE MAQUINARIA EXTRANJERA</v>
      </c>
      <c r="H55" s="66" t="str">
        <f>VLOOKUP(Tabla1[[#This Row],[DNI ]],RUBRO!$F$1:$O$9996,6,FALSE)</f>
        <v>VARGAS TARRILLO GLOBER</v>
      </c>
      <c r="I55" s="94">
        <v>44323</v>
      </c>
      <c r="J55" s="10">
        <v>4</v>
      </c>
      <c r="K55" s="2">
        <v>43878459</v>
      </c>
      <c r="L55" s="4">
        <f>VLOOKUP(Tabla1[[#This Row],[DNI ]],RUBRO!$F$2:$O$9996,8,FALSE)</f>
        <v>79.78</v>
      </c>
      <c r="M55" s="88"/>
      <c r="N55" s="28"/>
      <c r="P55" s="28"/>
      <c r="Q55" s="31">
        <f>(Tabla1[[#This Row],[SALIDA]]-Tabla1[[#This Row],[FIN ]])+(Tabla1[[#This Row],[INICIO]]-Tabla1[[#This Row],[INGRESO]])</f>
        <v>0</v>
      </c>
      <c r="R55" s="13">
        <f t="shared" si="0"/>
        <v>0</v>
      </c>
      <c r="S55" s="31">
        <f t="shared" si="1"/>
        <v>0</v>
      </c>
      <c r="T55" s="136"/>
      <c r="U55" s="136"/>
      <c r="V55" s="137">
        <f>(Tabla1[[#This Row],[COS.BASE 3]]*0.25+Tabla1[[#This Row],[COS.BASE 3]])*Tabla1[[#This Row],[HORAS 25 % ]]</f>
        <v>0</v>
      </c>
      <c r="W55" s="138">
        <f>(Tabla1[[#This Row],[COS.BASE 3]]*0.35+Tabla1[[#This Row],[COS.BASE 3]])*Tabla1[[#This Row],[HORAS 35% ]]</f>
        <v>0</v>
      </c>
      <c r="X55" s="138">
        <f>SUM(Tabla1[[#This Row],[C.HORA.35]],Tabla1[[#This Row],[C.HORA.25]])</f>
        <v>0</v>
      </c>
      <c r="Y55" s="4"/>
      <c r="Z55" s="10">
        <f>Tabla1[[#This Row],[T.HORAS]]*24</f>
        <v>0</v>
      </c>
      <c r="AA55" s="4">
        <f>Tabla1[[#This Row],[H.NORMALES]]*24</f>
        <v>0</v>
      </c>
      <c r="AB55" s="10">
        <f>Tabla1[[#This Row],[H.EXTRAS]]*24</f>
        <v>0</v>
      </c>
      <c r="AC55" s="105">
        <f t="shared" si="2"/>
        <v>0</v>
      </c>
      <c r="AD55" s="120">
        <f>Tabla1[[#This Row],[COS.BASE 2]]/8</f>
        <v>0</v>
      </c>
      <c r="AE55" s="105">
        <f>Tabla1[[#This Row],[CST_H_E]]+Tabla1[[#This Row],[COS.BASE 2]]</f>
        <v>0</v>
      </c>
      <c r="AF55" s="106">
        <f>+_xlfn.IFNA(INDEX(RUBRO!$W$2:$AA$732,MATCH(Tabla1[[#This Row],[FECHA ]],RUBRO!$W$2:$W$732,0),5)," ")</f>
        <v>0</v>
      </c>
      <c r="AG55" s="10">
        <f>+_xlfn.IFNA(INDEX(RUBRO!$W$2:$AA$732,MATCH(Tabla1[[#This Row],[FECHA ]],RUBRO!$W$2:$W$732,0),2)," ")</f>
        <v>0</v>
      </c>
      <c r="AH55" s="40">
        <f>IFERROR(Tabla1[[#This Row],[F]]*Tabla1[[#This Row],[COS.B+E]]," ")</f>
        <v>0</v>
      </c>
      <c r="AI55" s="40">
        <f>IFERROR(Tabla1[[#This Row],[COS.B+E]]*Tabla1[[#This Row],[D]]," ")</f>
        <v>0</v>
      </c>
      <c r="AJ55" s="40" t="str">
        <f>IFERROR(Tabla1[[#This Row],[F]]*#REF!," ")</f>
        <v xml:space="preserve"> </v>
      </c>
      <c r="AK55" s="40" t="str">
        <f>IFERROR(#REF!*Tabla1[[#This Row],[D]]," ")</f>
        <v xml:space="preserve"> </v>
      </c>
      <c r="AL55" s="103"/>
      <c r="AM55" s="103"/>
      <c r="AN55" s="103"/>
      <c r="AO55" s="38">
        <f>+Tabla1[[#This Row],[COS.B+E]]+Tabla1[[#This Row],[COS.F1]]+Tabla1[[#This Row],[COS.D1]]+Tabla1[[#This Row],[ALIMENTACION]]+Tabla1[[#This Row],[PRESTAMO]]+AN55</f>
        <v>0</v>
      </c>
      <c r="AP55" s="38" t="e">
        <f>+#REF!+Tabla1[[#This Row],[COS F2]]+Tabla1[[#This Row],[COS D2]]+Tabla1[[#This Row],[ALIMENTACION]]+Tabla1[[#This Row],[PRESTAMO]]+Tabla1[[#This Row],[PASAJES]]</f>
        <v>#REF!</v>
      </c>
    </row>
    <row r="56" spans="1:42" x14ac:dyDescent="0.25">
      <c r="A56" s="2" t="str">
        <f>TEXT(Tabla1[[#This Row],[FECHA ]],"DDDDD")</f>
        <v>viernes</v>
      </c>
      <c r="B56" s="2" t="str">
        <f>_xlfn.IFNA(VLOOKUP(Tabla1[[#This Row],[DESTINO]],RUBRO!$Q$1:$R$9996,2,FALSE)," ")</f>
        <v>FALTA</v>
      </c>
      <c r="C56" s="104">
        <f>WEEKNUM(Tabla1[[#This Row],[FECHA ]],2)</f>
        <v>19</v>
      </c>
      <c r="D56" s="104" t="str">
        <f>TEXT(Tabla1[[#This Row],[FECHA ]],"MMM-YY")</f>
        <v>may-YY</v>
      </c>
      <c r="E56" s="104" t="str">
        <f>VLOOKUP(Tabla1[[#This Row],[DNI ]],RUBRO!$F$1:$O$9996,7,FALSE)</f>
        <v>5ta</v>
      </c>
      <c r="F56" s="104" t="str">
        <f>VLOOKUP(Tabla1[[#This Row],[DNI ]],RUBRO!$F$1:$O$88,3,FALSE)</f>
        <v>MEC-04</v>
      </c>
      <c r="G56" s="104" t="str">
        <f>VLOOKUP(Tabla1[[#This Row],[DNI ]],RUBRO!$F$1:$O$9996,5,FALSE)</f>
        <v>MECANICO MONTAJISTA DE MAQUINARIA EXTRANJERA</v>
      </c>
      <c r="H56" s="66" t="str">
        <f>VLOOKUP(Tabla1[[#This Row],[DNI ]],RUBRO!$F$1:$O$9996,6,FALSE)</f>
        <v>VARGAS TARRILLO OMAR ALEXANDER</v>
      </c>
      <c r="I56" s="94">
        <v>44323</v>
      </c>
      <c r="J56" s="10">
        <v>4</v>
      </c>
      <c r="K56" s="2">
        <v>46578402</v>
      </c>
      <c r="L56" s="4">
        <f>VLOOKUP(Tabla1[[#This Row],[DNI ]],RUBRO!$F$2:$O$9996,8,FALSE)</f>
        <v>103.42</v>
      </c>
      <c r="M56" s="88"/>
      <c r="N56" s="28"/>
      <c r="P56" s="28"/>
      <c r="Q56" s="31">
        <f>(Tabla1[[#This Row],[SALIDA]]-Tabla1[[#This Row],[FIN ]])+(Tabla1[[#This Row],[INICIO]]-Tabla1[[#This Row],[INGRESO]])</f>
        <v>0</v>
      </c>
      <c r="R56" s="13">
        <f t="shared" si="0"/>
        <v>0</v>
      </c>
      <c r="S56" s="31">
        <f t="shared" si="1"/>
        <v>0</v>
      </c>
      <c r="T56" s="136"/>
      <c r="U56" s="136"/>
      <c r="V56" s="137">
        <f>(Tabla1[[#This Row],[COS.BASE 3]]*0.25+Tabla1[[#This Row],[COS.BASE 3]])*Tabla1[[#This Row],[HORAS 25 % ]]</f>
        <v>0</v>
      </c>
      <c r="W56" s="138">
        <f>(Tabla1[[#This Row],[COS.BASE 3]]*0.35+Tabla1[[#This Row],[COS.BASE 3]])*Tabla1[[#This Row],[HORAS 35% ]]</f>
        <v>0</v>
      </c>
      <c r="X56" s="138">
        <f>SUM(Tabla1[[#This Row],[C.HORA.35]],Tabla1[[#This Row],[C.HORA.25]])</f>
        <v>0</v>
      </c>
      <c r="Y56" s="4"/>
      <c r="Z56" s="10">
        <f>Tabla1[[#This Row],[T.HORAS]]*24</f>
        <v>0</v>
      </c>
      <c r="AA56" s="4">
        <f>Tabla1[[#This Row],[H.NORMALES]]*24</f>
        <v>0</v>
      </c>
      <c r="AB56" s="10">
        <f>Tabla1[[#This Row],[H.EXTRAS]]*24</f>
        <v>0</v>
      </c>
      <c r="AC56" s="105">
        <f t="shared" si="2"/>
        <v>0</v>
      </c>
      <c r="AD56" s="120">
        <f>Tabla1[[#This Row],[COS.BASE 2]]/8</f>
        <v>0</v>
      </c>
      <c r="AE56" s="105">
        <f>Tabla1[[#This Row],[CST_H_E]]+Tabla1[[#This Row],[COS.BASE 2]]</f>
        <v>0</v>
      </c>
      <c r="AF56" s="106">
        <f>+_xlfn.IFNA(INDEX(RUBRO!$W$2:$AA$732,MATCH(Tabla1[[#This Row],[FECHA ]],RUBRO!$W$2:$W$732,0),5)," ")</f>
        <v>0</v>
      </c>
      <c r="AG56" s="10">
        <f>+_xlfn.IFNA(INDEX(RUBRO!$W$2:$AA$732,MATCH(Tabla1[[#This Row],[FECHA ]],RUBRO!$W$2:$W$732,0),2)," ")</f>
        <v>0</v>
      </c>
      <c r="AH56" s="40">
        <f>IFERROR(Tabla1[[#This Row],[F]]*Tabla1[[#This Row],[COS.B+E]]," ")</f>
        <v>0</v>
      </c>
      <c r="AI56" s="40">
        <f>IFERROR(Tabla1[[#This Row],[COS.B+E]]*Tabla1[[#This Row],[D]]," ")</f>
        <v>0</v>
      </c>
      <c r="AJ56" s="40" t="str">
        <f>IFERROR(Tabla1[[#This Row],[F]]*#REF!," ")</f>
        <v xml:space="preserve"> </v>
      </c>
      <c r="AK56" s="40" t="str">
        <f>IFERROR(#REF!*Tabla1[[#This Row],[D]]," ")</f>
        <v xml:space="preserve"> </v>
      </c>
      <c r="AL56" s="103"/>
      <c r="AM56" s="103"/>
      <c r="AN56" s="103"/>
      <c r="AO56" s="38">
        <f>+Tabla1[[#This Row],[COS.B+E]]+Tabla1[[#This Row],[COS.F1]]+Tabla1[[#This Row],[COS.D1]]+Tabla1[[#This Row],[ALIMENTACION]]+Tabla1[[#This Row],[PRESTAMO]]+AN56</f>
        <v>0</v>
      </c>
      <c r="AP56" s="38" t="e">
        <f>+#REF!+Tabla1[[#This Row],[COS F2]]+Tabla1[[#This Row],[COS D2]]+Tabla1[[#This Row],[ALIMENTACION]]+Tabla1[[#This Row],[PRESTAMO]]+Tabla1[[#This Row],[PASAJES]]</f>
        <v>#REF!</v>
      </c>
    </row>
    <row r="57" spans="1:42" x14ac:dyDescent="0.25">
      <c r="A57" s="2" t="str">
        <f>TEXT(Tabla1[[#This Row],[FECHA ]],"DDDDD")</f>
        <v>viernes</v>
      </c>
      <c r="B57" s="2" t="str">
        <f>_xlfn.IFNA(VLOOKUP(Tabla1[[#This Row],[DESTINO]],RUBRO!$Q$1:$R$9996,2,FALSE)," ")</f>
        <v>OBRA</v>
      </c>
      <c r="C57" s="104">
        <f>WEEKNUM(Tabla1[[#This Row],[FECHA ]],2)</f>
        <v>19</v>
      </c>
      <c r="D57" s="104" t="str">
        <f>TEXT(Tabla1[[#This Row],[FECHA ]],"MMM-YY")</f>
        <v>may-YY</v>
      </c>
      <c r="E57" s="104" t="str">
        <f>VLOOKUP(Tabla1[[#This Row],[DNI ]],RUBRO!$F$1:$O$9996,7,FALSE)</f>
        <v>5ta</v>
      </c>
      <c r="F57" s="104" t="e">
        <f>VLOOKUP(Tabla1[[#This Row],[DNI ]],RUBRO!$F$1:$O$88,3,FALSE)</f>
        <v>#N/A</v>
      </c>
      <c r="G57" s="104" t="str">
        <f>VLOOKUP(Tabla1[[#This Row],[DNI ]],RUBRO!$F$1:$O$9996,5,FALSE)</f>
        <v xml:space="preserve">PRACTICANTE </v>
      </c>
      <c r="H57" s="66" t="str">
        <f>VLOOKUP(Tabla1[[#This Row],[DNI ]],RUBRO!$F$1:$O$9996,6,FALSE)</f>
        <v>VASQUEZ CHUPILLON KEVIN</v>
      </c>
      <c r="I57" s="94">
        <v>44323</v>
      </c>
      <c r="J57" s="10">
        <v>2</v>
      </c>
      <c r="K57" s="2">
        <v>72814417</v>
      </c>
      <c r="L57" s="4">
        <f>VLOOKUP(Tabla1[[#This Row],[DNI ]],RUBRO!$F$2:$O$9996,8,FALSE)</f>
        <v>35.76</v>
      </c>
      <c r="M57" s="88">
        <v>0.29166666666666669</v>
      </c>
      <c r="N57" s="28">
        <v>0.54166666666666663</v>
      </c>
      <c r="O57" s="28">
        <v>0.58333333333333337</v>
      </c>
      <c r="P57" s="28">
        <v>0.83333333333333337</v>
      </c>
      <c r="Q57" s="31">
        <f>(Tabla1[[#This Row],[SALIDA]]-Tabla1[[#This Row],[FIN ]])+(Tabla1[[#This Row],[INICIO]]-Tabla1[[#This Row],[INGRESO]])</f>
        <v>0.49999999999999994</v>
      </c>
      <c r="R57" s="13">
        <f t="shared" si="0"/>
        <v>0.33333333333333331</v>
      </c>
      <c r="S57" s="31">
        <f t="shared" si="1"/>
        <v>0.16666666666666663</v>
      </c>
      <c r="T57" s="136"/>
      <c r="U57" s="136"/>
      <c r="V57" s="137">
        <f>(Tabla1[[#This Row],[COS.BASE 3]]*0.25+Tabla1[[#This Row],[COS.BASE 3]])*Tabla1[[#This Row],[HORAS 25 % ]]</f>
        <v>0</v>
      </c>
      <c r="W57" s="138">
        <f>(Tabla1[[#This Row],[COS.BASE 3]]*0.35+Tabla1[[#This Row],[COS.BASE 3]])*Tabla1[[#This Row],[HORAS 35% ]]</f>
        <v>0</v>
      </c>
      <c r="X57" s="138">
        <f>SUM(Tabla1[[#This Row],[C.HORA.35]],Tabla1[[#This Row],[C.HORA.25]])</f>
        <v>0</v>
      </c>
      <c r="Y57" s="4"/>
      <c r="Z57" s="10">
        <f>Tabla1[[#This Row],[T.HORAS]]*24</f>
        <v>11.999999999999998</v>
      </c>
      <c r="AA57" s="4">
        <f>Tabla1[[#This Row],[H.NORMALES]]*24</f>
        <v>8</v>
      </c>
      <c r="AB57" s="10">
        <f>Tabla1[[#This Row],[H.EXTRAS]]*24</f>
        <v>3.9999999999999991</v>
      </c>
      <c r="AC57" s="105">
        <f t="shared" si="2"/>
        <v>35.76</v>
      </c>
      <c r="AD57" s="120">
        <f>Tabla1[[#This Row],[COS.BASE 2]]/8</f>
        <v>4.47</v>
      </c>
      <c r="AE57" s="105">
        <f>Tabla1[[#This Row],[CST_H_E]]+Tabla1[[#This Row],[COS.BASE 2]]</f>
        <v>35.76</v>
      </c>
      <c r="AF57" s="106">
        <f>+_xlfn.IFNA(INDEX(RUBRO!$W$2:$AA$732,MATCH(Tabla1[[#This Row],[FECHA ]],RUBRO!$W$2:$W$732,0),5)," ")</f>
        <v>0</v>
      </c>
      <c r="AG57" s="10">
        <f>+_xlfn.IFNA(INDEX(RUBRO!$W$2:$AA$732,MATCH(Tabla1[[#This Row],[FECHA ]],RUBRO!$W$2:$W$732,0),2)," ")</f>
        <v>0</v>
      </c>
      <c r="AH57" s="40">
        <f>IFERROR(Tabla1[[#This Row],[F]]*Tabla1[[#This Row],[COS.B+E]]," ")</f>
        <v>0</v>
      </c>
      <c r="AI57" s="40">
        <f>IFERROR(Tabla1[[#This Row],[COS.B+E]]*Tabla1[[#This Row],[D]]," ")</f>
        <v>0</v>
      </c>
      <c r="AJ57" s="40" t="str">
        <f>IFERROR(Tabla1[[#This Row],[F]]*#REF!," ")</f>
        <v xml:space="preserve"> </v>
      </c>
      <c r="AK57" s="40" t="str">
        <f>IFERROR(#REF!*Tabla1[[#This Row],[D]]," ")</f>
        <v xml:space="preserve"> </v>
      </c>
      <c r="AL57" s="103"/>
      <c r="AM57" s="103"/>
      <c r="AN57" s="103"/>
      <c r="AO57" s="38">
        <f>+Tabla1[[#This Row],[COS.B+E]]+Tabla1[[#This Row],[COS.F1]]+Tabla1[[#This Row],[COS.D1]]+Tabla1[[#This Row],[ALIMENTACION]]+Tabla1[[#This Row],[PRESTAMO]]+AN57</f>
        <v>35.76</v>
      </c>
      <c r="AP57" s="38" t="e">
        <f>+#REF!+Tabla1[[#This Row],[COS F2]]+Tabla1[[#This Row],[COS D2]]+Tabla1[[#This Row],[ALIMENTACION]]+Tabla1[[#This Row],[PRESTAMO]]+Tabla1[[#This Row],[PASAJES]]</f>
        <v>#REF!</v>
      </c>
    </row>
    <row r="58" spans="1:42" x14ac:dyDescent="0.25">
      <c r="A58" s="2" t="str">
        <f>TEXT(Tabla1[[#This Row],[FECHA ]],"DDDDD")</f>
        <v>viernes</v>
      </c>
      <c r="B58" s="2" t="str">
        <f>_xlfn.IFNA(VLOOKUP(Tabla1[[#This Row],[DESTINO]],RUBRO!$Q$1:$R$9996,2,FALSE)," ")</f>
        <v>OBRA</v>
      </c>
      <c r="C58" s="104">
        <f>WEEKNUM(Tabla1[[#This Row],[FECHA ]],2)</f>
        <v>19</v>
      </c>
      <c r="D58" s="104" t="str">
        <f>TEXT(Tabla1[[#This Row],[FECHA ]],"MMM-YY")</f>
        <v>may-YY</v>
      </c>
      <c r="E58" s="104" t="str">
        <f>VLOOKUP(Tabla1[[#This Row],[DNI ]],RUBRO!$F$1:$O$9996,7,FALSE)</f>
        <v>5ta</v>
      </c>
      <c r="F58" s="104" t="str">
        <f>VLOOKUP(Tabla1[[#This Row],[DNI ]],RUBRO!$F$1:$O$88,3,FALSE)</f>
        <v>MEC-04</v>
      </c>
      <c r="G58" s="104" t="str">
        <f>VLOOKUP(Tabla1[[#This Row],[DNI ]],RUBRO!$F$1:$O$9996,5,FALSE)</f>
        <v>MECANICO MONTAJISTA DE MAQUINARIA EXTRANJERA</v>
      </c>
      <c r="H58" s="66" t="str">
        <f>VLOOKUP(Tabla1[[#This Row],[DNI ]],RUBRO!$F$1:$O$9996,6,FALSE)</f>
        <v>VASQUEZ GAMBOA JUAN JOSE</v>
      </c>
      <c r="I58" s="94">
        <v>44323</v>
      </c>
      <c r="J58" s="10">
        <v>2</v>
      </c>
      <c r="K58" s="2">
        <v>45416906</v>
      </c>
      <c r="L58" s="4">
        <f>VLOOKUP(Tabla1[[#This Row],[DNI ]],RUBRO!$F$2:$O$9996,8,FALSE)</f>
        <v>87</v>
      </c>
      <c r="M58" s="88">
        <v>0.29166666666666669</v>
      </c>
      <c r="N58" s="28">
        <v>0.54166666666666663</v>
      </c>
      <c r="O58" s="28">
        <v>0.58333333333333337</v>
      </c>
      <c r="P58" s="28">
        <v>0.75</v>
      </c>
      <c r="Q58" s="31">
        <f>(Tabla1[[#This Row],[SALIDA]]-Tabla1[[#This Row],[FIN ]])+(Tabla1[[#This Row],[INICIO]]-Tabla1[[#This Row],[INGRESO]])</f>
        <v>0.41666666666666657</v>
      </c>
      <c r="R58" s="13">
        <f t="shared" si="0"/>
        <v>0.33333333333333331</v>
      </c>
      <c r="S58" s="31">
        <f t="shared" si="1"/>
        <v>8.3333333333333259E-2</v>
      </c>
      <c r="T58" s="136"/>
      <c r="U58" s="136"/>
      <c r="V58" s="137">
        <f>(Tabla1[[#This Row],[COS.BASE 3]]*0.25+Tabla1[[#This Row],[COS.BASE 3]])*Tabla1[[#This Row],[HORAS 25 % ]]</f>
        <v>0</v>
      </c>
      <c r="W58" s="138">
        <f>(Tabla1[[#This Row],[COS.BASE 3]]*0.35+Tabla1[[#This Row],[COS.BASE 3]])*Tabla1[[#This Row],[HORAS 35% ]]</f>
        <v>0</v>
      </c>
      <c r="X58" s="138">
        <f>SUM(Tabla1[[#This Row],[C.HORA.35]],Tabla1[[#This Row],[C.HORA.25]])</f>
        <v>0</v>
      </c>
      <c r="Y58" s="4"/>
      <c r="Z58" s="10">
        <f>Tabla1[[#This Row],[T.HORAS]]*24</f>
        <v>9.9999999999999982</v>
      </c>
      <c r="AA58" s="4">
        <f>Tabla1[[#This Row],[H.NORMALES]]*24</f>
        <v>8</v>
      </c>
      <c r="AB58" s="10">
        <f>Tabla1[[#This Row],[H.EXTRAS]]*24</f>
        <v>1.9999999999999982</v>
      </c>
      <c r="AC58" s="105">
        <f t="shared" si="2"/>
        <v>87</v>
      </c>
      <c r="AD58" s="120">
        <f>Tabla1[[#This Row],[COS.BASE 2]]/8</f>
        <v>10.875</v>
      </c>
      <c r="AE58" s="105">
        <f>Tabla1[[#This Row],[CST_H_E]]+Tabla1[[#This Row],[COS.BASE 2]]</f>
        <v>87</v>
      </c>
      <c r="AF58" s="106">
        <f>+_xlfn.IFNA(INDEX(RUBRO!$W$2:$AA$732,MATCH(Tabla1[[#This Row],[FECHA ]],RUBRO!$W$2:$W$732,0),5)," ")</f>
        <v>0</v>
      </c>
      <c r="AG58" s="10">
        <f>+_xlfn.IFNA(INDEX(RUBRO!$W$2:$AA$732,MATCH(Tabla1[[#This Row],[FECHA ]],RUBRO!$W$2:$W$732,0),2)," ")</f>
        <v>0</v>
      </c>
      <c r="AH58" s="40">
        <f>IFERROR(Tabla1[[#This Row],[F]]*Tabla1[[#This Row],[COS.B+E]]," ")</f>
        <v>0</v>
      </c>
      <c r="AI58" s="40">
        <f>IFERROR(Tabla1[[#This Row],[COS.B+E]]*Tabla1[[#This Row],[D]]," ")</f>
        <v>0</v>
      </c>
      <c r="AJ58" s="40" t="str">
        <f>IFERROR(Tabla1[[#This Row],[F]]*#REF!," ")</f>
        <v xml:space="preserve"> </v>
      </c>
      <c r="AK58" s="40" t="str">
        <f>IFERROR(#REF!*Tabla1[[#This Row],[D]]," ")</f>
        <v xml:space="preserve"> </v>
      </c>
      <c r="AL58" s="103"/>
      <c r="AM58" s="103"/>
      <c r="AN58" s="103"/>
      <c r="AO58" s="38">
        <f>+Tabla1[[#This Row],[COS.B+E]]+Tabla1[[#This Row],[COS.F1]]+Tabla1[[#This Row],[COS.D1]]+Tabla1[[#This Row],[ALIMENTACION]]+Tabla1[[#This Row],[PRESTAMO]]+AN58</f>
        <v>87</v>
      </c>
      <c r="AP58" s="38" t="e">
        <f>+#REF!+Tabla1[[#This Row],[COS F2]]+Tabla1[[#This Row],[COS D2]]+Tabla1[[#This Row],[ALIMENTACION]]+Tabla1[[#This Row],[PRESTAMO]]+Tabla1[[#This Row],[PASAJES]]</f>
        <v>#REF!</v>
      </c>
    </row>
    <row r="59" spans="1:42" x14ac:dyDescent="0.25">
      <c r="A59" s="2" t="str">
        <f>TEXT(Tabla1[[#This Row],[FECHA ]],"DDDDD")</f>
        <v>viernes</v>
      </c>
      <c r="B59" s="2" t="str">
        <f>_xlfn.IFNA(VLOOKUP(Tabla1[[#This Row],[DESTINO]],RUBRO!$Q$1:$R$9996,2,FALSE)," ")</f>
        <v>OBRA</v>
      </c>
      <c r="C59" s="104">
        <f>WEEKNUM(Tabla1[[#This Row],[FECHA ]],2)</f>
        <v>19</v>
      </c>
      <c r="D59" s="104" t="str">
        <f>TEXT(Tabla1[[#This Row],[FECHA ]],"MMM-YY")</f>
        <v>may-YY</v>
      </c>
      <c r="E59" s="104" t="str">
        <f>VLOOKUP(Tabla1[[#This Row],[DNI ]],RUBRO!$F$1:$O$9996,7,FALSE)</f>
        <v>5ta</v>
      </c>
      <c r="F59" s="104" t="str">
        <f>VLOOKUP(Tabla1[[#This Row],[DNI ]],RUBRO!$F$1:$O$88,3,FALSE)</f>
        <v>TEC-04</v>
      </c>
      <c r="G59" s="104" t="str">
        <f>VLOOKUP(Tabla1[[#This Row],[DNI ]],RUBRO!$F$1:$O$9996,5,FALSE)</f>
        <v>TECNICO MECANICO MONTAJISTA DE MAQUINARIA EXTRANJERA</v>
      </c>
      <c r="H59" s="66" t="str">
        <f>VLOOKUP(Tabla1[[#This Row],[DNI ]],RUBRO!$F$1:$O$9996,6,FALSE)</f>
        <v>VASQUEZ TARRILLO LUIS</v>
      </c>
      <c r="I59" s="94">
        <v>44323</v>
      </c>
      <c r="J59" s="10">
        <v>2</v>
      </c>
      <c r="K59" s="2">
        <v>44044783</v>
      </c>
      <c r="L59" s="4">
        <f>VLOOKUP(Tabla1[[#This Row],[DNI ]],RUBRO!$F$2:$O$9996,8,FALSE)</f>
        <v>70.92</v>
      </c>
      <c r="M59" s="88">
        <v>0.29166666666666669</v>
      </c>
      <c r="N59" s="28">
        <v>0.54166666666666663</v>
      </c>
      <c r="O59" s="28">
        <v>0.58333333333333337</v>
      </c>
      <c r="P59" s="28">
        <v>0.83333333333333337</v>
      </c>
      <c r="Q59" s="31">
        <f>(Tabla1[[#This Row],[SALIDA]]-Tabla1[[#This Row],[FIN ]])+(Tabla1[[#This Row],[INICIO]]-Tabla1[[#This Row],[INGRESO]])</f>
        <v>0.49999999999999994</v>
      </c>
      <c r="R59" s="13">
        <f t="shared" si="0"/>
        <v>0.33333333333333331</v>
      </c>
      <c r="S59" s="31">
        <f t="shared" si="1"/>
        <v>0.16666666666666663</v>
      </c>
      <c r="T59" s="136"/>
      <c r="U59" s="136"/>
      <c r="V59" s="137">
        <f>(Tabla1[[#This Row],[COS.BASE 3]]*0.25+Tabla1[[#This Row],[COS.BASE 3]])*Tabla1[[#This Row],[HORAS 25 % ]]</f>
        <v>0</v>
      </c>
      <c r="W59" s="138">
        <f>(Tabla1[[#This Row],[COS.BASE 3]]*0.35+Tabla1[[#This Row],[COS.BASE 3]])*Tabla1[[#This Row],[HORAS 35% ]]</f>
        <v>0</v>
      </c>
      <c r="X59" s="138">
        <f>SUM(Tabla1[[#This Row],[C.HORA.35]],Tabla1[[#This Row],[C.HORA.25]])</f>
        <v>0</v>
      </c>
      <c r="Y59" s="4"/>
      <c r="Z59" s="10">
        <f>Tabla1[[#This Row],[T.HORAS]]*24</f>
        <v>11.999999999999998</v>
      </c>
      <c r="AA59" s="4">
        <f>Tabla1[[#This Row],[H.NORMALES]]*24</f>
        <v>8</v>
      </c>
      <c r="AB59" s="10">
        <f>Tabla1[[#This Row],[H.EXTRAS]]*24</f>
        <v>3.9999999999999991</v>
      </c>
      <c r="AC59" s="105">
        <f t="shared" si="2"/>
        <v>70.92</v>
      </c>
      <c r="AD59" s="120">
        <f>Tabla1[[#This Row],[COS.BASE 2]]/8</f>
        <v>8.8650000000000002</v>
      </c>
      <c r="AE59" s="105">
        <f>Tabla1[[#This Row],[CST_H_E]]+Tabla1[[#This Row],[COS.BASE 2]]</f>
        <v>70.92</v>
      </c>
      <c r="AF59" s="106">
        <f>+_xlfn.IFNA(INDEX(RUBRO!$W$2:$AA$732,MATCH(Tabla1[[#This Row],[FECHA ]],RUBRO!$W$2:$W$732,0),5)," ")</f>
        <v>0</v>
      </c>
      <c r="AG59" s="10">
        <f>+_xlfn.IFNA(INDEX(RUBRO!$W$2:$AA$732,MATCH(Tabla1[[#This Row],[FECHA ]],RUBRO!$W$2:$W$732,0),2)," ")</f>
        <v>0</v>
      </c>
      <c r="AH59" s="40">
        <f>IFERROR(Tabla1[[#This Row],[F]]*Tabla1[[#This Row],[COS.B+E]]," ")</f>
        <v>0</v>
      </c>
      <c r="AI59" s="40">
        <f>IFERROR(Tabla1[[#This Row],[COS.B+E]]*Tabla1[[#This Row],[D]]," ")</f>
        <v>0</v>
      </c>
      <c r="AJ59" s="40" t="str">
        <f>IFERROR(Tabla1[[#This Row],[F]]*#REF!," ")</f>
        <v xml:space="preserve"> </v>
      </c>
      <c r="AK59" s="40" t="str">
        <f>IFERROR(#REF!*Tabla1[[#This Row],[D]]," ")</f>
        <v xml:space="preserve"> </v>
      </c>
      <c r="AL59" s="103"/>
      <c r="AM59" s="103"/>
      <c r="AN59" s="103"/>
      <c r="AO59" s="38">
        <f>+Tabla1[[#This Row],[COS.B+E]]+Tabla1[[#This Row],[COS.F1]]+Tabla1[[#This Row],[COS.D1]]+Tabla1[[#This Row],[ALIMENTACION]]+Tabla1[[#This Row],[PRESTAMO]]+AN59</f>
        <v>70.92</v>
      </c>
      <c r="AP59" s="38" t="e">
        <f>+#REF!+Tabla1[[#This Row],[COS F2]]+Tabla1[[#This Row],[COS D2]]+Tabla1[[#This Row],[ALIMENTACION]]+Tabla1[[#This Row],[PRESTAMO]]+Tabla1[[#This Row],[PASAJES]]</f>
        <v>#REF!</v>
      </c>
    </row>
    <row r="60" spans="1:42" x14ac:dyDescent="0.25">
      <c r="A60" s="2" t="str">
        <f>TEXT(Tabla1[[#This Row],[FECHA ]],"DDDDD")</f>
        <v>viernes</v>
      </c>
      <c r="B60" s="2" t="str">
        <f>_xlfn.IFNA(VLOOKUP(Tabla1[[#This Row],[DESTINO]],RUBRO!$Q$1:$R$9996,2,FALSE)," ")</f>
        <v>OBRA</v>
      </c>
      <c r="C60" s="104">
        <f>WEEKNUM(Tabla1[[#This Row],[FECHA ]],2)</f>
        <v>19</v>
      </c>
      <c r="D60" s="104" t="str">
        <f>TEXT(Tabla1[[#This Row],[FECHA ]],"MMM-YY")</f>
        <v>may-YY</v>
      </c>
      <c r="E60" s="104" t="str">
        <f>VLOOKUP(Tabla1[[#This Row],[DNI ]],RUBRO!$F$1:$O$9996,7,FALSE)</f>
        <v>5ta</v>
      </c>
      <c r="F60" s="104" t="str">
        <f>VLOOKUP(Tabla1[[#This Row],[DNI ]],RUBRO!$F$1:$O$88,3,FALSE)</f>
        <v>MAEME-03</v>
      </c>
      <c r="G60" s="104" t="str">
        <f>VLOOKUP(Tabla1[[#This Row],[DNI ]],RUBRO!$F$1:$O$9996,5,FALSE)</f>
        <v>MAESTRO ELECTRICO MONTAJISTA DE MAQUINARIA EXTRANJERA</v>
      </c>
      <c r="H60" s="66" t="str">
        <f>VLOOKUP(Tabla1[[#This Row],[DNI ]],RUBRO!$F$1:$O$9996,6,FALSE)</f>
        <v xml:space="preserve">VELASQUEZ LIZA JOSE ROGELIO </v>
      </c>
      <c r="I60" s="94">
        <v>44323</v>
      </c>
      <c r="J60" s="10">
        <v>2</v>
      </c>
      <c r="K60" s="2">
        <v>44685832</v>
      </c>
      <c r="L60" s="4">
        <f>VLOOKUP(Tabla1[[#This Row],[DNI ]],RUBRO!$F$2:$O$9996,8,FALSE)</f>
        <v>88.47</v>
      </c>
      <c r="M60" s="88">
        <v>0.29166666666666669</v>
      </c>
      <c r="N60" s="28">
        <v>0.54166666666666663</v>
      </c>
      <c r="O60" s="28">
        <v>0.58333333333333337</v>
      </c>
      <c r="P60" s="28">
        <v>0.75</v>
      </c>
      <c r="Q60" s="31">
        <f>(Tabla1[[#This Row],[SALIDA]]-Tabla1[[#This Row],[FIN ]])+(Tabla1[[#This Row],[INICIO]]-Tabla1[[#This Row],[INGRESO]])</f>
        <v>0.41666666666666657</v>
      </c>
      <c r="R60" s="13">
        <f t="shared" si="0"/>
        <v>0.33333333333333331</v>
      </c>
      <c r="S60" s="31">
        <f t="shared" si="1"/>
        <v>8.3333333333333259E-2</v>
      </c>
      <c r="T60" s="136"/>
      <c r="U60" s="136"/>
      <c r="V60" s="137">
        <f>(Tabla1[[#This Row],[COS.BASE 3]]*0.25+Tabla1[[#This Row],[COS.BASE 3]])*Tabla1[[#This Row],[HORAS 25 % ]]</f>
        <v>0</v>
      </c>
      <c r="W60" s="138">
        <f>(Tabla1[[#This Row],[COS.BASE 3]]*0.35+Tabla1[[#This Row],[COS.BASE 3]])*Tabla1[[#This Row],[HORAS 35% ]]</f>
        <v>0</v>
      </c>
      <c r="X60" s="138">
        <f>SUM(Tabla1[[#This Row],[C.HORA.35]],Tabla1[[#This Row],[C.HORA.25]])</f>
        <v>0</v>
      </c>
      <c r="Y60" s="4"/>
      <c r="Z60" s="10">
        <f>Tabla1[[#This Row],[T.HORAS]]*24</f>
        <v>9.9999999999999982</v>
      </c>
      <c r="AA60" s="4">
        <f>Tabla1[[#This Row],[H.NORMALES]]*24</f>
        <v>8</v>
      </c>
      <c r="AB60" s="10">
        <f>Tabla1[[#This Row],[H.EXTRAS]]*24</f>
        <v>1.9999999999999982</v>
      </c>
      <c r="AC60" s="105">
        <f t="shared" si="2"/>
        <v>88.47</v>
      </c>
      <c r="AD60" s="120">
        <f>Tabla1[[#This Row],[COS.BASE 2]]/8</f>
        <v>11.05875</v>
      </c>
      <c r="AE60" s="105">
        <f>Tabla1[[#This Row],[CST_H_E]]+Tabla1[[#This Row],[COS.BASE 2]]</f>
        <v>88.47</v>
      </c>
      <c r="AF60" s="106">
        <f>+_xlfn.IFNA(INDEX(RUBRO!$W$2:$AA$732,MATCH(Tabla1[[#This Row],[FECHA ]],RUBRO!$W$2:$W$732,0),5)," ")</f>
        <v>0</v>
      </c>
      <c r="AG60" s="10">
        <f>+_xlfn.IFNA(INDEX(RUBRO!$W$2:$AA$732,MATCH(Tabla1[[#This Row],[FECHA ]],RUBRO!$W$2:$W$732,0),2)," ")</f>
        <v>0</v>
      </c>
      <c r="AH60" s="40">
        <f>IFERROR(Tabla1[[#This Row],[F]]*Tabla1[[#This Row],[COS.B+E]]," ")</f>
        <v>0</v>
      </c>
      <c r="AI60" s="40">
        <f>IFERROR(Tabla1[[#This Row],[COS.B+E]]*Tabla1[[#This Row],[D]]," ")</f>
        <v>0</v>
      </c>
      <c r="AJ60" s="40" t="str">
        <f>IFERROR(Tabla1[[#This Row],[F]]*#REF!," ")</f>
        <v xml:space="preserve"> </v>
      </c>
      <c r="AK60" s="40" t="str">
        <f>IFERROR(#REF!*Tabla1[[#This Row],[D]]," ")</f>
        <v xml:space="preserve"> </v>
      </c>
      <c r="AL60" s="103"/>
      <c r="AM60" s="103"/>
      <c r="AN60" s="103"/>
      <c r="AO60" s="38">
        <f>+Tabla1[[#This Row],[COS.B+E]]+Tabla1[[#This Row],[COS.F1]]+Tabla1[[#This Row],[COS.D1]]+Tabla1[[#This Row],[ALIMENTACION]]+Tabla1[[#This Row],[PRESTAMO]]+AN60</f>
        <v>88.47</v>
      </c>
      <c r="AP60" s="38" t="e">
        <f>+#REF!+Tabla1[[#This Row],[COS F2]]+Tabla1[[#This Row],[COS D2]]+Tabla1[[#This Row],[ALIMENTACION]]+Tabla1[[#This Row],[PRESTAMO]]+Tabla1[[#This Row],[PASAJES]]</f>
        <v>#REF!</v>
      </c>
    </row>
    <row r="61" spans="1:42" x14ac:dyDescent="0.25">
      <c r="A61" s="2" t="str">
        <f>TEXT(Tabla1[[#This Row],[FECHA ]],"DDDDD")</f>
        <v>viernes</v>
      </c>
      <c r="B61" s="2" t="str">
        <f>_xlfn.IFNA(VLOOKUP(Tabla1[[#This Row],[DESTINO]],RUBRO!$Q$1:$R$9996,2,FALSE)," ")</f>
        <v>PLANTA</v>
      </c>
      <c r="C61" s="104">
        <f>WEEKNUM(Tabla1[[#This Row],[FECHA ]],2)</f>
        <v>19</v>
      </c>
      <c r="D61" s="104" t="str">
        <f>TEXT(Tabla1[[#This Row],[FECHA ]],"MMM-YY")</f>
        <v>may-YY</v>
      </c>
      <c r="E61" s="104" t="str">
        <f>VLOOKUP(Tabla1[[#This Row],[DNI ]],RUBRO!$F$1:$O$9996,7,FALSE)</f>
        <v>5ta</v>
      </c>
      <c r="F61" s="104" t="str">
        <f>VLOOKUP(Tabla1[[#This Row],[DNI ]],RUBRO!$F$1:$O$88,3,FALSE)</f>
        <v>TEC-05</v>
      </c>
      <c r="G61" s="104" t="str">
        <f>VLOOKUP(Tabla1[[#This Row],[DNI ]],RUBRO!$F$1:$O$9996,5,FALSE)</f>
        <v>TECNICO MECANICO MONTAJISTA DE NAVE INDUSTRIAL</v>
      </c>
      <c r="H61" s="66" t="str">
        <f>VLOOKUP(Tabla1[[#This Row],[DNI ]],RUBRO!$F$1:$O$9996,6,FALSE)</f>
        <v>VENTURA CUBAS ALEXANDER JOHAN</v>
      </c>
      <c r="I61" s="94">
        <v>44323</v>
      </c>
      <c r="J61" s="10">
        <v>1</v>
      </c>
      <c r="K61" s="2">
        <v>47749907</v>
      </c>
      <c r="L61" s="4">
        <f>VLOOKUP(Tabla1[[#This Row],[DNI ]],RUBRO!$F$2:$O$9996,8,FALSE)</f>
        <v>80</v>
      </c>
      <c r="M61" s="88">
        <v>0.29166666666666669</v>
      </c>
      <c r="N61" s="28">
        <v>0.54166666666666663</v>
      </c>
      <c r="O61" s="28">
        <v>0.58333333333333337</v>
      </c>
      <c r="P61" s="28">
        <v>0.75</v>
      </c>
      <c r="Q61" s="31">
        <f>(Tabla1[[#This Row],[SALIDA]]-Tabla1[[#This Row],[FIN ]])+(Tabla1[[#This Row],[INICIO]]-Tabla1[[#This Row],[INGRESO]])</f>
        <v>0.41666666666666657</v>
      </c>
      <c r="R61" s="13">
        <f t="shared" si="0"/>
        <v>0.375</v>
      </c>
      <c r="S61" s="31">
        <f t="shared" si="1"/>
        <v>4.1666666666666574E-2</v>
      </c>
      <c r="T61" s="136"/>
      <c r="U61" s="136"/>
      <c r="V61" s="137">
        <f>(Tabla1[[#This Row],[COS.BASE 3]]*0.25+Tabla1[[#This Row],[COS.BASE 3]])*Tabla1[[#This Row],[HORAS 25 % ]]</f>
        <v>0</v>
      </c>
      <c r="W61" s="138">
        <f>(Tabla1[[#This Row],[COS.BASE 3]]*0.35+Tabla1[[#This Row],[COS.BASE 3]])*Tabla1[[#This Row],[HORAS 35% ]]</f>
        <v>0</v>
      </c>
      <c r="X61" s="138">
        <f>SUM(Tabla1[[#This Row],[C.HORA.35]],Tabla1[[#This Row],[C.HORA.25]])</f>
        <v>0</v>
      </c>
      <c r="Y61" s="4"/>
      <c r="Z61" s="10">
        <f>Tabla1[[#This Row],[T.HORAS]]*24</f>
        <v>9.9999999999999982</v>
      </c>
      <c r="AA61" s="4">
        <f>Tabla1[[#This Row],[H.NORMALES]]*24</f>
        <v>9</v>
      </c>
      <c r="AB61" s="10">
        <f>Tabla1[[#This Row],[H.EXTRAS]]*24</f>
        <v>0.99999999999999778</v>
      </c>
      <c r="AC61" s="105">
        <f t="shared" si="2"/>
        <v>80</v>
      </c>
      <c r="AD61" s="120">
        <f>Tabla1[[#This Row],[COS.BASE 2]]/8</f>
        <v>10</v>
      </c>
      <c r="AE61" s="105">
        <f>Tabla1[[#This Row],[CST_H_E]]+Tabla1[[#This Row],[COS.BASE 2]]</f>
        <v>80</v>
      </c>
      <c r="AF61" s="106">
        <f>+_xlfn.IFNA(INDEX(RUBRO!$W$2:$AA$732,MATCH(Tabla1[[#This Row],[FECHA ]],RUBRO!$W$2:$W$732,0),5)," ")</f>
        <v>0</v>
      </c>
      <c r="AG61" s="10">
        <f>+_xlfn.IFNA(INDEX(RUBRO!$W$2:$AA$732,MATCH(Tabla1[[#This Row],[FECHA ]],RUBRO!$W$2:$W$732,0),2)," ")</f>
        <v>0</v>
      </c>
      <c r="AH61" s="40">
        <f>IFERROR(Tabla1[[#This Row],[F]]*Tabla1[[#This Row],[COS.B+E]]," ")</f>
        <v>0</v>
      </c>
      <c r="AI61" s="40">
        <f>IFERROR(Tabla1[[#This Row],[COS.B+E]]*Tabla1[[#This Row],[D]]," ")</f>
        <v>0</v>
      </c>
      <c r="AJ61" s="40" t="str">
        <f>IFERROR(Tabla1[[#This Row],[F]]*#REF!," ")</f>
        <v xml:space="preserve"> </v>
      </c>
      <c r="AK61" s="40" t="str">
        <f>IFERROR(#REF!*Tabla1[[#This Row],[D]]," ")</f>
        <v xml:space="preserve"> </v>
      </c>
      <c r="AL61" s="103"/>
      <c r="AM61" s="103"/>
      <c r="AN61" s="103"/>
      <c r="AO61" s="38">
        <f>+Tabla1[[#This Row],[COS.B+E]]+Tabla1[[#This Row],[COS.F1]]+Tabla1[[#This Row],[COS.D1]]+Tabla1[[#This Row],[ALIMENTACION]]+Tabla1[[#This Row],[PRESTAMO]]+AN61</f>
        <v>80</v>
      </c>
      <c r="AP61" s="38" t="e">
        <f>+#REF!+Tabla1[[#This Row],[COS F2]]+Tabla1[[#This Row],[COS D2]]+Tabla1[[#This Row],[ALIMENTACION]]+Tabla1[[#This Row],[PRESTAMO]]+Tabla1[[#This Row],[PASAJES]]</f>
        <v>#REF!</v>
      </c>
    </row>
    <row r="62" spans="1:42" x14ac:dyDescent="0.25">
      <c r="A62" s="2" t="str">
        <f>TEXT(Tabla1[[#This Row],[FECHA ]],"DDDDD")</f>
        <v>viernes</v>
      </c>
      <c r="B62" s="2" t="str">
        <f>_xlfn.IFNA(VLOOKUP(Tabla1[[#This Row],[DESTINO]],RUBRO!$Q$1:$R$9996,2,FALSE)," ")</f>
        <v>OBRA</v>
      </c>
      <c r="C62" s="104">
        <f>WEEKNUM(Tabla1[[#This Row],[FECHA ]],2)</f>
        <v>19</v>
      </c>
      <c r="D62" s="104" t="str">
        <f>TEXT(Tabla1[[#This Row],[FECHA ]],"MMM-YY")</f>
        <v>may-YY</v>
      </c>
      <c r="E62" s="104" t="str">
        <f>VLOOKUP(Tabla1[[#This Row],[DNI ]],RUBRO!$F$1:$O$9996,7,FALSE)</f>
        <v>5ta</v>
      </c>
      <c r="F62" s="104" t="str">
        <f>VLOOKUP(Tabla1[[#This Row],[DNI ]],RUBRO!$F$1:$O$88,3,FALSE)</f>
        <v>MAE-08</v>
      </c>
      <c r="G62" s="104" t="str">
        <f>VLOOKUP(Tabla1[[#This Row],[DNI ]],RUBRO!$F$1:$O$9996,5,FALSE)</f>
        <v>MAESTRO PINTOR</v>
      </c>
      <c r="H62" s="66" t="str">
        <f>VLOOKUP(Tabla1[[#This Row],[DNI ]],RUBRO!$F$1:$O$9996,6,FALSE)</f>
        <v>ZETA DELGADO DERWIS YENNER</v>
      </c>
      <c r="I62" s="94">
        <v>44323</v>
      </c>
      <c r="J62" s="10">
        <v>2</v>
      </c>
      <c r="K62" s="2">
        <v>46859101</v>
      </c>
      <c r="L62" s="4">
        <f>VLOOKUP(Tabla1[[#This Row],[DNI ]],RUBRO!$F$2:$O$9996,8,FALSE)</f>
        <v>70</v>
      </c>
      <c r="M62" s="88">
        <v>0.29166666666666669</v>
      </c>
      <c r="N62" s="28">
        <v>0.54166666666666663</v>
      </c>
      <c r="O62" s="28">
        <v>0.58333333333333337</v>
      </c>
      <c r="P62" s="28">
        <v>0.75</v>
      </c>
      <c r="Q62" s="31">
        <f>(Tabla1[[#This Row],[SALIDA]]-Tabla1[[#This Row],[FIN ]])+(Tabla1[[#This Row],[INICIO]]-Tabla1[[#This Row],[INGRESO]])</f>
        <v>0.41666666666666657</v>
      </c>
      <c r="R62" s="13">
        <f t="shared" si="0"/>
        <v>0.33333333333333331</v>
      </c>
      <c r="S62" s="31">
        <f t="shared" si="1"/>
        <v>8.3333333333333259E-2</v>
      </c>
      <c r="T62" s="136"/>
      <c r="U62" s="136"/>
      <c r="V62" s="137">
        <f>(Tabla1[[#This Row],[COS.BASE 3]]*0.25+Tabla1[[#This Row],[COS.BASE 3]])*Tabla1[[#This Row],[HORAS 25 % ]]</f>
        <v>0</v>
      </c>
      <c r="W62" s="138">
        <f>(Tabla1[[#This Row],[COS.BASE 3]]*0.35+Tabla1[[#This Row],[COS.BASE 3]])*Tabla1[[#This Row],[HORAS 35% ]]</f>
        <v>0</v>
      </c>
      <c r="X62" s="138">
        <f>SUM(Tabla1[[#This Row],[C.HORA.35]],Tabla1[[#This Row],[C.HORA.25]])</f>
        <v>0</v>
      </c>
      <c r="Y62" s="4"/>
      <c r="Z62" s="10">
        <f>Tabla1[[#This Row],[T.HORAS]]*24</f>
        <v>9.9999999999999982</v>
      </c>
      <c r="AA62" s="4">
        <f>Tabla1[[#This Row],[H.NORMALES]]*24</f>
        <v>8</v>
      </c>
      <c r="AB62" s="10">
        <f>Tabla1[[#This Row],[H.EXTRAS]]*24</f>
        <v>1.9999999999999982</v>
      </c>
      <c r="AC62" s="105">
        <f t="shared" si="2"/>
        <v>70</v>
      </c>
      <c r="AD62" s="120">
        <f>Tabla1[[#This Row],[COS.BASE 2]]/8</f>
        <v>8.75</v>
      </c>
      <c r="AE62" s="105">
        <f>Tabla1[[#This Row],[CST_H_E]]+Tabla1[[#This Row],[COS.BASE 2]]</f>
        <v>70</v>
      </c>
      <c r="AF62" s="106">
        <f>+_xlfn.IFNA(INDEX(RUBRO!$W$2:$AA$732,MATCH(Tabla1[[#This Row],[FECHA ]],RUBRO!$W$2:$W$732,0),5)," ")</f>
        <v>0</v>
      </c>
      <c r="AG62" s="10">
        <f>+_xlfn.IFNA(INDEX(RUBRO!$W$2:$AA$732,MATCH(Tabla1[[#This Row],[FECHA ]],RUBRO!$W$2:$W$732,0),2)," ")</f>
        <v>0</v>
      </c>
      <c r="AH62" s="40">
        <f>IFERROR(Tabla1[[#This Row],[F]]*Tabla1[[#This Row],[COS.B+E]]," ")</f>
        <v>0</v>
      </c>
      <c r="AI62" s="40">
        <f>IFERROR(Tabla1[[#This Row],[COS.B+E]]*Tabla1[[#This Row],[D]]," ")</f>
        <v>0</v>
      </c>
      <c r="AJ62" s="40" t="str">
        <f>IFERROR(Tabla1[[#This Row],[F]]*#REF!," ")</f>
        <v xml:space="preserve"> </v>
      </c>
      <c r="AK62" s="40" t="str">
        <f>IFERROR(#REF!*Tabla1[[#This Row],[D]]," ")</f>
        <v xml:space="preserve"> </v>
      </c>
      <c r="AL62" s="103"/>
      <c r="AM62" s="103"/>
      <c r="AN62" s="103"/>
      <c r="AO62" s="38">
        <f>+Tabla1[[#This Row],[COS.B+E]]+Tabla1[[#This Row],[COS.F1]]+Tabla1[[#This Row],[COS.D1]]+Tabla1[[#This Row],[ALIMENTACION]]+Tabla1[[#This Row],[PRESTAMO]]+AN62</f>
        <v>70</v>
      </c>
      <c r="AP62" s="38" t="e">
        <f>+#REF!+Tabla1[[#This Row],[COS F2]]+Tabla1[[#This Row],[COS D2]]+Tabla1[[#This Row],[ALIMENTACION]]+Tabla1[[#This Row],[PRESTAMO]]+Tabla1[[#This Row],[PASAJES]]</f>
        <v>#REF!</v>
      </c>
    </row>
    <row r="63" spans="1:42" x14ac:dyDescent="0.25">
      <c r="A63" s="2" t="str">
        <f>TEXT(Tabla1[[#This Row],[FECHA ]],"DDDDD")</f>
        <v>sábado</v>
      </c>
      <c r="B63" s="2" t="str">
        <f>_xlfn.IFNA(VLOOKUP(Tabla1[[#This Row],[DESTINO]],RUBRO!$Q$1:$R$9996,2,FALSE)," ")</f>
        <v>PLANTA</v>
      </c>
      <c r="C63" s="104">
        <f>WEEKNUM(Tabla1[[#This Row],[FECHA ]],2)</f>
        <v>19</v>
      </c>
      <c r="D63" s="104" t="str">
        <f>TEXT(Tabla1[[#This Row],[FECHA ]],"MMM-YY")</f>
        <v>may-YY</v>
      </c>
      <c r="E63" s="104" t="str">
        <f>VLOOKUP(Tabla1[[#This Row],[DNI ]],RUBRO!$F$1:$O$9996,7,FALSE)</f>
        <v>5ta</v>
      </c>
      <c r="F63" s="104" t="str">
        <f>VLOOKUP(Tabla1[[#This Row],[DNI ]],RUBRO!$F$1:$O$88,3,FALSE)</f>
        <v>TEC-02</v>
      </c>
      <c r="G63" s="104" t="str">
        <f>VLOOKUP(Tabla1[[#This Row],[DNI ]],RUBRO!$F$1:$O$9996,5,FALSE)</f>
        <v>TECNICO MECANICO MONTAJISTA DE MAQUINARIA</v>
      </c>
      <c r="H63" s="66" t="str">
        <f>VLOOKUP(Tabla1[[#This Row],[DNI ]],RUBRO!$F$1:$O$9996,6,FALSE)</f>
        <v>ALVAREZ ALVINES JUAN MANUEL</v>
      </c>
      <c r="I63" s="94">
        <v>44324</v>
      </c>
      <c r="J63" s="10">
        <v>1</v>
      </c>
      <c r="K63" s="2">
        <v>46108491</v>
      </c>
      <c r="L63" s="4">
        <f>VLOOKUP(Tabla1[[#This Row],[DNI ]],RUBRO!$F$2:$O$9996,8,FALSE)</f>
        <v>50</v>
      </c>
      <c r="M63" s="88">
        <v>0.29166666666666669</v>
      </c>
      <c r="N63" s="28"/>
      <c r="P63" s="28">
        <v>0.58333333333333337</v>
      </c>
      <c r="Q63" s="31">
        <f>(Tabla1[[#This Row],[SALIDA]]-Tabla1[[#This Row],[FIN ]])+(Tabla1[[#This Row],[INICIO]]-Tabla1[[#This Row],[INGRESO]])</f>
        <v>0.29166666666666669</v>
      </c>
      <c r="R63" s="13">
        <f t="shared" si="0"/>
        <v>0.29166666666666669</v>
      </c>
      <c r="S63" s="31">
        <f t="shared" si="1"/>
        <v>0</v>
      </c>
      <c r="T63" s="136"/>
      <c r="U63" s="136"/>
      <c r="V63" s="137">
        <f>(Tabla1[[#This Row],[COS.BASE 3]]*0.25+Tabla1[[#This Row],[COS.BASE 3]])*Tabla1[[#This Row],[HORAS 25 % ]]</f>
        <v>0</v>
      </c>
      <c r="W63" s="138">
        <f>(Tabla1[[#This Row],[COS.BASE 3]]*0.35+Tabla1[[#This Row],[COS.BASE 3]])*Tabla1[[#This Row],[HORAS 35% ]]</f>
        <v>0</v>
      </c>
      <c r="X63" s="138">
        <f>SUM(Tabla1[[#This Row],[C.HORA.35]],Tabla1[[#This Row],[C.HORA.25]])</f>
        <v>0</v>
      </c>
      <c r="Y63" s="4"/>
      <c r="Z63" s="10">
        <f>Tabla1[[#This Row],[T.HORAS]]*24</f>
        <v>7</v>
      </c>
      <c r="AA63" s="4">
        <f>Tabla1[[#This Row],[H.NORMALES]]*24</f>
        <v>7</v>
      </c>
      <c r="AB63" s="10">
        <f>Tabla1[[#This Row],[H.EXTRAS]]*24</f>
        <v>0</v>
      </c>
      <c r="AC63" s="105">
        <f t="shared" si="2"/>
        <v>38.888888888888886</v>
      </c>
      <c r="AD63" s="120">
        <f>Tabla1[[#This Row],[COS.BASE 2]]/8</f>
        <v>4.8611111111111107</v>
      </c>
      <c r="AE63" s="105">
        <f>Tabla1[[#This Row],[CST_H_E]]+Tabla1[[#This Row],[COS.BASE 2]]</f>
        <v>38.888888888888886</v>
      </c>
      <c r="AF63" s="106">
        <f>+_xlfn.IFNA(INDEX(RUBRO!$W$2:$AA$732,MATCH(Tabla1[[#This Row],[FECHA ]],RUBRO!$W$2:$W$732,0),5)," ")</f>
        <v>0</v>
      </c>
      <c r="AG63" s="10">
        <f>+_xlfn.IFNA(INDEX(RUBRO!$W$2:$AA$732,MATCH(Tabla1[[#This Row],[FECHA ]],RUBRO!$W$2:$W$732,0),2)," ")</f>
        <v>0</v>
      </c>
      <c r="AH63" s="40">
        <f>IFERROR(Tabla1[[#This Row],[F]]*Tabla1[[#This Row],[COS.B+E]]," ")</f>
        <v>0</v>
      </c>
      <c r="AI63" s="40">
        <f>IFERROR(Tabla1[[#This Row],[COS.B+E]]*Tabla1[[#This Row],[D]]," ")</f>
        <v>0</v>
      </c>
      <c r="AJ63" s="40" t="str">
        <f>IFERROR(Tabla1[[#This Row],[F]]*#REF!," ")</f>
        <v xml:space="preserve"> </v>
      </c>
      <c r="AK63" s="40" t="str">
        <f>IFERROR(#REF!*Tabla1[[#This Row],[D]]," ")</f>
        <v xml:space="preserve"> </v>
      </c>
      <c r="AL63" s="103"/>
      <c r="AM63" s="103"/>
      <c r="AN63" s="103"/>
      <c r="AO63" s="38">
        <f>+Tabla1[[#This Row],[COS.B+E]]+Tabla1[[#This Row],[COS.F1]]+Tabla1[[#This Row],[COS.D1]]+Tabla1[[#This Row],[ALIMENTACION]]+Tabla1[[#This Row],[PRESTAMO]]+AN63</f>
        <v>38.888888888888886</v>
      </c>
      <c r="AP63" s="38" t="e">
        <f>+#REF!+Tabla1[[#This Row],[COS F2]]+Tabla1[[#This Row],[COS D2]]+Tabla1[[#This Row],[ALIMENTACION]]+Tabla1[[#This Row],[PRESTAMO]]+Tabla1[[#This Row],[PASAJES]]</f>
        <v>#REF!</v>
      </c>
    </row>
    <row r="64" spans="1:42" x14ac:dyDescent="0.25">
      <c r="A64" s="2" t="str">
        <f>TEXT(Tabla1[[#This Row],[FECHA ]],"DDDDD")</f>
        <v>sábado</v>
      </c>
      <c r="B64" s="2" t="str">
        <f>_xlfn.IFNA(VLOOKUP(Tabla1[[#This Row],[DESTINO]],RUBRO!$Q$1:$R$9996,2,FALSE)," ")</f>
        <v>FALTA</v>
      </c>
      <c r="C64" s="104">
        <f>WEEKNUM(Tabla1[[#This Row],[FECHA ]],2)</f>
        <v>19</v>
      </c>
      <c r="D64" s="104" t="str">
        <f>TEXT(Tabla1[[#This Row],[FECHA ]],"MMM-YY")</f>
        <v>may-YY</v>
      </c>
      <c r="E64" s="104" t="str">
        <f>VLOOKUP(Tabla1[[#This Row],[DNI ]],RUBRO!$F$1:$O$9996,7,FALSE)</f>
        <v>4ta</v>
      </c>
      <c r="F64" s="104" t="str">
        <f>VLOOKUP(Tabla1[[#This Row],[DNI ]],RUBRO!$F$1:$O$88,3,FALSE)</f>
        <v>OPE-03</v>
      </c>
      <c r="G64" s="104" t="str">
        <f>VLOOKUP(Tabla1[[#This Row],[DNI ]],RUBRO!$F$1:$O$9996,5,FALSE)</f>
        <v>OPERARIO ELECTRICO</v>
      </c>
      <c r="H64" s="66" t="str">
        <f>VLOOKUP(Tabla1[[#This Row],[DNI ]],RUBRO!$F$1:$O$9996,6,FALSE)</f>
        <v>AYALA RAMIREZ RUBEN ISAI</v>
      </c>
      <c r="I64" s="94">
        <v>44324</v>
      </c>
      <c r="J64" s="10">
        <v>4</v>
      </c>
      <c r="K64" s="2">
        <v>75557820</v>
      </c>
      <c r="L64" s="4">
        <f>VLOOKUP(Tabla1[[#This Row],[DNI ]],RUBRO!$F$2:$O$9996,8,FALSE)</f>
        <v>50</v>
      </c>
      <c r="M64" s="88"/>
      <c r="N64" s="28"/>
      <c r="P64" s="28"/>
      <c r="Q64" s="31">
        <f>(Tabla1[[#This Row],[SALIDA]]-Tabla1[[#This Row],[FIN ]])+(Tabla1[[#This Row],[INICIO]]-Tabla1[[#This Row],[INGRESO]])</f>
        <v>0</v>
      </c>
      <c r="R64" s="13">
        <f t="shared" si="0"/>
        <v>0</v>
      </c>
      <c r="S64" s="31">
        <f t="shared" si="1"/>
        <v>0</v>
      </c>
      <c r="T64" s="136"/>
      <c r="U64" s="136"/>
      <c r="V64" s="137">
        <f>(Tabla1[[#This Row],[COS.BASE 3]]*0.25+Tabla1[[#This Row],[COS.BASE 3]])*Tabla1[[#This Row],[HORAS 25 % ]]</f>
        <v>0</v>
      </c>
      <c r="W64" s="138">
        <f>(Tabla1[[#This Row],[COS.BASE 3]]*0.35+Tabla1[[#This Row],[COS.BASE 3]])*Tabla1[[#This Row],[HORAS 35% ]]</f>
        <v>0</v>
      </c>
      <c r="X64" s="138">
        <f>SUM(Tabla1[[#This Row],[C.HORA.35]],Tabla1[[#This Row],[C.HORA.25]])</f>
        <v>0</v>
      </c>
      <c r="Y64" s="4"/>
      <c r="Z64" s="10">
        <f>Tabla1[[#This Row],[T.HORAS]]*24</f>
        <v>0</v>
      </c>
      <c r="AA64" s="4">
        <f>Tabla1[[#This Row],[H.NORMALES]]*24</f>
        <v>0</v>
      </c>
      <c r="AB64" s="10">
        <f>Tabla1[[#This Row],[H.EXTRAS]]*24</f>
        <v>0</v>
      </c>
      <c r="AC64" s="105">
        <f t="shared" si="2"/>
        <v>0</v>
      </c>
      <c r="AD64" s="120">
        <f>Tabla1[[#This Row],[COS.BASE 2]]/8</f>
        <v>0</v>
      </c>
      <c r="AE64" s="105">
        <f>Tabla1[[#This Row],[CST_H_E]]+Tabla1[[#This Row],[COS.BASE 2]]</f>
        <v>0</v>
      </c>
      <c r="AF64" s="106">
        <f>+_xlfn.IFNA(INDEX(RUBRO!$W$2:$AA$732,MATCH(Tabla1[[#This Row],[FECHA ]],RUBRO!$W$2:$W$732,0),5)," ")</f>
        <v>0</v>
      </c>
      <c r="AG64" s="10">
        <f>+_xlfn.IFNA(INDEX(RUBRO!$W$2:$AA$732,MATCH(Tabla1[[#This Row],[FECHA ]],RUBRO!$W$2:$W$732,0),2)," ")</f>
        <v>0</v>
      </c>
      <c r="AH64" s="40">
        <f>IFERROR(Tabla1[[#This Row],[F]]*Tabla1[[#This Row],[COS.B+E]]," ")</f>
        <v>0</v>
      </c>
      <c r="AI64" s="40">
        <f>IFERROR(Tabla1[[#This Row],[COS.B+E]]*Tabla1[[#This Row],[D]]," ")</f>
        <v>0</v>
      </c>
      <c r="AJ64" s="40" t="str">
        <f>IFERROR(Tabla1[[#This Row],[F]]*#REF!," ")</f>
        <v xml:space="preserve"> </v>
      </c>
      <c r="AK64" s="40" t="str">
        <f>IFERROR(#REF!*Tabla1[[#This Row],[D]]," ")</f>
        <v xml:space="preserve"> </v>
      </c>
      <c r="AL64" s="103"/>
      <c r="AM64" s="103"/>
      <c r="AN64" s="103"/>
      <c r="AO64" s="38">
        <f>+Tabla1[[#This Row],[COS.B+E]]+Tabla1[[#This Row],[COS.F1]]+Tabla1[[#This Row],[COS.D1]]+Tabla1[[#This Row],[ALIMENTACION]]+Tabla1[[#This Row],[PRESTAMO]]+AN64</f>
        <v>0</v>
      </c>
      <c r="AP64" s="38" t="e">
        <f>+#REF!+Tabla1[[#This Row],[COS F2]]+Tabla1[[#This Row],[COS D2]]+Tabla1[[#This Row],[ALIMENTACION]]+Tabla1[[#This Row],[PRESTAMO]]+Tabla1[[#This Row],[PASAJES]]</f>
        <v>#REF!</v>
      </c>
    </row>
    <row r="65" spans="1:42" x14ac:dyDescent="0.25">
      <c r="A65" s="2" t="str">
        <f>TEXT(Tabla1[[#This Row],[FECHA ]],"DDDDD")</f>
        <v>sábado</v>
      </c>
      <c r="B65" s="2" t="str">
        <f>_xlfn.IFNA(VLOOKUP(Tabla1[[#This Row],[DESTINO]],RUBRO!$Q$1:$R$9996,2,FALSE)," ")</f>
        <v>OBRA</v>
      </c>
      <c r="C65" s="104">
        <f>WEEKNUM(Tabla1[[#This Row],[FECHA ]],2)</f>
        <v>19</v>
      </c>
      <c r="D65" s="104" t="str">
        <f>TEXT(Tabla1[[#This Row],[FECHA ]],"MMM-YY")</f>
        <v>may-YY</v>
      </c>
      <c r="E65" s="104" t="str">
        <f>VLOOKUP(Tabla1[[#This Row],[DNI ]],RUBRO!$F$1:$O$9996,7,FALSE)</f>
        <v>5ta</v>
      </c>
      <c r="F65" s="104" t="str">
        <f>VLOOKUP(Tabla1[[#This Row],[DNI ]],RUBRO!$F$1:$O$88,3,FALSE)</f>
        <v>OPE-03</v>
      </c>
      <c r="G65" s="104" t="str">
        <f>VLOOKUP(Tabla1[[#This Row],[DNI ]],RUBRO!$F$1:$O$9996,5,FALSE)</f>
        <v>OPERARIO ELECTRICO</v>
      </c>
      <c r="H65" s="66" t="str">
        <f>VLOOKUP(Tabla1[[#This Row],[DNI ]],RUBRO!$F$1:$O$9996,6,FALSE)</f>
        <v>BARRAGAN SALAZAR JHONATAN PEDRO</v>
      </c>
      <c r="I65" s="94">
        <v>44324</v>
      </c>
      <c r="J65" s="10">
        <v>2</v>
      </c>
      <c r="K65" s="2">
        <v>46801821</v>
      </c>
      <c r="L65" s="4">
        <f>VLOOKUP(Tabla1[[#This Row],[DNI ]],RUBRO!$F$2:$O$9996,8,FALSE)</f>
        <v>43.5</v>
      </c>
      <c r="M65" s="88">
        <v>0.29166666666666669</v>
      </c>
      <c r="N65" s="28"/>
      <c r="P65" s="28">
        <v>0.625</v>
      </c>
      <c r="Q65" s="31">
        <f>(Tabla1[[#This Row],[SALIDA]]-Tabla1[[#This Row],[FIN ]])+(Tabla1[[#This Row],[INICIO]]-Tabla1[[#This Row],[INGRESO]])</f>
        <v>0.33333333333333331</v>
      </c>
      <c r="R65" s="13">
        <f t="shared" si="0"/>
        <v>0.33333333333333331</v>
      </c>
      <c r="S65" s="31">
        <f t="shared" si="1"/>
        <v>0</v>
      </c>
      <c r="T65" s="136"/>
      <c r="U65" s="136"/>
      <c r="V65" s="137">
        <f>(Tabla1[[#This Row],[COS.BASE 3]]*0.25+Tabla1[[#This Row],[COS.BASE 3]])*Tabla1[[#This Row],[HORAS 25 % ]]</f>
        <v>0</v>
      </c>
      <c r="W65" s="138">
        <f>(Tabla1[[#This Row],[COS.BASE 3]]*0.35+Tabla1[[#This Row],[COS.BASE 3]])*Tabla1[[#This Row],[HORAS 35% ]]</f>
        <v>0</v>
      </c>
      <c r="X65" s="138">
        <f>SUM(Tabla1[[#This Row],[C.HORA.35]],Tabla1[[#This Row],[C.HORA.25]])</f>
        <v>0</v>
      </c>
      <c r="Y65" s="4"/>
      <c r="Z65" s="10">
        <f>Tabla1[[#This Row],[T.HORAS]]*24</f>
        <v>8</v>
      </c>
      <c r="AA65" s="4">
        <f>Tabla1[[#This Row],[H.NORMALES]]*24</f>
        <v>8</v>
      </c>
      <c r="AB65" s="10">
        <f>Tabla1[[#This Row],[H.EXTRAS]]*24</f>
        <v>0</v>
      </c>
      <c r="AC65" s="105">
        <f t="shared" si="2"/>
        <v>43.5</v>
      </c>
      <c r="AD65" s="120">
        <f>Tabla1[[#This Row],[COS.BASE 2]]/8</f>
        <v>5.4375</v>
      </c>
      <c r="AE65" s="105">
        <f>Tabla1[[#This Row],[CST_H_E]]+Tabla1[[#This Row],[COS.BASE 2]]</f>
        <v>43.5</v>
      </c>
      <c r="AF65" s="106">
        <f>+_xlfn.IFNA(INDEX(RUBRO!$W$2:$AA$732,MATCH(Tabla1[[#This Row],[FECHA ]],RUBRO!$W$2:$W$732,0),5)," ")</f>
        <v>0</v>
      </c>
      <c r="AG65" s="10">
        <f>+_xlfn.IFNA(INDEX(RUBRO!$W$2:$AA$732,MATCH(Tabla1[[#This Row],[FECHA ]],RUBRO!$W$2:$W$732,0),2)," ")</f>
        <v>0</v>
      </c>
      <c r="AH65" s="40">
        <f>IFERROR(Tabla1[[#This Row],[F]]*Tabla1[[#This Row],[COS.B+E]]," ")</f>
        <v>0</v>
      </c>
      <c r="AI65" s="40">
        <f>IFERROR(Tabla1[[#This Row],[COS.B+E]]*Tabla1[[#This Row],[D]]," ")</f>
        <v>0</v>
      </c>
      <c r="AJ65" s="40" t="str">
        <f>IFERROR(Tabla1[[#This Row],[F]]*#REF!," ")</f>
        <v xml:space="preserve"> </v>
      </c>
      <c r="AK65" s="40" t="str">
        <f>IFERROR(#REF!*Tabla1[[#This Row],[D]]," ")</f>
        <v xml:space="preserve"> </v>
      </c>
      <c r="AL65" s="103"/>
      <c r="AM65" s="103"/>
      <c r="AN65" s="103"/>
      <c r="AO65" s="38">
        <f>+Tabla1[[#This Row],[COS.B+E]]+Tabla1[[#This Row],[COS.F1]]+Tabla1[[#This Row],[COS.D1]]+Tabla1[[#This Row],[ALIMENTACION]]+Tabla1[[#This Row],[PRESTAMO]]+AN65</f>
        <v>43.5</v>
      </c>
      <c r="AP65" s="38" t="e">
        <f>+#REF!+Tabla1[[#This Row],[COS F2]]+Tabla1[[#This Row],[COS D2]]+Tabla1[[#This Row],[ALIMENTACION]]+Tabla1[[#This Row],[PRESTAMO]]+Tabla1[[#This Row],[PASAJES]]</f>
        <v>#REF!</v>
      </c>
    </row>
    <row r="66" spans="1:42" x14ac:dyDescent="0.25">
      <c r="A66" s="2" t="str">
        <f>TEXT(Tabla1[[#This Row],[FECHA ]],"DDDDD")</f>
        <v>sábado</v>
      </c>
      <c r="B66" s="2" t="str">
        <f>_xlfn.IFNA(VLOOKUP(Tabla1[[#This Row],[DESTINO]],RUBRO!$Q$1:$R$9996,2,FALSE)," ")</f>
        <v>PLANTA</v>
      </c>
      <c r="C66" s="104">
        <f>WEEKNUM(Tabla1[[#This Row],[FECHA ]],2)</f>
        <v>19</v>
      </c>
      <c r="D66" s="104" t="str">
        <f>TEXT(Tabla1[[#This Row],[FECHA ]],"MMM-YY")</f>
        <v>may-YY</v>
      </c>
      <c r="E66" s="104" t="str">
        <f>VLOOKUP(Tabla1[[#This Row],[DNI ]],RUBRO!$F$1:$O$9996,7,FALSE)</f>
        <v>5ta</v>
      </c>
      <c r="F66" s="104" t="str">
        <f>VLOOKUP(Tabla1[[#This Row],[DNI ]],RUBRO!$F$1:$O$88,3,FALSE)</f>
        <v>OPE-01</v>
      </c>
      <c r="G66" s="104" t="str">
        <f>VLOOKUP(Tabla1[[#This Row],[DNI ]],RUBRO!$F$1:$O$9996,5,FALSE)</f>
        <v>OPERARIO SOLDADOR</v>
      </c>
      <c r="H66" s="66" t="str">
        <f>VLOOKUP(Tabla1[[#This Row],[DNI ]],RUBRO!$F$1:$O$9996,6,FALSE)</f>
        <v>BENDEZU PISCO JORGE GUILLERMO</v>
      </c>
      <c r="I66" s="94">
        <v>44324</v>
      </c>
      <c r="J66" s="10">
        <v>1</v>
      </c>
      <c r="K66" s="2">
        <v>10664396</v>
      </c>
      <c r="L66" s="4">
        <f>VLOOKUP(Tabla1[[#This Row],[DNI ]],RUBRO!$F$2:$O$9996,8,FALSE)</f>
        <v>60</v>
      </c>
      <c r="M66" s="88">
        <v>0.29166666666666669</v>
      </c>
      <c r="N66" s="28"/>
      <c r="P66" s="28">
        <v>0.58333333333333337</v>
      </c>
      <c r="Q66" s="31">
        <f>(Tabla1[[#This Row],[SALIDA]]-Tabla1[[#This Row],[FIN ]])+(Tabla1[[#This Row],[INICIO]]-Tabla1[[#This Row],[INGRESO]])</f>
        <v>0.29166666666666669</v>
      </c>
      <c r="R66" s="13">
        <f t="shared" si="0"/>
        <v>0.29166666666666669</v>
      </c>
      <c r="S66" s="31">
        <f t="shared" si="1"/>
        <v>0</v>
      </c>
      <c r="T66" s="136"/>
      <c r="U66" s="136"/>
      <c r="V66" s="137">
        <f>(Tabla1[[#This Row],[COS.BASE 3]]*0.25+Tabla1[[#This Row],[COS.BASE 3]])*Tabla1[[#This Row],[HORAS 25 % ]]</f>
        <v>0</v>
      </c>
      <c r="W66" s="138">
        <f>(Tabla1[[#This Row],[COS.BASE 3]]*0.35+Tabla1[[#This Row],[COS.BASE 3]])*Tabla1[[#This Row],[HORAS 35% ]]</f>
        <v>0</v>
      </c>
      <c r="X66" s="138">
        <f>SUM(Tabla1[[#This Row],[C.HORA.35]],Tabla1[[#This Row],[C.HORA.25]])</f>
        <v>0</v>
      </c>
      <c r="Y66" s="4"/>
      <c r="Z66" s="10">
        <f>Tabla1[[#This Row],[T.HORAS]]*24</f>
        <v>7</v>
      </c>
      <c r="AA66" s="4">
        <f>Tabla1[[#This Row],[H.NORMALES]]*24</f>
        <v>7</v>
      </c>
      <c r="AB66" s="10">
        <f>Tabla1[[#This Row],[H.EXTRAS]]*24</f>
        <v>0</v>
      </c>
      <c r="AC66" s="105">
        <f t="shared" si="2"/>
        <v>46.666666666666671</v>
      </c>
      <c r="AD66" s="120">
        <f>Tabla1[[#This Row],[COS.BASE 2]]/8</f>
        <v>5.8333333333333339</v>
      </c>
      <c r="AE66" s="105">
        <f>Tabla1[[#This Row],[CST_H_E]]+Tabla1[[#This Row],[COS.BASE 2]]</f>
        <v>46.666666666666671</v>
      </c>
      <c r="AF66" s="106">
        <f>+_xlfn.IFNA(INDEX(RUBRO!$W$2:$AA$732,MATCH(Tabla1[[#This Row],[FECHA ]],RUBRO!$W$2:$W$732,0),5)," ")</f>
        <v>0</v>
      </c>
      <c r="AG66" s="10">
        <f>+_xlfn.IFNA(INDEX(RUBRO!$W$2:$AA$732,MATCH(Tabla1[[#This Row],[FECHA ]],RUBRO!$W$2:$W$732,0),2)," ")</f>
        <v>0</v>
      </c>
      <c r="AH66" s="40">
        <f>IFERROR(Tabla1[[#This Row],[F]]*Tabla1[[#This Row],[COS.B+E]]," ")</f>
        <v>0</v>
      </c>
      <c r="AI66" s="40">
        <f>IFERROR(Tabla1[[#This Row],[COS.B+E]]*Tabla1[[#This Row],[D]]," ")</f>
        <v>0</v>
      </c>
      <c r="AJ66" s="40" t="str">
        <f>IFERROR(Tabla1[[#This Row],[F]]*#REF!," ")</f>
        <v xml:space="preserve"> </v>
      </c>
      <c r="AK66" s="40" t="str">
        <f>IFERROR(#REF!*Tabla1[[#This Row],[D]]," ")</f>
        <v xml:space="preserve"> </v>
      </c>
      <c r="AL66" s="103"/>
      <c r="AM66" s="103"/>
      <c r="AN66" s="103"/>
      <c r="AO66" s="38">
        <f>+Tabla1[[#This Row],[COS.B+E]]+Tabla1[[#This Row],[COS.F1]]+Tabla1[[#This Row],[COS.D1]]+Tabla1[[#This Row],[ALIMENTACION]]+Tabla1[[#This Row],[PRESTAMO]]+AN66</f>
        <v>46.666666666666671</v>
      </c>
      <c r="AP66" s="38" t="e">
        <f>+#REF!+Tabla1[[#This Row],[COS F2]]+Tabla1[[#This Row],[COS D2]]+Tabla1[[#This Row],[ALIMENTACION]]+Tabla1[[#This Row],[PRESTAMO]]+Tabla1[[#This Row],[PASAJES]]</f>
        <v>#REF!</v>
      </c>
    </row>
    <row r="67" spans="1:42" x14ac:dyDescent="0.25">
      <c r="A67" s="2" t="str">
        <f>TEXT(Tabla1[[#This Row],[FECHA ]],"DDDDD")</f>
        <v>sábado</v>
      </c>
      <c r="B67" s="2" t="str">
        <f>_xlfn.IFNA(VLOOKUP(Tabla1[[#This Row],[DESTINO]],RUBRO!$Q$1:$R$9996,2,FALSE)," ")</f>
        <v>FALTA</v>
      </c>
      <c r="C67" s="104">
        <f>WEEKNUM(Tabla1[[#This Row],[FECHA ]],2)</f>
        <v>19</v>
      </c>
      <c r="D67" s="104" t="str">
        <f>TEXT(Tabla1[[#This Row],[FECHA ]],"MMM-YY")</f>
        <v>may-YY</v>
      </c>
      <c r="E67" s="104" t="str">
        <f>VLOOKUP(Tabla1[[#This Row],[DNI ]],RUBRO!$F$1:$O$9996,7,FALSE)</f>
        <v>4ta</v>
      </c>
      <c r="F67" s="104" t="str">
        <f>VLOOKUP(Tabla1[[#This Row],[DNI ]],RUBRO!$F$1:$O$88,3,FALSE)</f>
        <v>OPE-01</v>
      </c>
      <c r="G67" s="104" t="str">
        <f>VLOOKUP(Tabla1[[#This Row],[DNI ]],RUBRO!$F$1:$O$9996,5,FALSE)</f>
        <v>OPERARIO SOLDADOR</v>
      </c>
      <c r="H67" s="66" t="str">
        <f>VLOOKUP(Tabla1[[#This Row],[DNI ]],RUBRO!$F$1:$O$9996,6,FALSE)</f>
        <v>BONILLA CHAVEZ LUIS DANIEL</v>
      </c>
      <c r="I67" s="94">
        <v>44324</v>
      </c>
      <c r="J67" s="10">
        <v>4</v>
      </c>
      <c r="K67" s="2">
        <v>71995358</v>
      </c>
      <c r="L67" s="4">
        <f>VLOOKUP(Tabla1[[#This Row],[DNI ]],RUBRO!$F$2:$O$9996,8,FALSE)</f>
        <v>45</v>
      </c>
      <c r="M67" s="88"/>
      <c r="N67" s="28"/>
      <c r="P67" s="28"/>
      <c r="Q67" s="31">
        <f>(Tabla1[[#This Row],[SALIDA]]-Tabla1[[#This Row],[FIN ]])+(Tabla1[[#This Row],[INICIO]]-Tabla1[[#This Row],[INGRESO]])</f>
        <v>0</v>
      </c>
      <c r="R67" s="13">
        <f t="shared" si="0"/>
        <v>0</v>
      </c>
      <c r="S67" s="31">
        <f t="shared" si="1"/>
        <v>0</v>
      </c>
      <c r="T67" s="136"/>
      <c r="U67" s="136"/>
      <c r="V67" s="137">
        <f>(Tabla1[[#This Row],[COS.BASE 3]]*0.25+Tabla1[[#This Row],[COS.BASE 3]])*Tabla1[[#This Row],[HORAS 25 % ]]</f>
        <v>0</v>
      </c>
      <c r="W67" s="138">
        <f>(Tabla1[[#This Row],[COS.BASE 3]]*0.35+Tabla1[[#This Row],[COS.BASE 3]])*Tabla1[[#This Row],[HORAS 35% ]]</f>
        <v>0</v>
      </c>
      <c r="X67" s="138">
        <f>SUM(Tabla1[[#This Row],[C.HORA.35]],Tabla1[[#This Row],[C.HORA.25]])</f>
        <v>0</v>
      </c>
      <c r="Y67" s="4"/>
      <c r="Z67" s="10">
        <f>Tabla1[[#This Row],[T.HORAS]]*24</f>
        <v>0</v>
      </c>
      <c r="AA67" s="4">
        <f>Tabla1[[#This Row],[H.NORMALES]]*24</f>
        <v>0</v>
      </c>
      <c r="AB67" s="10">
        <f>Tabla1[[#This Row],[H.EXTRAS]]*24</f>
        <v>0</v>
      </c>
      <c r="AC67" s="105">
        <f t="shared" si="2"/>
        <v>0</v>
      </c>
      <c r="AD67" s="120">
        <f>Tabla1[[#This Row],[COS.BASE 2]]/8</f>
        <v>0</v>
      </c>
      <c r="AE67" s="105">
        <f>Tabla1[[#This Row],[CST_H_E]]+Tabla1[[#This Row],[COS.BASE 2]]</f>
        <v>0</v>
      </c>
      <c r="AF67" s="106">
        <f>+_xlfn.IFNA(INDEX(RUBRO!$W$2:$AA$732,MATCH(Tabla1[[#This Row],[FECHA ]],RUBRO!$W$2:$W$732,0),5)," ")</f>
        <v>0</v>
      </c>
      <c r="AG67" s="10">
        <f>+_xlfn.IFNA(INDEX(RUBRO!$W$2:$AA$732,MATCH(Tabla1[[#This Row],[FECHA ]],RUBRO!$W$2:$W$732,0),2)," ")</f>
        <v>0</v>
      </c>
      <c r="AH67" s="40">
        <f>IFERROR(Tabla1[[#This Row],[F]]*Tabla1[[#This Row],[COS.B+E]]," ")</f>
        <v>0</v>
      </c>
      <c r="AI67" s="40">
        <f>IFERROR(Tabla1[[#This Row],[COS.B+E]]*Tabla1[[#This Row],[D]]," ")</f>
        <v>0</v>
      </c>
      <c r="AJ67" s="40" t="str">
        <f>IFERROR(Tabla1[[#This Row],[F]]*#REF!," ")</f>
        <v xml:space="preserve"> </v>
      </c>
      <c r="AK67" s="40" t="str">
        <f>IFERROR(#REF!*Tabla1[[#This Row],[D]]," ")</f>
        <v xml:space="preserve"> </v>
      </c>
      <c r="AL67" s="103"/>
      <c r="AM67" s="103"/>
      <c r="AN67" s="103"/>
      <c r="AO67" s="38">
        <f>+Tabla1[[#This Row],[COS.B+E]]+Tabla1[[#This Row],[COS.F1]]+Tabla1[[#This Row],[COS.D1]]+Tabla1[[#This Row],[ALIMENTACION]]+Tabla1[[#This Row],[PRESTAMO]]+AN67</f>
        <v>0</v>
      </c>
      <c r="AP67" s="38" t="e">
        <f>+#REF!+Tabla1[[#This Row],[COS F2]]+Tabla1[[#This Row],[COS D2]]+Tabla1[[#This Row],[ALIMENTACION]]+Tabla1[[#This Row],[PRESTAMO]]+Tabla1[[#This Row],[PASAJES]]</f>
        <v>#REF!</v>
      </c>
    </row>
    <row r="68" spans="1:42" x14ac:dyDescent="0.25">
      <c r="A68" s="2" t="str">
        <f>TEXT(Tabla1[[#This Row],[FECHA ]],"DDDDD")</f>
        <v>sábado</v>
      </c>
      <c r="B68" s="2" t="str">
        <f>_xlfn.IFNA(VLOOKUP(Tabla1[[#This Row],[DESTINO]],RUBRO!$Q$1:$R$9996,2,FALSE)," ")</f>
        <v>OBRA</v>
      </c>
      <c r="C68" s="104">
        <f>WEEKNUM(Tabla1[[#This Row],[FECHA ]],2)</f>
        <v>19</v>
      </c>
      <c r="D68" s="104" t="str">
        <f>TEXT(Tabla1[[#This Row],[FECHA ]],"MMM-YY")</f>
        <v>may-YY</v>
      </c>
      <c r="E68" s="104" t="str">
        <f>VLOOKUP(Tabla1[[#This Row],[DNI ]],RUBRO!$F$1:$O$9996,7,FALSE)</f>
        <v>5ta</v>
      </c>
      <c r="F68" s="104" t="str">
        <f>VLOOKUP(Tabla1[[#This Row],[DNI ]],RUBRO!$F$1:$O$88,3,FALSE)</f>
        <v>MEC-04</v>
      </c>
      <c r="G68" s="104" t="str">
        <f>VLOOKUP(Tabla1[[#This Row],[DNI ]],RUBRO!$F$1:$O$9996,5,FALSE)</f>
        <v>MECANICO MONTAJISTA DE MAQUINARIA EXTRANJERA</v>
      </c>
      <c r="H68" s="66" t="str">
        <f>VLOOKUP(Tabla1[[#This Row],[DNI ]],RUBRO!$F$1:$O$9996,6,FALSE)</f>
        <v>BUSTAMANTE GONZALES CARLOS</v>
      </c>
      <c r="I68" s="94">
        <v>44324</v>
      </c>
      <c r="J68" s="10">
        <v>2</v>
      </c>
      <c r="K68" s="2">
        <v>27291529</v>
      </c>
      <c r="L68" s="4">
        <f>VLOOKUP(Tabla1[[#This Row],[DNI ]],RUBRO!$F$2:$O$9996,8,FALSE)</f>
        <v>72.540000000000006</v>
      </c>
      <c r="M68" s="88">
        <v>0.29166666666666669</v>
      </c>
      <c r="N68" s="28"/>
      <c r="P68" s="28">
        <v>0.625</v>
      </c>
      <c r="Q68" s="31">
        <f>(Tabla1[[#This Row],[SALIDA]]-Tabla1[[#This Row],[FIN ]])+(Tabla1[[#This Row],[INICIO]]-Tabla1[[#This Row],[INGRESO]])</f>
        <v>0.33333333333333331</v>
      </c>
      <c r="R68" s="13">
        <f t="shared" si="0"/>
        <v>0.33333333333333331</v>
      </c>
      <c r="S68" s="31">
        <f t="shared" si="1"/>
        <v>0</v>
      </c>
      <c r="T68" s="136"/>
      <c r="U68" s="136"/>
      <c r="V68" s="137">
        <f>(Tabla1[[#This Row],[COS.BASE 3]]*0.25+Tabla1[[#This Row],[COS.BASE 3]])*Tabla1[[#This Row],[HORAS 25 % ]]</f>
        <v>0</v>
      </c>
      <c r="W68" s="138">
        <f>(Tabla1[[#This Row],[COS.BASE 3]]*0.35+Tabla1[[#This Row],[COS.BASE 3]])*Tabla1[[#This Row],[HORAS 35% ]]</f>
        <v>0</v>
      </c>
      <c r="X68" s="138">
        <f>SUM(Tabla1[[#This Row],[C.HORA.35]],Tabla1[[#This Row],[C.HORA.25]])</f>
        <v>0</v>
      </c>
      <c r="Y68" s="4"/>
      <c r="Z68" s="10">
        <f>Tabla1[[#This Row],[T.HORAS]]*24</f>
        <v>8</v>
      </c>
      <c r="AA68" s="4">
        <f>Tabla1[[#This Row],[H.NORMALES]]*24</f>
        <v>8</v>
      </c>
      <c r="AB68" s="10">
        <f>Tabla1[[#This Row],[H.EXTRAS]]*24</f>
        <v>0</v>
      </c>
      <c r="AC68" s="105">
        <f t="shared" si="2"/>
        <v>72.540000000000006</v>
      </c>
      <c r="AD68" s="120">
        <f>Tabla1[[#This Row],[COS.BASE 2]]/8</f>
        <v>9.0675000000000008</v>
      </c>
      <c r="AE68" s="105">
        <f>Tabla1[[#This Row],[CST_H_E]]+Tabla1[[#This Row],[COS.BASE 2]]</f>
        <v>72.540000000000006</v>
      </c>
      <c r="AF68" s="106">
        <f>+_xlfn.IFNA(INDEX(RUBRO!$W$2:$AA$732,MATCH(Tabla1[[#This Row],[FECHA ]],RUBRO!$W$2:$W$732,0),5)," ")</f>
        <v>0</v>
      </c>
      <c r="AG68" s="10">
        <f>+_xlfn.IFNA(INDEX(RUBRO!$W$2:$AA$732,MATCH(Tabla1[[#This Row],[FECHA ]],RUBRO!$W$2:$W$732,0),2)," ")</f>
        <v>0</v>
      </c>
      <c r="AH68" s="40">
        <f>IFERROR(Tabla1[[#This Row],[F]]*Tabla1[[#This Row],[COS.B+E]]," ")</f>
        <v>0</v>
      </c>
      <c r="AI68" s="40">
        <f>IFERROR(Tabla1[[#This Row],[COS.B+E]]*Tabla1[[#This Row],[D]]," ")</f>
        <v>0</v>
      </c>
      <c r="AJ68" s="40" t="str">
        <f>IFERROR(Tabla1[[#This Row],[F]]*#REF!," ")</f>
        <v xml:space="preserve"> </v>
      </c>
      <c r="AK68" s="40" t="str">
        <f>IFERROR(#REF!*Tabla1[[#This Row],[D]]," ")</f>
        <v xml:space="preserve"> </v>
      </c>
      <c r="AL68" s="103"/>
      <c r="AM68" s="103"/>
      <c r="AN68" s="103"/>
      <c r="AO68" s="38">
        <f>+Tabla1[[#This Row],[COS.B+E]]+Tabla1[[#This Row],[COS.F1]]+Tabla1[[#This Row],[COS.D1]]+Tabla1[[#This Row],[ALIMENTACION]]+Tabla1[[#This Row],[PRESTAMO]]+AN68</f>
        <v>72.540000000000006</v>
      </c>
      <c r="AP68" s="38" t="e">
        <f>+#REF!+Tabla1[[#This Row],[COS F2]]+Tabla1[[#This Row],[COS D2]]+Tabla1[[#This Row],[ALIMENTACION]]+Tabla1[[#This Row],[PRESTAMO]]+Tabla1[[#This Row],[PASAJES]]</f>
        <v>#REF!</v>
      </c>
    </row>
    <row r="69" spans="1:42" x14ac:dyDescent="0.25">
      <c r="A69" s="2" t="str">
        <f>TEXT(Tabla1[[#This Row],[FECHA ]],"DDDDD")</f>
        <v>sábado</v>
      </c>
      <c r="B69" s="2" t="str">
        <f>_xlfn.IFNA(VLOOKUP(Tabla1[[#This Row],[DESTINO]],RUBRO!$Q$1:$R$9996,2,FALSE)," ")</f>
        <v>PLANTA</v>
      </c>
      <c r="C69" s="104">
        <f>WEEKNUM(Tabla1[[#This Row],[FECHA ]],2)</f>
        <v>19</v>
      </c>
      <c r="D69" s="104" t="str">
        <f>TEXT(Tabla1[[#This Row],[FECHA ]],"MMM-YY")</f>
        <v>may-YY</v>
      </c>
      <c r="E69" s="104" t="str">
        <f>VLOOKUP(Tabla1[[#This Row],[DNI ]],RUBRO!$F$1:$O$9996,7,FALSE)</f>
        <v>5ta</v>
      </c>
      <c r="F69" s="104" t="str">
        <f>VLOOKUP(Tabla1[[#This Row],[DNI ]],RUBRO!$F$1:$O$88,3,FALSE)</f>
        <v>TECMN-03</v>
      </c>
      <c r="G69" s="104" t="str">
        <f>VLOOKUP(Tabla1[[#This Row],[DNI ]],RUBRO!$F$1:$O$9996,5,FALSE)</f>
        <v>TECNICO ELECTRICO MONTAJISTA DE MAQUINARIA</v>
      </c>
      <c r="H69" s="66" t="str">
        <f>VLOOKUP(Tabla1[[#This Row],[DNI ]],RUBRO!$F$1:$O$9996,6,FALSE)</f>
        <v>CAMIZAN CUNIAS LENDER NEYDEN</v>
      </c>
      <c r="I69" s="94">
        <v>44324</v>
      </c>
      <c r="J69" s="10">
        <v>1</v>
      </c>
      <c r="K69" s="2">
        <v>47711616</v>
      </c>
      <c r="L69" s="4">
        <f>VLOOKUP(Tabla1[[#This Row],[DNI ]],RUBRO!$F$2:$O$9996,8,FALSE)</f>
        <v>47.73</v>
      </c>
      <c r="M69" s="88">
        <v>0.29166666666666669</v>
      </c>
      <c r="N69" s="28"/>
      <c r="P69" s="28">
        <v>0.58333333333333337</v>
      </c>
      <c r="Q69" s="31">
        <f>(Tabla1[[#This Row],[SALIDA]]-Tabla1[[#This Row],[FIN ]])+(Tabla1[[#This Row],[INICIO]]-Tabla1[[#This Row],[INGRESO]])</f>
        <v>0.29166666666666669</v>
      </c>
      <c r="R69" s="13">
        <f t="shared" si="0"/>
        <v>0.29166666666666669</v>
      </c>
      <c r="S69" s="31">
        <f t="shared" si="1"/>
        <v>0</v>
      </c>
      <c r="T69" s="136"/>
      <c r="U69" s="136"/>
      <c r="V69" s="137">
        <f>(Tabla1[[#This Row],[COS.BASE 3]]*0.25+Tabla1[[#This Row],[COS.BASE 3]])*Tabla1[[#This Row],[HORAS 25 % ]]</f>
        <v>0</v>
      </c>
      <c r="W69" s="138">
        <f>(Tabla1[[#This Row],[COS.BASE 3]]*0.35+Tabla1[[#This Row],[COS.BASE 3]])*Tabla1[[#This Row],[HORAS 35% ]]</f>
        <v>0</v>
      </c>
      <c r="X69" s="138">
        <f>SUM(Tabla1[[#This Row],[C.HORA.35]],Tabla1[[#This Row],[C.HORA.25]])</f>
        <v>0</v>
      </c>
      <c r="Y69" s="4"/>
      <c r="Z69" s="10">
        <f>Tabla1[[#This Row],[T.HORAS]]*24</f>
        <v>7</v>
      </c>
      <c r="AA69" s="4">
        <f>Tabla1[[#This Row],[H.NORMALES]]*24</f>
        <v>7</v>
      </c>
      <c r="AB69" s="10">
        <f>Tabla1[[#This Row],[H.EXTRAS]]*24</f>
        <v>0</v>
      </c>
      <c r="AC69" s="105">
        <f t="shared" si="2"/>
        <v>37.123333333333328</v>
      </c>
      <c r="AD69" s="120">
        <f>Tabla1[[#This Row],[COS.BASE 2]]/8</f>
        <v>4.640416666666666</v>
      </c>
      <c r="AE69" s="105">
        <f>Tabla1[[#This Row],[CST_H_E]]+Tabla1[[#This Row],[COS.BASE 2]]</f>
        <v>37.123333333333328</v>
      </c>
      <c r="AF69" s="106">
        <f>+_xlfn.IFNA(INDEX(RUBRO!$W$2:$AA$732,MATCH(Tabla1[[#This Row],[FECHA ]],RUBRO!$W$2:$W$732,0),5)," ")</f>
        <v>0</v>
      </c>
      <c r="AG69" s="10">
        <f>+_xlfn.IFNA(INDEX(RUBRO!$W$2:$AA$732,MATCH(Tabla1[[#This Row],[FECHA ]],RUBRO!$W$2:$W$732,0),2)," ")</f>
        <v>0</v>
      </c>
      <c r="AH69" s="40">
        <f>IFERROR(Tabla1[[#This Row],[F]]*Tabla1[[#This Row],[COS.B+E]]," ")</f>
        <v>0</v>
      </c>
      <c r="AI69" s="40">
        <f>IFERROR(Tabla1[[#This Row],[COS.B+E]]*Tabla1[[#This Row],[D]]," ")</f>
        <v>0</v>
      </c>
      <c r="AJ69" s="40" t="str">
        <f>IFERROR(Tabla1[[#This Row],[F]]*#REF!," ")</f>
        <v xml:space="preserve"> </v>
      </c>
      <c r="AK69" s="40" t="str">
        <f>IFERROR(#REF!*Tabla1[[#This Row],[D]]," ")</f>
        <v xml:space="preserve"> </v>
      </c>
      <c r="AL69" s="103"/>
      <c r="AM69" s="103"/>
      <c r="AN69" s="103"/>
      <c r="AO69" s="38">
        <f>+Tabla1[[#This Row],[COS.B+E]]+Tabla1[[#This Row],[COS.F1]]+Tabla1[[#This Row],[COS.D1]]+Tabla1[[#This Row],[ALIMENTACION]]+Tabla1[[#This Row],[PRESTAMO]]+AN69</f>
        <v>37.123333333333328</v>
      </c>
      <c r="AP69" s="38" t="e">
        <f>+#REF!+Tabla1[[#This Row],[COS F2]]+Tabla1[[#This Row],[COS D2]]+Tabla1[[#This Row],[ALIMENTACION]]+Tabla1[[#This Row],[PRESTAMO]]+Tabla1[[#This Row],[PASAJES]]</f>
        <v>#REF!</v>
      </c>
    </row>
    <row r="70" spans="1:42" x14ac:dyDescent="0.25">
      <c r="A70" s="2" t="str">
        <f>TEXT(Tabla1[[#This Row],[FECHA ]],"DDDDD")</f>
        <v>sábado</v>
      </c>
      <c r="B70" s="2" t="str">
        <f>_xlfn.IFNA(VLOOKUP(Tabla1[[#This Row],[DESTINO]],RUBRO!$Q$1:$R$9996,2,FALSE)," ")</f>
        <v>OBRA</v>
      </c>
      <c r="C70" s="104">
        <f>WEEKNUM(Tabla1[[#This Row],[FECHA ]],2)</f>
        <v>19</v>
      </c>
      <c r="D70" s="104" t="str">
        <f>TEXT(Tabla1[[#This Row],[FECHA ]],"MMM-YY")</f>
        <v>may-YY</v>
      </c>
      <c r="E70" s="104" t="str">
        <f>VLOOKUP(Tabla1[[#This Row],[DNI ]],RUBRO!$F$1:$O$9996,7,FALSE)</f>
        <v>5ta</v>
      </c>
      <c r="F70" s="104" t="str">
        <f>VLOOKUP(Tabla1[[#This Row],[DNI ]],RUBRO!$F$1:$O$88,3,FALSE)</f>
        <v>TEC-05</v>
      </c>
      <c r="G70" s="104" t="str">
        <f>VLOOKUP(Tabla1[[#This Row],[DNI ]],RUBRO!$F$1:$O$9996,5,FALSE)</f>
        <v>TECNICO MECANICO MONTAJISTA DE NAVE INDUSTRIAL</v>
      </c>
      <c r="H70" s="66" t="str">
        <f>VLOOKUP(Tabla1[[#This Row],[DNI ]],RUBRO!$F$1:$O$9996,6,FALSE)</f>
        <v>CAVERO ANCAJIMA JHONATAN</v>
      </c>
      <c r="I70" s="94">
        <v>44324</v>
      </c>
      <c r="J70" s="10">
        <v>2</v>
      </c>
      <c r="K70" s="2">
        <v>48237026</v>
      </c>
      <c r="L70" s="4">
        <f>VLOOKUP(Tabla1[[#This Row],[DNI ]],RUBRO!$F$2:$O$9996,8,FALSE)</f>
        <v>52.2</v>
      </c>
      <c r="M70" s="88">
        <v>0.29166666666666669</v>
      </c>
      <c r="N70" s="28"/>
      <c r="P70" s="28">
        <v>0.58333333333333337</v>
      </c>
      <c r="Q70" s="31">
        <f>(Tabla1[[#This Row],[SALIDA]]-Tabla1[[#This Row],[FIN ]])+(Tabla1[[#This Row],[INICIO]]-Tabla1[[#This Row],[INGRESO]])</f>
        <v>0.29166666666666669</v>
      </c>
      <c r="R70" s="13">
        <f t="shared" ref="R70:R133" si="3">IF(J70=1,IF(Q70&gt;$AU$1,$AU$1,Q70),0)+IF(J70=2,IF(Q70&gt;$AU$3,$AU$3,Q70),0)+IF(J70=8,IF(Q70&gt;$AU$5,$AU$5,Q70),0)</f>
        <v>0.29166666666666669</v>
      </c>
      <c r="S70" s="31">
        <f t="shared" ref="S70:S133" si="4">IF(J70=1,IF(Q70&gt;$AU$1,(Q70-R70),0),0)+IF(J70=2,IF(Q70&gt;$AU$3,(Q70-R70),0),0)+IF(J70=8,IF(Q70&gt;$AU$5,(Q70-R70),0),0)</f>
        <v>0</v>
      </c>
      <c r="T70" s="136"/>
      <c r="U70" s="136"/>
      <c r="V70" s="137">
        <f>(Tabla1[[#This Row],[COS.BASE 3]]*0.25+Tabla1[[#This Row],[COS.BASE 3]])*Tabla1[[#This Row],[HORAS 25 % ]]</f>
        <v>0</v>
      </c>
      <c r="W70" s="138">
        <f>(Tabla1[[#This Row],[COS.BASE 3]]*0.35+Tabla1[[#This Row],[COS.BASE 3]])*Tabla1[[#This Row],[HORAS 35% ]]</f>
        <v>0</v>
      </c>
      <c r="X70" s="138">
        <f>SUM(Tabla1[[#This Row],[C.HORA.35]],Tabla1[[#This Row],[C.HORA.25]])</f>
        <v>0</v>
      </c>
      <c r="Y70" s="4"/>
      <c r="Z70" s="10">
        <f>Tabla1[[#This Row],[T.HORAS]]*24</f>
        <v>7</v>
      </c>
      <c r="AA70" s="4">
        <f>Tabla1[[#This Row],[H.NORMALES]]*24</f>
        <v>7</v>
      </c>
      <c r="AB70" s="10">
        <f>Tabla1[[#This Row],[H.EXTRAS]]*24</f>
        <v>0</v>
      </c>
      <c r="AC70" s="105">
        <f t="shared" ref="AC70:AC133" si="5">IF(J70=1,(((R70*24)*(L70/9))),0)+IF(J70=2,(((R70*24)*(L70/8))),0)+IF(J70=8,(((R70*24)*(L70/8))),0)</f>
        <v>45.675000000000004</v>
      </c>
      <c r="AD70" s="120">
        <f>Tabla1[[#This Row],[COS.BASE 2]]/8</f>
        <v>5.7093750000000005</v>
      </c>
      <c r="AE70" s="105">
        <f>Tabla1[[#This Row],[CST_H_E]]+Tabla1[[#This Row],[COS.BASE 2]]</f>
        <v>45.675000000000004</v>
      </c>
      <c r="AF70" s="106">
        <f>+_xlfn.IFNA(INDEX(RUBRO!$W$2:$AA$732,MATCH(Tabla1[[#This Row],[FECHA ]],RUBRO!$W$2:$W$732,0),5)," ")</f>
        <v>0</v>
      </c>
      <c r="AG70" s="10">
        <f>+_xlfn.IFNA(INDEX(RUBRO!$W$2:$AA$732,MATCH(Tabla1[[#This Row],[FECHA ]],RUBRO!$W$2:$W$732,0),2)," ")</f>
        <v>0</v>
      </c>
      <c r="AH70" s="40">
        <f>IFERROR(Tabla1[[#This Row],[F]]*Tabla1[[#This Row],[COS.B+E]]," ")</f>
        <v>0</v>
      </c>
      <c r="AI70" s="40">
        <f>IFERROR(Tabla1[[#This Row],[COS.B+E]]*Tabla1[[#This Row],[D]]," ")</f>
        <v>0</v>
      </c>
      <c r="AJ70" s="40" t="str">
        <f>IFERROR(Tabla1[[#This Row],[F]]*#REF!," ")</f>
        <v xml:space="preserve"> </v>
      </c>
      <c r="AK70" s="40" t="str">
        <f>IFERROR(#REF!*Tabla1[[#This Row],[D]]," ")</f>
        <v xml:space="preserve"> </v>
      </c>
      <c r="AL70" s="103"/>
      <c r="AM70" s="103"/>
      <c r="AN70" s="103"/>
      <c r="AO70" s="38">
        <f>+Tabla1[[#This Row],[COS.B+E]]+Tabla1[[#This Row],[COS.F1]]+Tabla1[[#This Row],[COS.D1]]+Tabla1[[#This Row],[ALIMENTACION]]+Tabla1[[#This Row],[PRESTAMO]]+AN70</f>
        <v>45.675000000000004</v>
      </c>
      <c r="AP70" s="38" t="e">
        <f>+#REF!+Tabla1[[#This Row],[COS F2]]+Tabla1[[#This Row],[COS D2]]+Tabla1[[#This Row],[ALIMENTACION]]+Tabla1[[#This Row],[PRESTAMO]]+Tabla1[[#This Row],[PASAJES]]</f>
        <v>#REF!</v>
      </c>
    </row>
    <row r="71" spans="1:42" x14ac:dyDescent="0.25">
      <c r="A71" s="2" t="str">
        <f>TEXT(Tabla1[[#This Row],[FECHA ]],"DDDDD")</f>
        <v>sábado</v>
      </c>
      <c r="B71" s="2" t="str">
        <f>_xlfn.IFNA(VLOOKUP(Tabla1[[#This Row],[DESTINO]],RUBRO!$Q$1:$R$9996,2,FALSE)," ")</f>
        <v>OBRA</v>
      </c>
      <c r="C71" s="104">
        <f>WEEKNUM(Tabla1[[#This Row],[FECHA ]],2)</f>
        <v>19</v>
      </c>
      <c r="D71" s="104" t="str">
        <f>TEXT(Tabla1[[#This Row],[FECHA ]],"MMM-YY")</f>
        <v>may-YY</v>
      </c>
      <c r="E71" s="104" t="str">
        <f>VLOOKUP(Tabla1[[#This Row],[DNI ]],RUBRO!$F$1:$O$9996,7,FALSE)</f>
        <v>5ta</v>
      </c>
      <c r="F71" s="104" t="str">
        <f>VLOOKUP(Tabla1[[#This Row],[DNI ]],RUBRO!$F$1:$O$88,3,FALSE)</f>
        <v>TECME-03</v>
      </c>
      <c r="G71" s="104" t="str">
        <f>VLOOKUP(Tabla1[[#This Row],[DNI ]],RUBRO!$F$1:$O$9996,5,FALSE)</f>
        <v>TECNICO ELECTRICO MONTAJISTA DE MAQUINARIA EXTRANJERA</v>
      </c>
      <c r="H71" s="66" t="str">
        <f>VLOOKUP(Tabla1[[#This Row],[DNI ]],RUBRO!$F$1:$O$9996,6,FALSE)</f>
        <v>CHAQUILA JIMENEZ VICTOR JHEYNER</v>
      </c>
      <c r="I71" s="94">
        <v>44324</v>
      </c>
      <c r="J71" s="10">
        <v>2</v>
      </c>
      <c r="K71" s="2">
        <v>47055982</v>
      </c>
      <c r="L71" s="4">
        <f>VLOOKUP(Tabla1[[#This Row],[DNI ]],RUBRO!$F$2:$O$9996,8,FALSE)</f>
        <v>73.72</v>
      </c>
      <c r="M71" s="88">
        <v>0.29166666666666669</v>
      </c>
      <c r="N71" s="28">
        <v>0.45833333333333331</v>
      </c>
      <c r="O71" s="28">
        <v>0.45833333333333331</v>
      </c>
      <c r="P71" s="28">
        <v>0.91666666666666663</v>
      </c>
      <c r="Q71" s="31">
        <f>(Tabla1[[#This Row],[SALIDA]]-Tabla1[[#This Row],[FIN ]])+(Tabla1[[#This Row],[INICIO]]-Tabla1[[#This Row],[INGRESO]])</f>
        <v>0.625</v>
      </c>
      <c r="R71" s="13">
        <f t="shared" si="3"/>
        <v>0.33333333333333331</v>
      </c>
      <c r="S71" s="31">
        <f t="shared" si="4"/>
        <v>0.29166666666666669</v>
      </c>
      <c r="T71" s="136"/>
      <c r="U71" s="136"/>
      <c r="V71" s="137">
        <f>(Tabla1[[#This Row],[COS.BASE 3]]*0.25+Tabla1[[#This Row],[COS.BASE 3]])*Tabla1[[#This Row],[HORAS 25 % ]]</f>
        <v>0</v>
      </c>
      <c r="W71" s="138">
        <f>(Tabla1[[#This Row],[COS.BASE 3]]*0.35+Tabla1[[#This Row],[COS.BASE 3]])*Tabla1[[#This Row],[HORAS 35% ]]</f>
        <v>0</v>
      </c>
      <c r="X71" s="138">
        <f>SUM(Tabla1[[#This Row],[C.HORA.35]],Tabla1[[#This Row],[C.HORA.25]])</f>
        <v>0</v>
      </c>
      <c r="Y71" s="4"/>
      <c r="Z71" s="10">
        <f>Tabla1[[#This Row],[T.HORAS]]*24</f>
        <v>15</v>
      </c>
      <c r="AA71" s="4">
        <f>Tabla1[[#This Row],[H.NORMALES]]*24</f>
        <v>8</v>
      </c>
      <c r="AB71" s="10">
        <f>Tabla1[[#This Row],[H.EXTRAS]]*24</f>
        <v>7</v>
      </c>
      <c r="AC71" s="105">
        <f t="shared" si="5"/>
        <v>73.72</v>
      </c>
      <c r="AD71" s="120">
        <f>Tabla1[[#This Row],[COS.BASE 2]]/8</f>
        <v>9.2149999999999999</v>
      </c>
      <c r="AE71" s="105">
        <f>Tabla1[[#This Row],[CST_H_E]]+Tabla1[[#This Row],[COS.BASE 2]]</f>
        <v>73.72</v>
      </c>
      <c r="AF71" s="106">
        <f>+_xlfn.IFNA(INDEX(RUBRO!$W$2:$AA$732,MATCH(Tabla1[[#This Row],[FECHA ]],RUBRO!$W$2:$W$732,0),5)," ")</f>
        <v>0</v>
      </c>
      <c r="AG71" s="10">
        <f>+_xlfn.IFNA(INDEX(RUBRO!$W$2:$AA$732,MATCH(Tabla1[[#This Row],[FECHA ]],RUBRO!$W$2:$W$732,0),2)," ")</f>
        <v>0</v>
      </c>
      <c r="AH71" s="40">
        <f>IFERROR(Tabla1[[#This Row],[F]]*Tabla1[[#This Row],[COS.B+E]]," ")</f>
        <v>0</v>
      </c>
      <c r="AI71" s="40">
        <f>IFERROR(Tabla1[[#This Row],[COS.B+E]]*Tabla1[[#This Row],[D]]," ")</f>
        <v>0</v>
      </c>
      <c r="AJ71" s="40" t="str">
        <f>IFERROR(Tabla1[[#This Row],[F]]*#REF!," ")</f>
        <v xml:space="preserve"> </v>
      </c>
      <c r="AK71" s="40" t="str">
        <f>IFERROR(#REF!*Tabla1[[#This Row],[D]]," ")</f>
        <v xml:space="preserve"> </v>
      </c>
      <c r="AL71" s="103"/>
      <c r="AM71" s="103"/>
      <c r="AN71" s="103"/>
      <c r="AO71" s="38">
        <f>+Tabla1[[#This Row],[COS.B+E]]+Tabla1[[#This Row],[COS.F1]]+Tabla1[[#This Row],[COS.D1]]+Tabla1[[#This Row],[ALIMENTACION]]+Tabla1[[#This Row],[PRESTAMO]]+AN71</f>
        <v>73.72</v>
      </c>
      <c r="AP71" s="38" t="e">
        <f>+#REF!+Tabla1[[#This Row],[COS F2]]+Tabla1[[#This Row],[COS D2]]+Tabla1[[#This Row],[ALIMENTACION]]+Tabla1[[#This Row],[PRESTAMO]]+Tabla1[[#This Row],[PASAJES]]</f>
        <v>#REF!</v>
      </c>
    </row>
    <row r="72" spans="1:42" x14ac:dyDescent="0.25">
      <c r="A72" s="2" t="str">
        <f>TEXT(Tabla1[[#This Row],[FECHA ]],"DDDDD")</f>
        <v>sábado</v>
      </c>
      <c r="B72" s="2" t="str">
        <f>_xlfn.IFNA(VLOOKUP(Tabla1[[#This Row],[DESTINO]],RUBRO!$Q$1:$R$9996,2,FALSE)," ")</f>
        <v>OBRA</v>
      </c>
      <c r="C72" s="104">
        <f>WEEKNUM(Tabla1[[#This Row],[FECHA ]],2)</f>
        <v>19</v>
      </c>
      <c r="D72" s="104" t="str">
        <f>TEXT(Tabla1[[#This Row],[FECHA ]],"MMM-YY")</f>
        <v>may-YY</v>
      </c>
      <c r="E72" s="104" t="str">
        <f>VLOOKUP(Tabla1[[#This Row],[DNI ]],RUBRO!$F$1:$O$9996,7,FALSE)</f>
        <v>5ta</v>
      </c>
      <c r="F72" s="104" t="e">
        <f>VLOOKUP(Tabla1[[#This Row],[DNI ]],RUBRO!$F$1:$O$88,3,FALSE)</f>
        <v>#N/A</v>
      </c>
      <c r="G72" s="104" t="str">
        <f>VLOOKUP(Tabla1[[#This Row],[DNI ]],RUBRO!$F$1:$O$9996,5,FALSE)</f>
        <v>AYUDANTE DE PRODUCCION</v>
      </c>
      <c r="H72" s="66" t="str">
        <f>VLOOKUP(Tabla1[[#This Row],[DNI ]],RUBRO!$F$1:$O$9996,6,FALSE)</f>
        <v>COPIA BALDERA NILSON</v>
      </c>
      <c r="I72" s="94">
        <v>44324</v>
      </c>
      <c r="J72" s="10">
        <v>2</v>
      </c>
      <c r="K72" s="2">
        <v>48359730</v>
      </c>
      <c r="L72" s="4">
        <f>VLOOKUP(Tabla1[[#This Row],[DNI ]],RUBRO!$F$2:$O$9996,8,FALSE)</f>
        <v>55</v>
      </c>
      <c r="M72" s="88">
        <v>0.29166666666666669</v>
      </c>
      <c r="N72" s="28"/>
      <c r="P72" s="28">
        <v>0.5</v>
      </c>
      <c r="Q72" s="31">
        <f>(Tabla1[[#This Row],[SALIDA]]-Tabla1[[#This Row],[FIN ]])+(Tabla1[[#This Row],[INICIO]]-Tabla1[[#This Row],[INGRESO]])</f>
        <v>0.20833333333333331</v>
      </c>
      <c r="R72" s="13">
        <f t="shared" si="3"/>
        <v>0.20833333333333331</v>
      </c>
      <c r="S72" s="31">
        <f t="shared" si="4"/>
        <v>0</v>
      </c>
      <c r="T72" s="136"/>
      <c r="U72" s="136"/>
      <c r="V72" s="137">
        <f>(Tabla1[[#This Row],[COS.BASE 3]]*0.25+Tabla1[[#This Row],[COS.BASE 3]])*Tabla1[[#This Row],[HORAS 25 % ]]</f>
        <v>0</v>
      </c>
      <c r="W72" s="138">
        <f>(Tabla1[[#This Row],[COS.BASE 3]]*0.35+Tabla1[[#This Row],[COS.BASE 3]])*Tabla1[[#This Row],[HORAS 35% ]]</f>
        <v>0</v>
      </c>
      <c r="X72" s="138">
        <f>SUM(Tabla1[[#This Row],[C.HORA.35]],Tabla1[[#This Row],[C.HORA.25]])</f>
        <v>0</v>
      </c>
      <c r="Y72" s="4"/>
      <c r="Z72" s="10">
        <f>Tabla1[[#This Row],[T.HORAS]]*24</f>
        <v>5</v>
      </c>
      <c r="AA72" s="4">
        <f>Tabla1[[#This Row],[H.NORMALES]]*24</f>
        <v>5</v>
      </c>
      <c r="AB72" s="10">
        <f>Tabla1[[#This Row],[H.EXTRAS]]*24</f>
        <v>0</v>
      </c>
      <c r="AC72" s="105">
        <f t="shared" si="5"/>
        <v>34.375</v>
      </c>
      <c r="AD72" s="120">
        <f>Tabla1[[#This Row],[COS.BASE 2]]/8</f>
        <v>4.296875</v>
      </c>
      <c r="AE72" s="105">
        <f>Tabla1[[#This Row],[CST_H_E]]+Tabla1[[#This Row],[COS.BASE 2]]</f>
        <v>34.375</v>
      </c>
      <c r="AF72" s="106">
        <f>+_xlfn.IFNA(INDEX(RUBRO!$W$2:$AA$732,MATCH(Tabla1[[#This Row],[FECHA ]],RUBRO!$W$2:$W$732,0),5)," ")</f>
        <v>0</v>
      </c>
      <c r="AG72" s="10">
        <f>+_xlfn.IFNA(INDEX(RUBRO!$W$2:$AA$732,MATCH(Tabla1[[#This Row],[FECHA ]],RUBRO!$W$2:$W$732,0),2)," ")</f>
        <v>0</v>
      </c>
      <c r="AH72" s="40">
        <f>IFERROR(Tabla1[[#This Row],[F]]*Tabla1[[#This Row],[COS.B+E]]," ")</f>
        <v>0</v>
      </c>
      <c r="AI72" s="40">
        <f>IFERROR(Tabla1[[#This Row],[COS.B+E]]*Tabla1[[#This Row],[D]]," ")</f>
        <v>0</v>
      </c>
      <c r="AJ72" s="40" t="str">
        <f>IFERROR(Tabla1[[#This Row],[F]]*#REF!," ")</f>
        <v xml:space="preserve"> </v>
      </c>
      <c r="AK72" s="40" t="str">
        <f>IFERROR(#REF!*Tabla1[[#This Row],[D]]," ")</f>
        <v xml:space="preserve"> </v>
      </c>
      <c r="AL72" s="103"/>
      <c r="AM72" s="103"/>
      <c r="AN72" s="103"/>
      <c r="AO72" s="38">
        <f>+Tabla1[[#This Row],[COS.B+E]]+Tabla1[[#This Row],[COS.F1]]+Tabla1[[#This Row],[COS.D1]]+Tabla1[[#This Row],[ALIMENTACION]]+Tabla1[[#This Row],[PRESTAMO]]+AN72</f>
        <v>34.375</v>
      </c>
      <c r="AP72" s="38" t="e">
        <f>+#REF!+Tabla1[[#This Row],[COS F2]]+Tabla1[[#This Row],[COS D2]]+Tabla1[[#This Row],[ALIMENTACION]]+Tabla1[[#This Row],[PRESTAMO]]+Tabla1[[#This Row],[PASAJES]]</f>
        <v>#REF!</v>
      </c>
    </row>
    <row r="73" spans="1:42" x14ac:dyDescent="0.25">
      <c r="A73" s="2" t="str">
        <f>TEXT(Tabla1[[#This Row],[FECHA ]],"DDDDD")</f>
        <v>sábado</v>
      </c>
      <c r="B73" s="2" t="str">
        <f>_xlfn.IFNA(VLOOKUP(Tabla1[[#This Row],[DESTINO]],RUBRO!$Q$1:$R$9996,2,FALSE)," ")</f>
        <v>PLANTA</v>
      </c>
      <c r="C73" s="104">
        <f>WEEKNUM(Tabla1[[#This Row],[FECHA ]],2)</f>
        <v>19</v>
      </c>
      <c r="D73" s="104" t="str">
        <f>TEXT(Tabla1[[#This Row],[FECHA ]],"MMM-YY")</f>
        <v>may-YY</v>
      </c>
      <c r="E73" s="104" t="str">
        <f>VLOOKUP(Tabla1[[#This Row],[DNI ]],RUBRO!$F$1:$O$9996,7,FALSE)</f>
        <v>5ta</v>
      </c>
      <c r="F73" s="104" t="str">
        <f>VLOOKUP(Tabla1[[#This Row],[DNI ]],RUBRO!$F$1:$O$88,3,FALSE)</f>
        <v>OPE-01</v>
      </c>
      <c r="G73" s="104" t="str">
        <f>VLOOKUP(Tabla1[[#This Row],[DNI ]],RUBRO!$F$1:$O$9996,5,FALSE)</f>
        <v>OPERARIO SOLDADOR</v>
      </c>
      <c r="H73" s="66" t="str">
        <f>VLOOKUP(Tabla1[[#This Row],[DNI ]],RUBRO!$F$1:$O$9996,6,FALSE)</f>
        <v>CORDOVA OJEDA JHON GIAMPIERRE</v>
      </c>
      <c r="I73" s="94">
        <v>44324</v>
      </c>
      <c r="J73" s="10">
        <v>1</v>
      </c>
      <c r="K73" s="2">
        <v>74359947</v>
      </c>
      <c r="L73" s="4">
        <f>VLOOKUP(Tabla1[[#This Row],[DNI ]],RUBRO!$F$2:$O$9996,8,FALSE)</f>
        <v>57.62</v>
      </c>
      <c r="M73" s="88">
        <v>0.29166666666666669</v>
      </c>
      <c r="N73" s="28">
        <v>0.54166666666666663</v>
      </c>
      <c r="O73" s="28">
        <v>0.55208333333333337</v>
      </c>
      <c r="P73" s="28">
        <v>0.67708333333333337</v>
      </c>
      <c r="Q73" s="31">
        <f>(Tabla1[[#This Row],[SALIDA]]-Tabla1[[#This Row],[FIN ]])+(Tabla1[[#This Row],[INICIO]]-Tabla1[[#This Row],[INGRESO]])</f>
        <v>0.37499999999999994</v>
      </c>
      <c r="R73" s="13">
        <f t="shared" si="3"/>
        <v>0.37499999999999994</v>
      </c>
      <c r="S73" s="31">
        <f t="shared" si="4"/>
        <v>0</v>
      </c>
      <c r="T73" s="136"/>
      <c r="U73" s="136"/>
      <c r="V73" s="137">
        <f>(Tabla1[[#This Row],[COS.BASE 3]]*0.25+Tabla1[[#This Row],[COS.BASE 3]])*Tabla1[[#This Row],[HORAS 25 % ]]</f>
        <v>0</v>
      </c>
      <c r="W73" s="138">
        <f>(Tabla1[[#This Row],[COS.BASE 3]]*0.35+Tabla1[[#This Row],[COS.BASE 3]])*Tabla1[[#This Row],[HORAS 35% ]]</f>
        <v>0</v>
      </c>
      <c r="X73" s="138">
        <f>SUM(Tabla1[[#This Row],[C.HORA.35]],Tabla1[[#This Row],[C.HORA.25]])</f>
        <v>0</v>
      </c>
      <c r="Y73" s="4"/>
      <c r="Z73" s="10">
        <f>Tabla1[[#This Row],[T.HORAS]]*24</f>
        <v>8.9999999999999982</v>
      </c>
      <c r="AA73" s="4">
        <f>Tabla1[[#This Row],[H.NORMALES]]*24</f>
        <v>8.9999999999999982</v>
      </c>
      <c r="AB73" s="10">
        <f>Tabla1[[#This Row],[H.EXTRAS]]*24</f>
        <v>0</v>
      </c>
      <c r="AC73" s="105">
        <f t="shared" si="5"/>
        <v>57.61999999999999</v>
      </c>
      <c r="AD73" s="120">
        <f>Tabla1[[#This Row],[COS.BASE 2]]/8</f>
        <v>7.2024999999999988</v>
      </c>
      <c r="AE73" s="105">
        <f>Tabla1[[#This Row],[CST_H_E]]+Tabla1[[#This Row],[COS.BASE 2]]</f>
        <v>57.61999999999999</v>
      </c>
      <c r="AF73" s="106">
        <f>+_xlfn.IFNA(INDEX(RUBRO!$W$2:$AA$732,MATCH(Tabla1[[#This Row],[FECHA ]],RUBRO!$W$2:$W$732,0),5)," ")</f>
        <v>0</v>
      </c>
      <c r="AG73" s="10">
        <f>+_xlfn.IFNA(INDEX(RUBRO!$W$2:$AA$732,MATCH(Tabla1[[#This Row],[FECHA ]],RUBRO!$W$2:$W$732,0),2)," ")</f>
        <v>0</v>
      </c>
      <c r="AH73" s="40">
        <f>IFERROR(Tabla1[[#This Row],[F]]*Tabla1[[#This Row],[COS.B+E]]," ")</f>
        <v>0</v>
      </c>
      <c r="AI73" s="40">
        <f>IFERROR(Tabla1[[#This Row],[COS.B+E]]*Tabla1[[#This Row],[D]]," ")</f>
        <v>0</v>
      </c>
      <c r="AJ73" s="40" t="str">
        <f>IFERROR(Tabla1[[#This Row],[F]]*#REF!," ")</f>
        <v xml:space="preserve"> </v>
      </c>
      <c r="AK73" s="40" t="str">
        <f>IFERROR(#REF!*Tabla1[[#This Row],[D]]," ")</f>
        <v xml:space="preserve"> </v>
      </c>
      <c r="AL73" s="103"/>
      <c r="AM73" s="103"/>
      <c r="AN73" s="103"/>
      <c r="AO73" s="38">
        <f>+Tabla1[[#This Row],[COS.B+E]]+Tabla1[[#This Row],[COS.F1]]+Tabla1[[#This Row],[COS.D1]]+Tabla1[[#This Row],[ALIMENTACION]]+Tabla1[[#This Row],[PRESTAMO]]+AN73</f>
        <v>57.61999999999999</v>
      </c>
      <c r="AP73" s="38" t="e">
        <f>+#REF!+Tabla1[[#This Row],[COS F2]]+Tabla1[[#This Row],[COS D2]]+Tabla1[[#This Row],[ALIMENTACION]]+Tabla1[[#This Row],[PRESTAMO]]+Tabla1[[#This Row],[PASAJES]]</f>
        <v>#REF!</v>
      </c>
    </row>
    <row r="74" spans="1:42" x14ac:dyDescent="0.25">
      <c r="A74" s="2" t="str">
        <f>TEXT(Tabla1[[#This Row],[FECHA ]],"DDDDD")</f>
        <v>sábado</v>
      </c>
      <c r="B74" s="2" t="str">
        <f>_xlfn.IFNA(VLOOKUP(Tabla1[[#This Row],[DESTINO]],RUBRO!$Q$1:$R$9996,2,FALSE)," ")</f>
        <v>PLANTA</v>
      </c>
      <c r="C74" s="104">
        <f>WEEKNUM(Tabla1[[#This Row],[FECHA ]],2)</f>
        <v>19</v>
      </c>
      <c r="D74" s="104" t="str">
        <f>TEXT(Tabla1[[#This Row],[FECHA ]],"MMM-YY")</f>
        <v>may-YY</v>
      </c>
      <c r="E74" s="104" t="str">
        <f>VLOOKUP(Tabla1[[#This Row],[DNI ]],RUBRO!$F$1:$O$9996,7,FALSE)</f>
        <v>5ta</v>
      </c>
      <c r="F74" s="104" t="str">
        <f>VLOOKUP(Tabla1[[#This Row],[DNI ]],RUBRO!$F$1:$O$88,3,FALSE)</f>
        <v>TEC-02</v>
      </c>
      <c r="G74" s="104" t="str">
        <f>VLOOKUP(Tabla1[[#This Row],[DNI ]],RUBRO!$F$1:$O$9996,5,FALSE)</f>
        <v>TECNICO MECANICO MONTAJISTA DE MAQUINARIA</v>
      </c>
      <c r="H74" s="66" t="str">
        <f>VLOOKUP(Tabla1[[#This Row],[DNI ]],RUBRO!$F$1:$O$9996,6,FALSE)</f>
        <v>CORREA TORRES NOYLER</v>
      </c>
      <c r="I74" s="94">
        <v>44324</v>
      </c>
      <c r="J74" s="10">
        <v>1</v>
      </c>
      <c r="K74" s="2">
        <v>47321409</v>
      </c>
      <c r="L74" s="4">
        <f>VLOOKUP(Tabla1[[#This Row],[DNI ]],RUBRO!$F$2:$O$9996,8,FALSE)</f>
        <v>65</v>
      </c>
      <c r="M74" s="88">
        <v>0.29166666666666669</v>
      </c>
      <c r="N74" s="28"/>
      <c r="P74" s="28">
        <v>0.58333333333333337</v>
      </c>
      <c r="Q74" s="31">
        <f>(Tabla1[[#This Row],[SALIDA]]-Tabla1[[#This Row],[FIN ]])+(Tabla1[[#This Row],[INICIO]]-Tabla1[[#This Row],[INGRESO]])</f>
        <v>0.29166666666666669</v>
      </c>
      <c r="R74" s="13">
        <f t="shared" si="3"/>
        <v>0.29166666666666669</v>
      </c>
      <c r="S74" s="31">
        <f t="shared" si="4"/>
        <v>0</v>
      </c>
      <c r="T74" s="136"/>
      <c r="U74" s="136"/>
      <c r="V74" s="137">
        <f>(Tabla1[[#This Row],[COS.BASE 3]]*0.25+Tabla1[[#This Row],[COS.BASE 3]])*Tabla1[[#This Row],[HORAS 25 % ]]</f>
        <v>0</v>
      </c>
      <c r="W74" s="138">
        <f>(Tabla1[[#This Row],[COS.BASE 3]]*0.35+Tabla1[[#This Row],[COS.BASE 3]])*Tabla1[[#This Row],[HORAS 35% ]]</f>
        <v>0</v>
      </c>
      <c r="X74" s="138">
        <f>SUM(Tabla1[[#This Row],[C.HORA.35]],Tabla1[[#This Row],[C.HORA.25]])</f>
        <v>0</v>
      </c>
      <c r="Y74" s="4"/>
      <c r="Z74" s="10">
        <f>Tabla1[[#This Row],[T.HORAS]]*24</f>
        <v>7</v>
      </c>
      <c r="AA74" s="4">
        <f>Tabla1[[#This Row],[H.NORMALES]]*24</f>
        <v>7</v>
      </c>
      <c r="AB74" s="10">
        <f>Tabla1[[#This Row],[H.EXTRAS]]*24</f>
        <v>0</v>
      </c>
      <c r="AC74" s="105">
        <f t="shared" si="5"/>
        <v>50.555555555555557</v>
      </c>
      <c r="AD74" s="120">
        <f>Tabla1[[#This Row],[COS.BASE 2]]/8</f>
        <v>6.3194444444444446</v>
      </c>
      <c r="AE74" s="105">
        <f>Tabla1[[#This Row],[CST_H_E]]+Tabla1[[#This Row],[COS.BASE 2]]</f>
        <v>50.555555555555557</v>
      </c>
      <c r="AF74" s="106">
        <f>+_xlfn.IFNA(INDEX(RUBRO!$W$2:$AA$732,MATCH(Tabla1[[#This Row],[FECHA ]],RUBRO!$W$2:$W$732,0),5)," ")</f>
        <v>0</v>
      </c>
      <c r="AG74" s="10">
        <f>+_xlfn.IFNA(INDEX(RUBRO!$W$2:$AA$732,MATCH(Tabla1[[#This Row],[FECHA ]],RUBRO!$W$2:$W$732,0),2)," ")</f>
        <v>0</v>
      </c>
      <c r="AH74" s="40">
        <f>IFERROR(Tabla1[[#This Row],[F]]*Tabla1[[#This Row],[COS.B+E]]," ")</f>
        <v>0</v>
      </c>
      <c r="AI74" s="40">
        <f>IFERROR(Tabla1[[#This Row],[COS.B+E]]*Tabla1[[#This Row],[D]]," ")</f>
        <v>0</v>
      </c>
      <c r="AJ74" s="40" t="str">
        <f>IFERROR(Tabla1[[#This Row],[F]]*#REF!," ")</f>
        <v xml:space="preserve"> </v>
      </c>
      <c r="AK74" s="40" t="str">
        <f>IFERROR(#REF!*Tabla1[[#This Row],[D]]," ")</f>
        <v xml:space="preserve"> </v>
      </c>
      <c r="AL74" s="103"/>
      <c r="AM74" s="103"/>
      <c r="AN74" s="103"/>
      <c r="AO74" s="38">
        <f>+Tabla1[[#This Row],[COS.B+E]]+Tabla1[[#This Row],[COS.F1]]+Tabla1[[#This Row],[COS.D1]]+Tabla1[[#This Row],[ALIMENTACION]]+Tabla1[[#This Row],[PRESTAMO]]+AN74</f>
        <v>50.555555555555557</v>
      </c>
      <c r="AP74" s="38" t="e">
        <f>+#REF!+Tabla1[[#This Row],[COS F2]]+Tabla1[[#This Row],[COS D2]]+Tabla1[[#This Row],[ALIMENTACION]]+Tabla1[[#This Row],[PRESTAMO]]+Tabla1[[#This Row],[PASAJES]]</f>
        <v>#REF!</v>
      </c>
    </row>
    <row r="75" spans="1:42" x14ac:dyDescent="0.25">
      <c r="A75" s="2" t="str">
        <f>TEXT(Tabla1[[#This Row],[FECHA ]],"DDDDD")</f>
        <v>sábado</v>
      </c>
      <c r="B75" s="2" t="str">
        <f>_xlfn.IFNA(VLOOKUP(Tabla1[[#This Row],[DESTINO]],RUBRO!$Q$1:$R$9996,2,FALSE)," ")</f>
        <v>OBRA</v>
      </c>
      <c r="C75" s="104">
        <f>WEEKNUM(Tabla1[[#This Row],[FECHA ]],2)</f>
        <v>19</v>
      </c>
      <c r="D75" s="104" t="str">
        <f>TEXT(Tabla1[[#This Row],[FECHA ]],"MMM-YY")</f>
        <v>may-YY</v>
      </c>
      <c r="E75" s="104" t="str">
        <f>VLOOKUP(Tabla1[[#This Row],[DNI ]],RUBRO!$F$1:$O$9996,7,FALSE)</f>
        <v>5ta</v>
      </c>
      <c r="F75" s="104" t="str">
        <f>VLOOKUP(Tabla1[[#This Row],[DNI ]],RUBRO!$F$1:$O$88,3,FALSE)</f>
        <v>TEC-04</v>
      </c>
      <c r="G75" s="104" t="str">
        <f>VLOOKUP(Tabla1[[#This Row],[DNI ]],RUBRO!$F$1:$O$9996,5,FALSE)</f>
        <v>TECNICO MECANICO MONTAJISTA DE MAQUINARIA EXTRANJERA</v>
      </c>
      <c r="H75" s="66" t="str">
        <f>VLOOKUP(Tabla1[[#This Row],[DNI ]],RUBRO!$F$1:$O$9996,6,FALSE)</f>
        <v>CUYA CAYCHO DANIEL LORENZO</v>
      </c>
      <c r="I75" s="94">
        <v>44324</v>
      </c>
      <c r="J75" s="10">
        <v>2</v>
      </c>
      <c r="K75" s="2">
        <v>70133802</v>
      </c>
      <c r="L75" s="4">
        <f>VLOOKUP(Tabla1[[#This Row],[DNI ]],RUBRO!$F$2:$O$9996,8,FALSE)</f>
        <v>66.92</v>
      </c>
      <c r="M75" s="88">
        <v>0.29166666666666669</v>
      </c>
      <c r="N75" s="28"/>
      <c r="P75" s="28">
        <v>0.625</v>
      </c>
      <c r="Q75" s="31">
        <f>(Tabla1[[#This Row],[SALIDA]]-Tabla1[[#This Row],[FIN ]])+(Tabla1[[#This Row],[INICIO]]-Tabla1[[#This Row],[INGRESO]])</f>
        <v>0.33333333333333331</v>
      </c>
      <c r="R75" s="13">
        <f t="shared" si="3"/>
        <v>0.33333333333333331</v>
      </c>
      <c r="S75" s="31">
        <f t="shared" si="4"/>
        <v>0</v>
      </c>
      <c r="T75" s="136"/>
      <c r="U75" s="136"/>
      <c r="V75" s="137">
        <f>(Tabla1[[#This Row],[COS.BASE 3]]*0.25+Tabla1[[#This Row],[COS.BASE 3]])*Tabla1[[#This Row],[HORAS 25 % ]]</f>
        <v>0</v>
      </c>
      <c r="W75" s="138">
        <f>(Tabla1[[#This Row],[COS.BASE 3]]*0.35+Tabla1[[#This Row],[COS.BASE 3]])*Tabla1[[#This Row],[HORAS 35% ]]</f>
        <v>0</v>
      </c>
      <c r="X75" s="138">
        <f>SUM(Tabla1[[#This Row],[C.HORA.35]],Tabla1[[#This Row],[C.HORA.25]])</f>
        <v>0</v>
      </c>
      <c r="Y75" s="4"/>
      <c r="Z75" s="10">
        <f>Tabla1[[#This Row],[T.HORAS]]*24</f>
        <v>8</v>
      </c>
      <c r="AA75" s="4">
        <f>Tabla1[[#This Row],[H.NORMALES]]*24</f>
        <v>8</v>
      </c>
      <c r="AB75" s="10">
        <f>Tabla1[[#This Row],[H.EXTRAS]]*24</f>
        <v>0</v>
      </c>
      <c r="AC75" s="105">
        <f t="shared" si="5"/>
        <v>66.92</v>
      </c>
      <c r="AD75" s="120">
        <f>Tabla1[[#This Row],[COS.BASE 2]]/8</f>
        <v>8.3650000000000002</v>
      </c>
      <c r="AE75" s="105">
        <f>Tabla1[[#This Row],[CST_H_E]]+Tabla1[[#This Row],[COS.BASE 2]]</f>
        <v>66.92</v>
      </c>
      <c r="AF75" s="106">
        <f>+_xlfn.IFNA(INDEX(RUBRO!$W$2:$AA$732,MATCH(Tabla1[[#This Row],[FECHA ]],RUBRO!$W$2:$W$732,0),5)," ")</f>
        <v>0</v>
      </c>
      <c r="AG75" s="10">
        <f>+_xlfn.IFNA(INDEX(RUBRO!$W$2:$AA$732,MATCH(Tabla1[[#This Row],[FECHA ]],RUBRO!$W$2:$W$732,0),2)," ")</f>
        <v>0</v>
      </c>
      <c r="AH75" s="40">
        <f>IFERROR(Tabla1[[#This Row],[F]]*Tabla1[[#This Row],[COS.B+E]]," ")</f>
        <v>0</v>
      </c>
      <c r="AI75" s="40">
        <f>IFERROR(Tabla1[[#This Row],[COS.B+E]]*Tabla1[[#This Row],[D]]," ")</f>
        <v>0</v>
      </c>
      <c r="AJ75" s="40" t="str">
        <f>IFERROR(Tabla1[[#This Row],[F]]*#REF!," ")</f>
        <v xml:space="preserve"> </v>
      </c>
      <c r="AK75" s="40" t="str">
        <f>IFERROR(#REF!*Tabla1[[#This Row],[D]]," ")</f>
        <v xml:space="preserve"> </v>
      </c>
      <c r="AL75" s="103"/>
      <c r="AM75" s="103"/>
      <c r="AN75" s="103"/>
      <c r="AO75" s="38">
        <f>+Tabla1[[#This Row],[COS.B+E]]+Tabla1[[#This Row],[COS.F1]]+Tabla1[[#This Row],[COS.D1]]+Tabla1[[#This Row],[ALIMENTACION]]+Tabla1[[#This Row],[PRESTAMO]]+AN75</f>
        <v>66.92</v>
      </c>
      <c r="AP75" s="38" t="e">
        <f>+#REF!+Tabla1[[#This Row],[COS F2]]+Tabla1[[#This Row],[COS D2]]+Tabla1[[#This Row],[ALIMENTACION]]+Tabla1[[#This Row],[PRESTAMO]]+Tabla1[[#This Row],[PASAJES]]</f>
        <v>#REF!</v>
      </c>
    </row>
    <row r="76" spans="1:42" x14ac:dyDescent="0.25">
      <c r="A76" s="2" t="str">
        <f>TEXT(Tabla1[[#This Row],[FECHA ]],"DDDDD")</f>
        <v>sábado</v>
      </c>
      <c r="B76" s="2" t="str">
        <f>_xlfn.IFNA(VLOOKUP(Tabla1[[#This Row],[DESTINO]],RUBRO!$Q$1:$R$9996,2,FALSE)," ")</f>
        <v>FALTA</v>
      </c>
      <c r="C76" s="104">
        <f>WEEKNUM(Tabla1[[#This Row],[FECHA ]],2)</f>
        <v>19</v>
      </c>
      <c r="D76" s="104" t="str">
        <f>TEXT(Tabla1[[#This Row],[FECHA ]],"MMM-YY")</f>
        <v>may-YY</v>
      </c>
      <c r="E76" s="104" t="str">
        <f>VLOOKUP(Tabla1[[#This Row],[DNI ]],RUBRO!$F$1:$O$9996,7,FALSE)</f>
        <v>4ta</v>
      </c>
      <c r="F76" s="104" t="e">
        <f>VLOOKUP(Tabla1[[#This Row],[DNI ]],RUBRO!$F$1:$O$88,3,FALSE)</f>
        <v>#N/A</v>
      </c>
      <c r="G76" s="104" t="str">
        <f>VLOOKUP(Tabla1[[#This Row],[DNI ]],RUBRO!$F$1:$O$9996,5,FALSE)</f>
        <v>TECNICO SOLDADOR</v>
      </c>
      <c r="H76" s="66" t="str">
        <f>VLOOKUP(Tabla1[[#This Row],[DNI ]],RUBRO!$F$1:$O$9996,6,FALSE)</f>
        <v>DAMIAN DAMIAN MIGUEL ANGEL</v>
      </c>
      <c r="I76" s="94">
        <v>44324</v>
      </c>
      <c r="J76" s="10">
        <v>4</v>
      </c>
      <c r="K76" s="2">
        <v>75494335</v>
      </c>
      <c r="L76" s="4">
        <f>VLOOKUP(Tabla1[[#This Row],[DNI ]],RUBRO!$F$2:$O$9996,8,FALSE)</f>
        <v>90</v>
      </c>
      <c r="M76" s="88"/>
      <c r="N76" s="28"/>
      <c r="P76" s="28"/>
      <c r="Q76" s="31">
        <f>(Tabla1[[#This Row],[SALIDA]]-Tabla1[[#This Row],[FIN ]])+(Tabla1[[#This Row],[INICIO]]-Tabla1[[#This Row],[INGRESO]])</f>
        <v>0</v>
      </c>
      <c r="R76" s="13">
        <f t="shared" si="3"/>
        <v>0</v>
      </c>
      <c r="S76" s="31">
        <f t="shared" si="4"/>
        <v>0</v>
      </c>
      <c r="T76" s="136"/>
      <c r="U76" s="136"/>
      <c r="V76" s="137">
        <f>(Tabla1[[#This Row],[COS.BASE 3]]*0.25+Tabla1[[#This Row],[COS.BASE 3]])*Tabla1[[#This Row],[HORAS 25 % ]]</f>
        <v>0</v>
      </c>
      <c r="W76" s="138">
        <f>(Tabla1[[#This Row],[COS.BASE 3]]*0.35+Tabla1[[#This Row],[COS.BASE 3]])*Tabla1[[#This Row],[HORAS 35% ]]</f>
        <v>0</v>
      </c>
      <c r="X76" s="138">
        <f>SUM(Tabla1[[#This Row],[C.HORA.35]],Tabla1[[#This Row],[C.HORA.25]])</f>
        <v>0</v>
      </c>
      <c r="Y76" s="4"/>
      <c r="Z76" s="10">
        <f>Tabla1[[#This Row],[T.HORAS]]*24</f>
        <v>0</v>
      </c>
      <c r="AA76" s="4">
        <f>Tabla1[[#This Row],[H.NORMALES]]*24</f>
        <v>0</v>
      </c>
      <c r="AB76" s="10">
        <f>Tabla1[[#This Row],[H.EXTRAS]]*24</f>
        <v>0</v>
      </c>
      <c r="AC76" s="105">
        <f t="shared" si="5"/>
        <v>0</v>
      </c>
      <c r="AD76" s="120">
        <f>Tabla1[[#This Row],[COS.BASE 2]]/8</f>
        <v>0</v>
      </c>
      <c r="AE76" s="105">
        <f>Tabla1[[#This Row],[CST_H_E]]+Tabla1[[#This Row],[COS.BASE 2]]</f>
        <v>0</v>
      </c>
      <c r="AF76" s="106">
        <f>+_xlfn.IFNA(INDEX(RUBRO!$W$2:$AA$732,MATCH(Tabla1[[#This Row],[FECHA ]],RUBRO!$W$2:$W$732,0),5)," ")</f>
        <v>0</v>
      </c>
      <c r="AG76" s="10">
        <f>+_xlfn.IFNA(INDEX(RUBRO!$W$2:$AA$732,MATCH(Tabla1[[#This Row],[FECHA ]],RUBRO!$W$2:$W$732,0),2)," ")</f>
        <v>0</v>
      </c>
      <c r="AH76" s="40">
        <f>IFERROR(Tabla1[[#This Row],[F]]*Tabla1[[#This Row],[COS.B+E]]," ")</f>
        <v>0</v>
      </c>
      <c r="AI76" s="40">
        <f>IFERROR(Tabla1[[#This Row],[COS.B+E]]*Tabla1[[#This Row],[D]]," ")</f>
        <v>0</v>
      </c>
      <c r="AJ76" s="40" t="str">
        <f>IFERROR(Tabla1[[#This Row],[F]]*#REF!," ")</f>
        <v xml:space="preserve"> </v>
      </c>
      <c r="AK76" s="40" t="str">
        <f>IFERROR(#REF!*Tabla1[[#This Row],[D]]," ")</f>
        <v xml:space="preserve"> </v>
      </c>
      <c r="AL76" s="103"/>
      <c r="AM76" s="103"/>
      <c r="AN76" s="103"/>
      <c r="AO76" s="38">
        <f>+Tabla1[[#This Row],[COS.B+E]]+Tabla1[[#This Row],[COS.F1]]+Tabla1[[#This Row],[COS.D1]]+Tabla1[[#This Row],[ALIMENTACION]]+Tabla1[[#This Row],[PRESTAMO]]+AN76</f>
        <v>0</v>
      </c>
      <c r="AP76" s="38" t="e">
        <f>+#REF!+Tabla1[[#This Row],[COS F2]]+Tabla1[[#This Row],[COS D2]]+Tabla1[[#This Row],[ALIMENTACION]]+Tabla1[[#This Row],[PRESTAMO]]+Tabla1[[#This Row],[PASAJES]]</f>
        <v>#REF!</v>
      </c>
    </row>
    <row r="77" spans="1:42" x14ac:dyDescent="0.25">
      <c r="A77" s="2" t="str">
        <f>TEXT(Tabla1[[#This Row],[FECHA ]],"DDDDD")</f>
        <v>sábado</v>
      </c>
      <c r="B77" s="2" t="str">
        <f>_xlfn.IFNA(VLOOKUP(Tabla1[[#This Row],[DESTINO]],RUBRO!$Q$1:$R$9996,2,FALSE)," ")</f>
        <v>PLANTA</v>
      </c>
      <c r="C77" s="104">
        <f>WEEKNUM(Tabla1[[#This Row],[FECHA ]],2)</f>
        <v>19</v>
      </c>
      <c r="D77" s="104" t="str">
        <f>TEXT(Tabla1[[#This Row],[FECHA ]],"MMM-YY")</f>
        <v>may-YY</v>
      </c>
      <c r="E77" s="104" t="str">
        <f>VLOOKUP(Tabla1[[#This Row],[DNI ]],RUBRO!$F$1:$O$9996,7,FALSE)</f>
        <v>5ta</v>
      </c>
      <c r="F77" s="104" t="e">
        <f>VLOOKUP(Tabla1[[#This Row],[DNI ]],RUBRO!$F$1:$O$88,3,FALSE)</f>
        <v>#N/A</v>
      </c>
      <c r="G77" s="104" t="str">
        <f>VLOOKUP(Tabla1[[#This Row],[DNI ]],RUBRO!$F$1:$O$9996,5,FALSE)</f>
        <v>AYUDANTE DE PRODUCCION</v>
      </c>
      <c r="H77" s="66" t="str">
        <f>VLOOKUP(Tabla1[[#This Row],[DNI ]],RUBRO!$F$1:$O$9996,6,FALSE)</f>
        <v xml:space="preserve">DELGADO CORONADO ROBERTO </v>
      </c>
      <c r="I77" s="94">
        <v>44324</v>
      </c>
      <c r="J77" s="10">
        <v>1</v>
      </c>
      <c r="K77" s="2">
        <v>76288149</v>
      </c>
      <c r="L77" s="4">
        <f>VLOOKUP(Tabla1[[#This Row],[DNI ]],RUBRO!$F$2:$O$9996,8,FALSE)</f>
        <v>44.32</v>
      </c>
      <c r="M77" s="88">
        <v>0.29166666666666669</v>
      </c>
      <c r="N77" s="28"/>
      <c r="P77" s="28">
        <v>0.58333333333333337</v>
      </c>
      <c r="Q77" s="31">
        <f>(Tabla1[[#This Row],[SALIDA]]-Tabla1[[#This Row],[FIN ]])+(Tabla1[[#This Row],[INICIO]]-Tabla1[[#This Row],[INGRESO]])</f>
        <v>0.29166666666666669</v>
      </c>
      <c r="R77" s="13">
        <f t="shared" si="3"/>
        <v>0.29166666666666669</v>
      </c>
      <c r="S77" s="31">
        <f t="shared" si="4"/>
        <v>0</v>
      </c>
      <c r="T77" s="136"/>
      <c r="U77" s="136"/>
      <c r="V77" s="137">
        <f>(Tabla1[[#This Row],[COS.BASE 3]]*0.25+Tabla1[[#This Row],[COS.BASE 3]])*Tabla1[[#This Row],[HORAS 25 % ]]</f>
        <v>0</v>
      </c>
      <c r="W77" s="138">
        <f>(Tabla1[[#This Row],[COS.BASE 3]]*0.35+Tabla1[[#This Row],[COS.BASE 3]])*Tabla1[[#This Row],[HORAS 35% ]]</f>
        <v>0</v>
      </c>
      <c r="X77" s="138">
        <f>SUM(Tabla1[[#This Row],[C.HORA.35]],Tabla1[[#This Row],[C.HORA.25]])</f>
        <v>0</v>
      </c>
      <c r="Y77" s="4"/>
      <c r="Z77" s="10">
        <f>Tabla1[[#This Row],[T.HORAS]]*24</f>
        <v>7</v>
      </c>
      <c r="AA77" s="4">
        <f>Tabla1[[#This Row],[H.NORMALES]]*24</f>
        <v>7</v>
      </c>
      <c r="AB77" s="10">
        <f>Tabla1[[#This Row],[H.EXTRAS]]*24</f>
        <v>0</v>
      </c>
      <c r="AC77" s="105">
        <f t="shared" si="5"/>
        <v>34.471111111111107</v>
      </c>
      <c r="AD77" s="120">
        <f>Tabla1[[#This Row],[COS.BASE 2]]/8</f>
        <v>4.3088888888888883</v>
      </c>
      <c r="AE77" s="105">
        <f>Tabla1[[#This Row],[CST_H_E]]+Tabla1[[#This Row],[COS.BASE 2]]</f>
        <v>34.471111111111107</v>
      </c>
      <c r="AF77" s="106">
        <f>+_xlfn.IFNA(INDEX(RUBRO!$W$2:$AA$732,MATCH(Tabla1[[#This Row],[FECHA ]],RUBRO!$W$2:$W$732,0),5)," ")</f>
        <v>0</v>
      </c>
      <c r="AG77" s="10">
        <f>+_xlfn.IFNA(INDEX(RUBRO!$W$2:$AA$732,MATCH(Tabla1[[#This Row],[FECHA ]],RUBRO!$W$2:$W$732,0),2)," ")</f>
        <v>0</v>
      </c>
      <c r="AH77" s="40">
        <f>IFERROR(Tabla1[[#This Row],[F]]*Tabla1[[#This Row],[COS.B+E]]," ")</f>
        <v>0</v>
      </c>
      <c r="AI77" s="40">
        <f>IFERROR(Tabla1[[#This Row],[COS.B+E]]*Tabla1[[#This Row],[D]]," ")</f>
        <v>0</v>
      </c>
      <c r="AJ77" s="40" t="str">
        <f>IFERROR(Tabla1[[#This Row],[F]]*#REF!," ")</f>
        <v xml:space="preserve"> </v>
      </c>
      <c r="AK77" s="40" t="str">
        <f>IFERROR(#REF!*Tabla1[[#This Row],[D]]," ")</f>
        <v xml:space="preserve"> </v>
      </c>
      <c r="AL77" s="103"/>
      <c r="AM77" s="103"/>
      <c r="AN77" s="103"/>
      <c r="AO77" s="38">
        <f>+Tabla1[[#This Row],[COS.B+E]]+Tabla1[[#This Row],[COS.F1]]+Tabla1[[#This Row],[COS.D1]]+Tabla1[[#This Row],[ALIMENTACION]]+Tabla1[[#This Row],[PRESTAMO]]+AN77</f>
        <v>34.471111111111107</v>
      </c>
      <c r="AP77" s="38" t="e">
        <f>+#REF!+Tabla1[[#This Row],[COS F2]]+Tabla1[[#This Row],[COS D2]]+Tabla1[[#This Row],[ALIMENTACION]]+Tabla1[[#This Row],[PRESTAMO]]+Tabla1[[#This Row],[PASAJES]]</f>
        <v>#REF!</v>
      </c>
    </row>
    <row r="78" spans="1:42" x14ac:dyDescent="0.25">
      <c r="A78" s="2" t="str">
        <f>TEXT(Tabla1[[#This Row],[FECHA ]],"DDDDD")</f>
        <v>sábado</v>
      </c>
      <c r="B78" s="2" t="str">
        <f>_xlfn.IFNA(VLOOKUP(Tabla1[[#This Row],[DESTINO]],RUBRO!$Q$1:$R$9996,2,FALSE)," ")</f>
        <v>OBRA</v>
      </c>
      <c r="C78" s="104">
        <f>WEEKNUM(Tabla1[[#This Row],[FECHA ]],2)</f>
        <v>19</v>
      </c>
      <c r="D78" s="104" t="str">
        <f>TEXT(Tabla1[[#This Row],[FECHA ]],"MMM-YY")</f>
        <v>may-YY</v>
      </c>
      <c r="E78" s="104" t="str">
        <f>VLOOKUP(Tabla1[[#This Row],[DNI ]],RUBRO!$F$1:$O$9996,7,FALSE)</f>
        <v>5ta</v>
      </c>
      <c r="F78" s="104" t="e">
        <f>VLOOKUP(Tabla1[[#This Row],[DNI ]],RUBRO!$F$1:$O$88,3,FALSE)</f>
        <v>#N/A</v>
      </c>
      <c r="G78" s="104" t="str">
        <f>VLOOKUP(Tabla1[[#This Row],[DNI ]],RUBRO!$F$1:$O$9996,5,FALSE)</f>
        <v>AYUDANTE DE PRODUCCION</v>
      </c>
      <c r="H78" s="66" t="str">
        <f>VLOOKUP(Tabla1[[#This Row],[DNI ]],RUBRO!$F$1:$O$9996,6,FALSE)</f>
        <v>DIAZ CABREJOS KELVIN</v>
      </c>
      <c r="I78" s="94">
        <v>44324</v>
      </c>
      <c r="J78" s="10">
        <v>2</v>
      </c>
      <c r="K78" s="2">
        <v>75809362</v>
      </c>
      <c r="L78" s="4">
        <f>VLOOKUP(Tabla1[[#This Row],[DNI ]],RUBRO!$F$2:$O$9996,8,FALSE)</f>
        <v>65</v>
      </c>
      <c r="M78" s="88">
        <v>0.29166666666666669</v>
      </c>
      <c r="N78" s="28"/>
      <c r="P78" s="28">
        <v>0.625</v>
      </c>
      <c r="Q78" s="31">
        <f>(Tabla1[[#This Row],[SALIDA]]-Tabla1[[#This Row],[FIN ]])+(Tabla1[[#This Row],[INICIO]]-Tabla1[[#This Row],[INGRESO]])</f>
        <v>0.33333333333333331</v>
      </c>
      <c r="R78" s="13">
        <f t="shared" si="3"/>
        <v>0.33333333333333331</v>
      </c>
      <c r="S78" s="31">
        <f t="shared" si="4"/>
        <v>0</v>
      </c>
      <c r="T78" s="136"/>
      <c r="U78" s="136"/>
      <c r="V78" s="137">
        <f>(Tabla1[[#This Row],[COS.BASE 3]]*0.25+Tabla1[[#This Row],[COS.BASE 3]])*Tabla1[[#This Row],[HORAS 25 % ]]</f>
        <v>0</v>
      </c>
      <c r="W78" s="138">
        <f>(Tabla1[[#This Row],[COS.BASE 3]]*0.35+Tabla1[[#This Row],[COS.BASE 3]])*Tabla1[[#This Row],[HORAS 35% ]]</f>
        <v>0</v>
      </c>
      <c r="X78" s="138">
        <f>SUM(Tabla1[[#This Row],[C.HORA.35]],Tabla1[[#This Row],[C.HORA.25]])</f>
        <v>0</v>
      </c>
      <c r="Y78" s="4"/>
      <c r="Z78" s="10">
        <f>Tabla1[[#This Row],[T.HORAS]]*24</f>
        <v>8</v>
      </c>
      <c r="AA78" s="4">
        <f>Tabla1[[#This Row],[H.NORMALES]]*24</f>
        <v>8</v>
      </c>
      <c r="AB78" s="10">
        <f>Tabla1[[#This Row],[H.EXTRAS]]*24</f>
        <v>0</v>
      </c>
      <c r="AC78" s="105">
        <f t="shared" si="5"/>
        <v>65</v>
      </c>
      <c r="AD78" s="120">
        <f>Tabla1[[#This Row],[COS.BASE 2]]/8</f>
        <v>8.125</v>
      </c>
      <c r="AE78" s="105">
        <f>Tabla1[[#This Row],[CST_H_E]]+Tabla1[[#This Row],[COS.BASE 2]]</f>
        <v>65</v>
      </c>
      <c r="AF78" s="106">
        <f>+_xlfn.IFNA(INDEX(RUBRO!$W$2:$AA$732,MATCH(Tabla1[[#This Row],[FECHA ]],RUBRO!$W$2:$W$732,0),5)," ")</f>
        <v>0</v>
      </c>
      <c r="AG78" s="10">
        <f>+_xlfn.IFNA(INDEX(RUBRO!$W$2:$AA$732,MATCH(Tabla1[[#This Row],[FECHA ]],RUBRO!$W$2:$W$732,0),2)," ")</f>
        <v>0</v>
      </c>
      <c r="AH78" s="40">
        <f>IFERROR(Tabla1[[#This Row],[F]]*Tabla1[[#This Row],[COS.B+E]]," ")</f>
        <v>0</v>
      </c>
      <c r="AI78" s="40">
        <f>IFERROR(Tabla1[[#This Row],[COS.B+E]]*Tabla1[[#This Row],[D]]," ")</f>
        <v>0</v>
      </c>
      <c r="AJ78" s="40" t="str">
        <f>IFERROR(Tabla1[[#This Row],[F]]*#REF!," ")</f>
        <v xml:space="preserve"> </v>
      </c>
      <c r="AK78" s="40" t="str">
        <f>IFERROR(#REF!*Tabla1[[#This Row],[D]]," ")</f>
        <v xml:space="preserve"> </v>
      </c>
      <c r="AL78" s="103"/>
      <c r="AM78" s="103"/>
      <c r="AN78" s="103"/>
      <c r="AO78" s="38">
        <f>+Tabla1[[#This Row],[COS.B+E]]+Tabla1[[#This Row],[COS.F1]]+Tabla1[[#This Row],[COS.D1]]+Tabla1[[#This Row],[ALIMENTACION]]+Tabla1[[#This Row],[PRESTAMO]]+AN78</f>
        <v>65</v>
      </c>
      <c r="AP78" s="38" t="e">
        <f>+#REF!+Tabla1[[#This Row],[COS F2]]+Tabla1[[#This Row],[COS D2]]+Tabla1[[#This Row],[ALIMENTACION]]+Tabla1[[#This Row],[PRESTAMO]]+Tabla1[[#This Row],[PASAJES]]</f>
        <v>#REF!</v>
      </c>
    </row>
    <row r="79" spans="1:42" x14ac:dyDescent="0.25">
      <c r="A79" s="2" t="str">
        <f>TEXT(Tabla1[[#This Row],[FECHA ]],"DDDDD")</f>
        <v>sábado</v>
      </c>
      <c r="B79" s="2" t="str">
        <f>_xlfn.IFNA(VLOOKUP(Tabla1[[#This Row],[DESTINO]],RUBRO!$Q$1:$R$9996,2,FALSE)," ")</f>
        <v>PLANTA</v>
      </c>
      <c r="C79" s="104">
        <f>WEEKNUM(Tabla1[[#This Row],[FECHA ]],2)</f>
        <v>19</v>
      </c>
      <c r="D79" s="104" t="str">
        <f>TEXT(Tabla1[[#This Row],[FECHA ]],"MMM-YY")</f>
        <v>may-YY</v>
      </c>
      <c r="E79" s="104" t="str">
        <f>VLOOKUP(Tabla1[[#This Row],[DNI ]],RUBRO!$F$1:$O$9996,7,FALSE)</f>
        <v>4ta</v>
      </c>
      <c r="F79" s="104" t="str">
        <f>VLOOKUP(Tabla1[[#This Row],[DNI ]],RUBRO!$F$1:$O$88,3,FALSE)</f>
        <v>OPE-01</v>
      </c>
      <c r="G79" s="104" t="str">
        <f>VLOOKUP(Tabla1[[#This Row],[DNI ]],RUBRO!$F$1:$O$9996,5,FALSE)</f>
        <v>OPERARIO SOLDADOR</v>
      </c>
      <c r="H79" s="66" t="str">
        <f>VLOOKUP(Tabla1[[#This Row],[DNI ]],RUBRO!$F$1:$O$9996,6,FALSE)</f>
        <v>ENRIQUEZ GONZALES MIGUEL ANGEL</v>
      </c>
      <c r="I79" s="94">
        <v>44324</v>
      </c>
      <c r="J79" s="10">
        <v>1</v>
      </c>
      <c r="K79" s="2">
        <v>42558469</v>
      </c>
      <c r="L79" s="4">
        <f>VLOOKUP(Tabla1[[#This Row],[DNI ]],RUBRO!$F$2:$O$9996,8,FALSE)</f>
        <v>60</v>
      </c>
      <c r="M79" s="88">
        <v>0.29166666666666669</v>
      </c>
      <c r="N79" s="28">
        <v>0.54166666666666663</v>
      </c>
      <c r="O79" s="28">
        <v>0.55208333333333337</v>
      </c>
      <c r="P79" s="28">
        <v>0.67708333333333337</v>
      </c>
      <c r="Q79" s="31">
        <f>(Tabla1[[#This Row],[SALIDA]]-Tabla1[[#This Row],[FIN ]])+(Tabla1[[#This Row],[INICIO]]-Tabla1[[#This Row],[INGRESO]])</f>
        <v>0.37499999999999994</v>
      </c>
      <c r="R79" s="13">
        <f t="shared" si="3"/>
        <v>0.37499999999999994</v>
      </c>
      <c r="S79" s="31">
        <f t="shared" si="4"/>
        <v>0</v>
      </c>
      <c r="T79" s="136"/>
      <c r="U79" s="136"/>
      <c r="V79" s="137">
        <f>(Tabla1[[#This Row],[COS.BASE 3]]*0.25+Tabla1[[#This Row],[COS.BASE 3]])*Tabla1[[#This Row],[HORAS 25 % ]]</f>
        <v>0</v>
      </c>
      <c r="W79" s="138">
        <f>(Tabla1[[#This Row],[COS.BASE 3]]*0.35+Tabla1[[#This Row],[COS.BASE 3]])*Tabla1[[#This Row],[HORAS 35% ]]</f>
        <v>0</v>
      </c>
      <c r="X79" s="138">
        <f>SUM(Tabla1[[#This Row],[C.HORA.35]],Tabla1[[#This Row],[C.HORA.25]])</f>
        <v>0</v>
      </c>
      <c r="Y79" s="4"/>
      <c r="Z79" s="10">
        <f>Tabla1[[#This Row],[T.HORAS]]*24</f>
        <v>8.9999999999999982</v>
      </c>
      <c r="AA79" s="4">
        <f>Tabla1[[#This Row],[H.NORMALES]]*24</f>
        <v>8.9999999999999982</v>
      </c>
      <c r="AB79" s="10">
        <f>Tabla1[[#This Row],[H.EXTRAS]]*24</f>
        <v>0</v>
      </c>
      <c r="AC79" s="105">
        <f t="shared" si="5"/>
        <v>59.999999999999993</v>
      </c>
      <c r="AD79" s="120">
        <f>Tabla1[[#This Row],[COS.BASE 2]]/8</f>
        <v>7.4999999999999991</v>
      </c>
      <c r="AE79" s="105">
        <f>Tabla1[[#This Row],[CST_H_E]]+Tabla1[[#This Row],[COS.BASE 2]]</f>
        <v>59.999999999999993</v>
      </c>
      <c r="AF79" s="106">
        <f>+_xlfn.IFNA(INDEX(RUBRO!$W$2:$AA$732,MATCH(Tabla1[[#This Row],[FECHA ]],RUBRO!$W$2:$W$732,0),5)," ")</f>
        <v>0</v>
      </c>
      <c r="AG79" s="10">
        <f>+_xlfn.IFNA(INDEX(RUBRO!$W$2:$AA$732,MATCH(Tabla1[[#This Row],[FECHA ]],RUBRO!$W$2:$W$732,0),2)," ")</f>
        <v>0</v>
      </c>
      <c r="AH79" s="40">
        <f>IFERROR(Tabla1[[#This Row],[F]]*Tabla1[[#This Row],[COS.B+E]]," ")</f>
        <v>0</v>
      </c>
      <c r="AI79" s="40">
        <f>IFERROR(Tabla1[[#This Row],[COS.B+E]]*Tabla1[[#This Row],[D]]," ")</f>
        <v>0</v>
      </c>
      <c r="AJ79" s="40" t="str">
        <f>IFERROR(Tabla1[[#This Row],[F]]*#REF!," ")</f>
        <v xml:space="preserve"> </v>
      </c>
      <c r="AK79" s="40" t="str">
        <f>IFERROR(#REF!*Tabla1[[#This Row],[D]]," ")</f>
        <v xml:space="preserve"> </v>
      </c>
      <c r="AL79" s="103"/>
      <c r="AM79" s="103"/>
      <c r="AN79" s="103"/>
      <c r="AO79" s="38">
        <f>+Tabla1[[#This Row],[COS.B+E]]+Tabla1[[#This Row],[COS.F1]]+Tabla1[[#This Row],[COS.D1]]+Tabla1[[#This Row],[ALIMENTACION]]+Tabla1[[#This Row],[PRESTAMO]]+AN79</f>
        <v>59.999999999999993</v>
      </c>
      <c r="AP79" s="38" t="e">
        <f>+#REF!+Tabla1[[#This Row],[COS F2]]+Tabla1[[#This Row],[COS D2]]+Tabla1[[#This Row],[ALIMENTACION]]+Tabla1[[#This Row],[PRESTAMO]]+Tabla1[[#This Row],[PASAJES]]</f>
        <v>#REF!</v>
      </c>
    </row>
    <row r="80" spans="1:42" x14ac:dyDescent="0.25">
      <c r="A80" s="2" t="str">
        <f>TEXT(Tabla1[[#This Row],[FECHA ]],"DDDDD")</f>
        <v>sábado</v>
      </c>
      <c r="B80" s="2" t="str">
        <f>_xlfn.IFNA(VLOOKUP(Tabla1[[#This Row],[DESTINO]],RUBRO!$Q$1:$R$9996,2,FALSE)," ")</f>
        <v>PLANTA</v>
      </c>
      <c r="C80" s="104">
        <f>WEEKNUM(Tabla1[[#This Row],[FECHA ]],2)</f>
        <v>19</v>
      </c>
      <c r="D80" s="104" t="str">
        <f>TEXT(Tabla1[[#This Row],[FECHA ]],"MMM-YY")</f>
        <v>may-YY</v>
      </c>
      <c r="E80" s="104" t="str">
        <f>VLOOKUP(Tabla1[[#This Row],[DNI ]],RUBRO!$F$1:$O$9996,7,FALSE)</f>
        <v>5ta</v>
      </c>
      <c r="F80" s="104" t="str">
        <f>VLOOKUP(Tabla1[[#This Row],[DNI ]],RUBRO!$F$1:$O$88,3,FALSE)</f>
        <v>MAE-02</v>
      </c>
      <c r="G80" s="104" t="str">
        <f>VLOOKUP(Tabla1[[#This Row],[DNI ]],RUBRO!$F$1:$O$9996,5,FALSE)</f>
        <v>MAESTRO MECANICO MONTAJISTA DE MAQUINARIA</v>
      </c>
      <c r="H80" s="66" t="str">
        <f>VLOOKUP(Tabla1[[#This Row],[DNI ]],RUBRO!$F$1:$O$9996,6,FALSE)</f>
        <v>GRAUS JUAREZ MIGUEL RICARDO</v>
      </c>
      <c r="I80" s="94">
        <v>44324</v>
      </c>
      <c r="J80" s="10">
        <v>1</v>
      </c>
      <c r="K80" s="2">
        <v>48046568</v>
      </c>
      <c r="L80" s="4">
        <f>VLOOKUP(Tabla1[[#This Row],[DNI ]],RUBRO!$F$2:$O$9996,8,FALSE)</f>
        <v>68.150000000000006</v>
      </c>
      <c r="M80" s="88">
        <v>0.29166666666666669</v>
      </c>
      <c r="N80" s="28"/>
      <c r="P80" s="28">
        <v>0.58333333333333337</v>
      </c>
      <c r="Q80" s="31">
        <f>(Tabla1[[#This Row],[SALIDA]]-Tabla1[[#This Row],[FIN ]])+(Tabla1[[#This Row],[INICIO]]-Tabla1[[#This Row],[INGRESO]])</f>
        <v>0.29166666666666669</v>
      </c>
      <c r="R80" s="13">
        <f t="shared" si="3"/>
        <v>0.29166666666666669</v>
      </c>
      <c r="S80" s="31">
        <f t="shared" si="4"/>
        <v>0</v>
      </c>
      <c r="T80" s="136"/>
      <c r="U80" s="136"/>
      <c r="V80" s="137">
        <f>(Tabla1[[#This Row],[COS.BASE 3]]*0.25+Tabla1[[#This Row],[COS.BASE 3]])*Tabla1[[#This Row],[HORAS 25 % ]]</f>
        <v>0</v>
      </c>
      <c r="W80" s="138">
        <f>(Tabla1[[#This Row],[COS.BASE 3]]*0.35+Tabla1[[#This Row],[COS.BASE 3]])*Tabla1[[#This Row],[HORAS 35% ]]</f>
        <v>0</v>
      </c>
      <c r="X80" s="138">
        <f>SUM(Tabla1[[#This Row],[C.HORA.35]],Tabla1[[#This Row],[C.HORA.25]])</f>
        <v>0</v>
      </c>
      <c r="Y80" s="4"/>
      <c r="Z80" s="10">
        <f>Tabla1[[#This Row],[T.HORAS]]*24</f>
        <v>7</v>
      </c>
      <c r="AA80" s="4">
        <f>Tabla1[[#This Row],[H.NORMALES]]*24</f>
        <v>7</v>
      </c>
      <c r="AB80" s="10">
        <f>Tabla1[[#This Row],[H.EXTRAS]]*24</f>
        <v>0</v>
      </c>
      <c r="AC80" s="105">
        <f t="shared" si="5"/>
        <v>53.00555555555556</v>
      </c>
      <c r="AD80" s="120">
        <f>Tabla1[[#This Row],[COS.BASE 2]]/8</f>
        <v>6.625694444444445</v>
      </c>
      <c r="AE80" s="105">
        <f>Tabla1[[#This Row],[CST_H_E]]+Tabla1[[#This Row],[COS.BASE 2]]</f>
        <v>53.00555555555556</v>
      </c>
      <c r="AF80" s="106">
        <f>+_xlfn.IFNA(INDEX(RUBRO!$W$2:$AA$732,MATCH(Tabla1[[#This Row],[FECHA ]],RUBRO!$W$2:$W$732,0),5)," ")</f>
        <v>0</v>
      </c>
      <c r="AG80" s="10">
        <f>+_xlfn.IFNA(INDEX(RUBRO!$W$2:$AA$732,MATCH(Tabla1[[#This Row],[FECHA ]],RUBRO!$W$2:$W$732,0),2)," ")</f>
        <v>0</v>
      </c>
      <c r="AH80" s="40">
        <f>IFERROR(Tabla1[[#This Row],[F]]*Tabla1[[#This Row],[COS.B+E]]," ")</f>
        <v>0</v>
      </c>
      <c r="AI80" s="40">
        <f>IFERROR(Tabla1[[#This Row],[COS.B+E]]*Tabla1[[#This Row],[D]]," ")</f>
        <v>0</v>
      </c>
      <c r="AJ80" s="40" t="str">
        <f>IFERROR(Tabla1[[#This Row],[F]]*#REF!," ")</f>
        <v xml:space="preserve"> </v>
      </c>
      <c r="AK80" s="40" t="str">
        <f>IFERROR(#REF!*Tabla1[[#This Row],[D]]," ")</f>
        <v xml:space="preserve"> </v>
      </c>
      <c r="AL80" s="103"/>
      <c r="AM80" s="103"/>
      <c r="AN80" s="103"/>
      <c r="AO80" s="38">
        <f>+Tabla1[[#This Row],[COS.B+E]]+Tabla1[[#This Row],[COS.F1]]+Tabla1[[#This Row],[COS.D1]]+Tabla1[[#This Row],[ALIMENTACION]]+Tabla1[[#This Row],[PRESTAMO]]+AN80</f>
        <v>53.00555555555556</v>
      </c>
      <c r="AP80" s="38" t="e">
        <f>+#REF!+Tabla1[[#This Row],[COS F2]]+Tabla1[[#This Row],[COS D2]]+Tabla1[[#This Row],[ALIMENTACION]]+Tabla1[[#This Row],[PRESTAMO]]+Tabla1[[#This Row],[PASAJES]]</f>
        <v>#REF!</v>
      </c>
    </row>
    <row r="81" spans="1:42" x14ac:dyDescent="0.25">
      <c r="A81" s="2" t="str">
        <f>TEXT(Tabla1[[#This Row],[FECHA ]],"DDDDD")</f>
        <v>sábado</v>
      </c>
      <c r="B81" s="2" t="str">
        <f>_xlfn.IFNA(VLOOKUP(Tabla1[[#This Row],[DESTINO]],RUBRO!$Q$1:$R$9996,2,FALSE)," ")</f>
        <v>PLANTA</v>
      </c>
      <c r="C81" s="104">
        <f>WEEKNUM(Tabla1[[#This Row],[FECHA ]],2)</f>
        <v>19</v>
      </c>
      <c r="D81" s="104" t="str">
        <f>TEXT(Tabla1[[#This Row],[FECHA ]],"MMM-YY")</f>
        <v>may-YY</v>
      </c>
      <c r="E81" s="104" t="str">
        <f>VLOOKUP(Tabla1[[#This Row],[DNI ]],RUBRO!$F$1:$O$9996,7,FALSE)</f>
        <v>5ta</v>
      </c>
      <c r="F81" s="104" t="e">
        <f>VLOOKUP(Tabla1[[#This Row],[DNI ]],RUBRO!$F$1:$O$88,3,FALSE)</f>
        <v>#N/A</v>
      </c>
      <c r="G81" s="104" t="str">
        <f>VLOOKUP(Tabla1[[#This Row],[DNI ]],RUBRO!$F$1:$O$9996,5,FALSE)</f>
        <v>AYUDANTE DE PRODUCCION</v>
      </c>
      <c r="H81" s="66" t="str">
        <f>VLOOKUP(Tabla1[[#This Row],[DNI ]],RUBRO!$F$1:$O$9996,6,FALSE)</f>
        <v>GUERRERO CORDOVA ISMAEL</v>
      </c>
      <c r="I81" s="94">
        <v>44324</v>
      </c>
      <c r="J81" s="10">
        <v>1</v>
      </c>
      <c r="K81" s="2">
        <v>75790434</v>
      </c>
      <c r="L81" s="4">
        <f>VLOOKUP(Tabla1[[#This Row],[DNI ]],RUBRO!$F$2:$O$9996,8,FALSE)</f>
        <v>35.81</v>
      </c>
      <c r="M81" s="88">
        <v>0.29166666666666669</v>
      </c>
      <c r="N81" s="28"/>
      <c r="P81" s="28">
        <v>0.58333333333333337</v>
      </c>
      <c r="Q81" s="31">
        <f>(Tabla1[[#This Row],[SALIDA]]-Tabla1[[#This Row],[FIN ]])+(Tabla1[[#This Row],[INICIO]]-Tabla1[[#This Row],[INGRESO]])</f>
        <v>0.29166666666666669</v>
      </c>
      <c r="R81" s="13">
        <f t="shared" si="3"/>
        <v>0.29166666666666669</v>
      </c>
      <c r="S81" s="31">
        <f t="shared" si="4"/>
        <v>0</v>
      </c>
      <c r="T81" s="136"/>
      <c r="U81" s="136"/>
      <c r="V81" s="137">
        <f>(Tabla1[[#This Row],[COS.BASE 3]]*0.25+Tabla1[[#This Row],[COS.BASE 3]])*Tabla1[[#This Row],[HORAS 25 % ]]</f>
        <v>0</v>
      </c>
      <c r="W81" s="138">
        <f>(Tabla1[[#This Row],[COS.BASE 3]]*0.35+Tabla1[[#This Row],[COS.BASE 3]])*Tabla1[[#This Row],[HORAS 35% ]]</f>
        <v>0</v>
      </c>
      <c r="X81" s="138">
        <f>SUM(Tabla1[[#This Row],[C.HORA.35]],Tabla1[[#This Row],[C.HORA.25]])</f>
        <v>0</v>
      </c>
      <c r="Y81" s="4"/>
      <c r="Z81" s="10">
        <f>Tabla1[[#This Row],[T.HORAS]]*24</f>
        <v>7</v>
      </c>
      <c r="AA81" s="4">
        <f>Tabla1[[#This Row],[H.NORMALES]]*24</f>
        <v>7</v>
      </c>
      <c r="AB81" s="10">
        <f>Tabla1[[#This Row],[H.EXTRAS]]*24</f>
        <v>0</v>
      </c>
      <c r="AC81" s="105">
        <f t="shared" si="5"/>
        <v>27.852222222222224</v>
      </c>
      <c r="AD81" s="120">
        <f>Tabla1[[#This Row],[COS.BASE 2]]/8</f>
        <v>3.481527777777778</v>
      </c>
      <c r="AE81" s="105">
        <f>Tabla1[[#This Row],[CST_H_E]]+Tabla1[[#This Row],[COS.BASE 2]]</f>
        <v>27.852222222222224</v>
      </c>
      <c r="AF81" s="106">
        <f>+_xlfn.IFNA(INDEX(RUBRO!$W$2:$AA$732,MATCH(Tabla1[[#This Row],[FECHA ]],RUBRO!$W$2:$W$732,0),5)," ")</f>
        <v>0</v>
      </c>
      <c r="AG81" s="10">
        <f>+_xlfn.IFNA(INDEX(RUBRO!$W$2:$AA$732,MATCH(Tabla1[[#This Row],[FECHA ]],RUBRO!$W$2:$W$732,0),2)," ")</f>
        <v>0</v>
      </c>
      <c r="AH81" s="40">
        <f>IFERROR(Tabla1[[#This Row],[F]]*Tabla1[[#This Row],[COS.B+E]]," ")</f>
        <v>0</v>
      </c>
      <c r="AI81" s="40">
        <f>IFERROR(Tabla1[[#This Row],[COS.B+E]]*Tabla1[[#This Row],[D]]," ")</f>
        <v>0</v>
      </c>
      <c r="AJ81" s="40" t="str">
        <f>IFERROR(Tabla1[[#This Row],[F]]*#REF!," ")</f>
        <v xml:space="preserve"> </v>
      </c>
      <c r="AK81" s="40" t="str">
        <f>IFERROR(#REF!*Tabla1[[#This Row],[D]]," ")</f>
        <v xml:space="preserve"> </v>
      </c>
      <c r="AL81" s="103"/>
      <c r="AM81" s="103"/>
      <c r="AN81" s="103"/>
      <c r="AO81" s="38">
        <f>+Tabla1[[#This Row],[COS.B+E]]+Tabla1[[#This Row],[COS.F1]]+Tabla1[[#This Row],[COS.D1]]+Tabla1[[#This Row],[ALIMENTACION]]+Tabla1[[#This Row],[PRESTAMO]]+AN81</f>
        <v>27.852222222222224</v>
      </c>
      <c r="AP81" s="38" t="e">
        <f>+#REF!+Tabla1[[#This Row],[COS F2]]+Tabla1[[#This Row],[COS D2]]+Tabla1[[#This Row],[ALIMENTACION]]+Tabla1[[#This Row],[PRESTAMO]]+Tabla1[[#This Row],[PASAJES]]</f>
        <v>#REF!</v>
      </c>
    </row>
    <row r="82" spans="1:42" x14ac:dyDescent="0.25">
      <c r="A82" s="2" t="str">
        <f>TEXT(Tabla1[[#This Row],[FECHA ]],"DDDDD")</f>
        <v>sábado</v>
      </c>
      <c r="B82" s="2" t="str">
        <f>_xlfn.IFNA(VLOOKUP(Tabla1[[#This Row],[DESTINO]],RUBRO!$Q$1:$R$9996,2,FALSE)," ")</f>
        <v>OBRA</v>
      </c>
      <c r="C82" s="104">
        <f>WEEKNUM(Tabla1[[#This Row],[FECHA ]],2)</f>
        <v>19</v>
      </c>
      <c r="D82" s="104" t="str">
        <f>TEXT(Tabla1[[#This Row],[FECHA ]],"MMM-YY")</f>
        <v>may-YY</v>
      </c>
      <c r="E82" s="104" t="str">
        <f>VLOOKUP(Tabla1[[#This Row],[DNI ]],RUBRO!$F$1:$O$9996,7,FALSE)</f>
        <v>4ta</v>
      </c>
      <c r="F82" s="104" t="str">
        <f>VLOOKUP(Tabla1[[#This Row],[DNI ]],RUBRO!$F$1:$O$88,3,FALSE)</f>
        <v>TEC-01</v>
      </c>
      <c r="G82" s="104" t="str">
        <f>VLOOKUP(Tabla1[[#This Row],[DNI ]],RUBRO!$F$1:$O$9996,5,FALSE)</f>
        <v>TECNICO SOLDADOR</v>
      </c>
      <c r="H82" s="66" t="str">
        <f>VLOOKUP(Tabla1[[#This Row],[DNI ]],RUBRO!$F$1:$O$9996,6,FALSE)</f>
        <v>GUEVARA PACHERREZ ERICK DANIEL</v>
      </c>
      <c r="I82" s="94">
        <v>44324</v>
      </c>
      <c r="J82" s="10">
        <v>2</v>
      </c>
      <c r="K82" s="2">
        <v>45545014</v>
      </c>
      <c r="L82" s="4">
        <f>VLOOKUP(Tabla1[[#This Row],[DNI ]],RUBRO!$F$2:$O$9996,8,FALSE)</f>
        <v>60</v>
      </c>
      <c r="M82" s="88">
        <v>0.29166666666666669</v>
      </c>
      <c r="N82" s="28"/>
      <c r="P82" s="28">
        <v>0.58333333333333337</v>
      </c>
      <c r="Q82" s="31">
        <f>(Tabla1[[#This Row],[SALIDA]]-Tabla1[[#This Row],[FIN ]])+(Tabla1[[#This Row],[INICIO]]-Tabla1[[#This Row],[INGRESO]])</f>
        <v>0.29166666666666669</v>
      </c>
      <c r="R82" s="13">
        <f t="shared" si="3"/>
        <v>0.29166666666666669</v>
      </c>
      <c r="S82" s="31">
        <f t="shared" si="4"/>
        <v>0</v>
      </c>
      <c r="T82" s="136"/>
      <c r="U82" s="136"/>
      <c r="V82" s="137">
        <f>(Tabla1[[#This Row],[COS.BASE 3]]*0.25+Tabla1[[#This Row],[COS.BASE 3]])*Tabla1[[#This Row],[HORAS 25 % ]]</f>
        <v>0</v>
      </c>
      <c r="W82" s="138">
        <f>(Tabla1[[#This Row],[COS.BASE 3]]*0.35+Tabla1[[#This Row],[COS.BASE 3]])*Tabla1[[#This Row],[HORAS 35% ]]</f>
        <v>0</v>
      </c>
      <c r="X82" s="138">
        <f>SUM(Tabla1[[#This Row],[C.HORA.35]],Tabla1[[#This Row],[C.HORA.25]])</f>
        <v>0</v>
      </c>
      <c r="Y82" s="4"/>
      <c r="Z82" s="10">
        <f>Tabla1[[#This Row],[T.HORAS]]*24</f>
        <v>7</v>
      </c>
      <c r="AA82" s="4">
        <f>Tabla1[[#This Row],[H.NORMALES]]*24</f>
        <v>7</v>
      </c>
      <c r="AB82" s="10">
        <f>Tabla1[[#This Row],[H.EXTRAS]]*24</f>
        <v>0</v>
      </c>
      <c r="AC82" s="105">
        <f t="shared" si="5"/>
        <v>52.5</v>
      </c>
      <c r="AD82" s="120">
        <f>Tabla1[[#This Row],[COS.BASE 2]]/8</f>
        <v>6.5625</v>
      </c>
      <c r="AE82" s="105">
        <f>Tabla1[[#This Row],[CST_H_E]]+Tabla1[[#This Row],[COS.BASE 2]]</f>
        <v>52.5</v>
      </c>
      <c r="AF82" s="106">
        <f>+_xlfn.IFNA(INDEX(RUBRO!$W$2:$AA$732,MATCH(Tabla1[[#This Row],[FECHA ]],RUBRO!$W$2:$W$732,0),5)," ")</f>
        <v>0</v>
      </c>
      <c r="AG82" s="10">
        <f>+_xlfn.IFNA(INDEX(RUBRO!$W$2:$AA$732,MATCH(Tabla1[[#This Row],[FECHA ]],RUBRO!$W$2:$W$732,0),2)," ")</f>
        <v>0</v>
      </c>
      <c r="AH82" s="40">
        <f>IFERROR(Tabla1[[#This Row],[F]]*Tabla1[[#This Row],[COS.B+E]]," ")</f>
        <v>0</v>
      </c>
      <c r="AI82" s="40">
        <f>IFERROR(Tabla1[[#This Row],[COS.B+E]]*Tabla1[[#This Row],[D]]," ")</f>
        <v>0</v>
      </c>
      <c r="AJ82" s="40" t="str">
        <f>IFERROR(Tabla1[[#This Row],[F]]*#REF!," ")</f>
        <v xml:space="preserve"> </v>
      </c>
      <c r="AK82" s="40" t="str">
        <f>IFERROR(#REF!*Tabla1[[#This Row],[D]]," ")</f>
        <v xml:space="preserve"> </v>
      </c>
      <c r="AL82" s="103"/>
      <c r="AM82" s="103"/>
      <c r="AN82" s="103"/>
      <c r="AO82" s="38">
        <f>+Tabla1[[#This Row],[COS.B+E]]+Tabla1[[#This Row],[COS.F1]]+Tabla1[[#This Row],[COS.D1]]+Tabla1[[#This Row],[ALIMENTACION]]+Tabla1[[#This Row],[PRESTAMO]]+AN82</f>
        <v>52.5</v>
      </c>
      <c r="AP82" s="38" t="e">
        <f>+#REF!+Tabla1[[#This Row],[COS F2]]+Tabla1[[#This Row],[COS D2]]+Tabla1[[#This Row],[ALIMENTACION]]+Tabla1[[#This Row],[PRESTAMO]]+Tabla1[[#This Row],[PASAJES]]</f>
        <v>#REF!</v>
      </c>
    </row>
    <row r="83" spans="1:42" x14ac:dyDescent="0.25">
      <c r="A83" s="2" t="str">
        <f>TEXT(Tabla1[[#This Row],[FECHA ]],"DDDDD")</f>
        <v>sábado</v>
      </c>
      <c r="B83" s="2" t="str">
        <f>_xlfn.IFNA(VLOOKUP(Tabla1[[#This Row],[DESTINO]],RUBRO!$Q$1:$R$9996,2,FALSE)," ")</f>
        <v>OBRA</v>
      </c>
      <c r="C83" s="104">
        <f>WEEKNUM(Tabla1[[#This Row],[FECHA ]],2)</f>
        <v>19</v>
      </c>
      <c r="D83" s="104" t="str">
        <f>TEXT(Tabla1[[#This Row],[FECHA ]],"MMM-YY")</f>
        <v>may-YY</v>
      </c>
      <c r="E83" s="104" t="str">
        <f>VLOOKUP(Tabla1[[#This Row],[DNI ]],RUBRO!$F$1:$O$9996,7,FALSE)</f>
        <v>5ta</v>
      </c>
      <c r="F83" s="104" t="str">
        <f>VLOOKUP(Tabla1[[#This Row],[DNI ]],RUBRO!$F$1:$O$88,3,FALSE)</f>
        <v>X6</v>
      </c>
      <c r="G83" s="104" t="str">
        <f>VLOOKUP(Tabla1[[#This Row],[DNI ]],RUBRO!$F$1:$O$9996,5,FALSE)</f>
        <v>SUPERVISOR DE MONTAJE Y DESMONTAJE</v>
      </c>
      <c r="H83" s="66" t="str">
        <f>VLOOKUP(Tabla1[[#This Row],[DNI ]],RUBRO!$F$1:$O$9996,6,FALSE)</f>
        <v>HERRERA NAVARRO OSMER</v>
      </c>
      <c r="I83" s="94">
        <v>44324</v>
      </c>
      <c r="J83" s="10">
        <v>2</v>
      </c>
      <c r="K83" s="2">
        <v>45327555</v>
      </c>
      <c r="L83" s="4">
        <f>VLOOKUP(Tabla1[[#This Row],[DNI ]],RUBRO!$F$2:$O$9996,8,FALSE)</f>
        <v>62.31</v>
      </c>
      <c r="M83" s="88">
        <v>0.29166666666666669</v>
      </c>
      <c r="N83" s="28">
        <v>0.54166666666666663</v>
      </c>
      <c r="O83" s="28">
        <v>0.58333333333333337</v>
      </c>
      <c r="P83" s="28">
        <v>0.75</v>
      </c>
      <c r="Q83" s="31">
        <f>(Tabla1[[#This Row],[SALIDA]]-Tabla1[[#This Row],[FIN ]])+(Tabla1[[#This Row],[INICIO]]-Tabla1[[#This Row],[INGRESO]])</f>
        <v>0.41666666666666657</v>
      </c>
      <c r="R83" s="13">
        <f t="shared" si="3"/>
        <v>0.33333333333333331</v>
      </c>
      <c r="S83" s="31">
        <f t="shared" si="4"/>
        <v>8.3333333333333259E-2</v>
      </c>
      <c r="T83" s="136"/>
      <c r="U83" s="136"/>
      <c r="V83" s="137">
        <f>(Tabla1[[#This Row],[COS.BASE 3]]*0.25+Tabla1[[#This Row],[COS.BASE 3]])*Tabla1[[#This Row],[HORAS 25 % ]]</f>
        <v>0</v>
      </c>
      <c r="W83" s="138">
        <f>(Tabla1[[#This Row],[COS.BASE 3]]*0.35+Tabla1[[#This Row],[COS.BASE 3]])*Tabla1[[#This Row],[HORAS 35% ]]</f>
        <v>0</v>
      </c>
      <c r="X83" s="138">
        <f>SUM(Tabla1[[#This Row],[C.HORA.35]],Tabla1[[#This Row],[C.HORA.25]])</f>
        <v>0</v>
      </c>
      <c r="Y83" s="4"/>
      <c r="Z83" s="10">
        <f>Tabla1[[#This Row],[T.HORAS]]*24</f>
        <v>9.9999999999999982</v>
      </c>
      <c r="AA83" s="4">
        <f>Tabla1[[#This Row],[H.NORMALES]]*24</f>
        <v>8</v>
      </c>
      <c r="AB83" s="10">
        <f>Tabla1[[#This Row],[H.EXTRAS]]*24</f>
        <v>1.9999999999999982</v>
      </c>
      <c r="AC83" s="105">
        <f t="shared" si="5"/>
        <v>62.31</v>
      </c>
      <c r="AD83" s="120">
        <f>Tabla1[[#This Row],[COS.BASE 2]]/8</f>
        <v>7.7887500000000003</v>
      </c>
      <c r="AE83" s="105">
        <f>Tabla1[[#This Row],[CST_H_E]]+Tabla1[[#This Row],[COS.BASE 2]]</f>
        <v>62.31</v>
      </c>
      <c r="AF83" s="106">
        <f>+_xlfn.IFNA(INDEX(RUBRO!$W$2:$AA$732,MATCH(Tabla1[[#This Row],[FECHA ]],RUBRO!$W$2:$W$732,0),5)," ")</f>
        <v>0</v>
      </c>
      <c r="AG83" s="10">
        <f>+_xlfn.IFNA(INDEX(RUBRO!$W$2:$AA$732,MATCH(Tabla1[[#This Row],[FECHA ]],RUBRO!$W$2:$W$732,0),2)," ")</f>
        <v>0</v>
      </c>
      <c r="AH83" s="40">
        <f>IFERROR(Tabla1[[#This Row],[F]]*Tabla1[[#This Row],[COS.B+E]]," ")</f>
        <v>0</v>
      </c>
      <c r="AI83" s="40">
        <f>IFERROR(Tabla1[[#This Row],[COS.B+E]]*Tabla1[[#This Row],[D]]," ")</f>
        <v>0</v>
      </c>
      <c r="AJ83" s="40" t="str">
        <f>IFERROR(Tabla1[[#This Row],[F]]*#REF!," ")</f>
        <v xml:space="preserve"> </v>
      </c>
      <c r="AK83" s="40" t="str">
        <f>IFERROR(#REF!*Tabla1[[#This Row],[D]]," ")</f>
        <v xml:space="preserve"> </v>
      </c>
      <c r="AL83" s="103"/>
      <c r="AM83" s="103"/>
      <c r="AN83" s="103"/>
      <c r="AO83" s="38">
        <f>+Tabla1[[#This Row],[COS.B+E]]+Tabla1[[#This Row],[COS.F1]]+Tabla1[[#This Row],[COS.D1]]+Tabla1[[#This Row],[ALIMENTACION]]+Tabla1[[#This Row],[PRESTAMO]]+AN83</f>
        <v>62.31</v>
      </c>
      <c r="AP83" s="38" t="e">
        <f>+#REF!+Tabla1[[#This Row],[COS F2]]+Tabla1[[#This Row],[COS D2]]+Tabla1[[#This Row],[ALIMENTACION]]+Tabla1[[#This Row],[PRESTAMO]]+Tabla1[[#This Row],[PASAJES]]</f>
        <v>#REF!</v>
      </c>
    </row>
    <row r="84" spans="1:42" x14ac:dyDescent="0.25">
      <c r="A84" s="2" t="str">
        <f>TEXT(Tabla1[[#This Row],[FECHA ]],"DDDDD")</f>
        <v>sábado</v>
      </c>
      <c r="B84" s="2" t="str">
        <f>_xlfn.IFNA(VLOOKUP(Tabla1[[#This Row],[DESTINO]],RUBRO!$Q$1:$R$9996,2,FALSE)," ")</f>
        <v>PLANTA</v>
      </c>
      <c r="C84" s="104">
        <f>WEEKNUM(Tabla1[[#This Row],[FECHA ]],2)</f>
        <v>19</v>
      </c>
      <c r="D84" s="104" t="str">
        <f>TEXT(Tabla1[[#This Row],[FECHA ]],"MMM-YY")</f>
        <v>may-YY</v>
      </c>
      <c r="E84" s="104" t="str">
        <f>VLOOKUP(Tabla1[[#This Row],[DNI ]],RUBRO!$F$1:$O$9996,7,FALSE)</f>
        <v>5ta</v>
      </c>
      <c r="F84" s="104" t="str">
        <f>VLOOKUP(Tabla1[[#This Row],[DNI ]],RUBRO!$F$1:$O$88,3,FALSE)</f>
        <v>TEC-04</v>
      </c>
      <c r="G84" s="104" t="str">
        <f>VLOOKUP(Tabla1[[#This Row],[DNI ]],RUBRO!$F$1:$O$9996,5,FALSE)</f>
        <v>TECNICO MECANICO MONTAJISTA DE MAQUINARIA EXTRANJERA</v>
      </c>
      <c r="H84" s="66" t="str">
        <f>VLOOKUP(Tabla1[[#This Row],[DNI ]],RUBRO!$F$1:$O$9996,6,FALSE)</f>
        <v>IDROGO CHAVEZ EMANUEL</v>
      </c>
      <c r="I84" s="94">
        <v>44324</v>
      </c>
      <c r="J84" s="10">
        <v>1</v>
      </c>
      <c r="K84" s="2">
        <v>46228460</v>
      </c>
      <c r="L84" s="4">
        <f>VLOOKUP(Tabla1[[#This Row],[DNI ]],RUBRO!$F$2:$O$9996,8,FALSE)</f>
        <v>67.66</v>
      </c>
      <c r="M84" s="88">
        <v>0.29166666666666669</v>
      </c>
      <c r="N84" s="28"/>
      <c r="P84" s="28">
        <v>0.58333333333333337</v>
      </c>
      <c r="Q84" s="31">
        <f>(Tabla1[[#This Row],[SALIDA]]-Tabla1[[#This Row],[FIN ]])+(Tabla1[[#This Row],[INICIO]]-Tabla1[[#This Row],[INGRESO]])</f>
        <v>0.29166666666666669</v>
      </c>
      <c r="R84" s="13">
        <f t="shared" si="3"/>
        <v>0.29166666666666669</v>
      </c>
      <c r="S84" s="31">
        <f t="shared" si="4"/>
        <v>0</v>
      </c>
      <c r="T84" s="136"/>
      <c r="U84" s="136"/>
      <c r="V84" s="137">
        <f>(Tabla1[[#This Row],[COS.BASE 3]]*0.25+Tabla1[[#This Row],[COS.BASE 3]])*Tabla1[[#This Row],[HORAS 25 % ]]</f>
        <v>0</v>
      </c>
      <c r="W84" s="138">
        <f>(Tabla1[[#This Row],[COS.BASE 3]]*0.35+Tabla1[[#This Row],[COS.BASE 3]])*Tabla1[[#This Row],[HORAS 35% ]]</f>
        <v>0</v>
      </c>
      <c r="X84" s="138">
        <f>SUM(Tabla1[[#This Row],[C.HORA.35]],Tabla1[[#This Row],[C.HORA.25]])</f>
        <v>0</v>
      </c>
      <c r="Y84" s="4"/>
      <c r="Z84" s="10">
        <f>Tabla1[[#This Row],[T.HORAS]]*24</f>
        <v>7</v>
      </c>
      <c r="AA84" s="4">
        <f>Tabla1[[#This Row],[H.NORMALES]]*24</f>
        <v>7</v>
      </c>
      <c r="AB84" s="10">
        <f>Tabla1[[#This Row],[H.EXTRAS]]*24</f>
        <v>0</v>
      </c>
      <c r="AC84" s="105">
        <f t="shared" si="5"/>
        <v>52.624444444444435</v>
      </c>
      <c r="AD84" s="120">
        <f>Tabla1[[#This Row],[COS.BASE 2]]/8</f>
        <v>6.5780555555555544</v>
      </c>
      <c r="AE84" s="105">
        <f>Tabla1[[#This Row],[CST_H_E]]+Tabla1[[#This Row],[COS.BASE 2]]</f>
        <v>52.624444444444435</v>
      </c>
      <c r="AF84" s="106">
        <f>+_xlfn.IFNA(INDEX(RUBRO!$W$2:$AA$732,MATCH(Tabla1[[#This Row],[FECHA ]],RUBRO!$W$2:$W$732,0),5)," ")</f>
        <v>0</v>
      </c>
      <c r="AG84" s="10">
        <f>+_xlfn.IFNA(INDEX(RUBRO!$W$2:$AA$732,MATCH(Tabla1[[#This Row],[FECHA ]],RUBRO!$W$2:$W$732,0),2)," ")</f>
        <v>0</v>
      </c>
      <c r="AH84" s="40">
        <f>IFERROR(Tabla1[[#This Row],[F]]*Tabla1[[#This Row],[COS.B+E]]," ")</f>
        <v>0</v>
      </c>
      <c r="AI84" s="40">
        <f>IFERROR(Tabla1[[#This Row],[COS.B+E]]*Tabla1[[#This Row],[D]]," ")</f>
        <v>0</v>
      </c>
      <c r="AJ84" s="40" t="str">
        <f>IFERROR(Tabla1[[#This Row],[F]]*#REF!," ")</f>
        <v xml:space="preserve"> </v>
      </c>
      <c r="AK84" s="40" t="str">
        <f>IFERROR(#REF!*Tabla1[[#This Row],[D]]," ")</f>
        <v xml:space="preserve"> </v>
      </c>
      <c r="AL84" s="103"/>
      <c r="AM84" s="103"/>
      <c r="AN84" s="103"/>
      <c r="AO84" s="38">
        <f>+Tabla1[[#This Row],[COS.B+E]]+Tabla1[[#This Row],[COS.F1]]+Tabla1[[#This Row],[COS.D1]]+Tabla1[[#This Row],[ALIMENTACION]]+Tabla1[[#This Row],[PRESTAMO]]+AN84</f>
        <v>52.624444444444435</v>
      </c>
      <c r="AP84" s="38" t="e">
        <f>+#REF!+Tabla1[[#This Row],[COS F2]]+Tabla1[[#This Row],[COS D2]]+Tabla1[[#This Row],[ALIMENTACION]]+Tabla1[[#This Row],[PRESTAMO]]+Tabla1[[#This Row],[PASAJES]]</f>
        <v>#REF!</v>
      </c>
    </row>
    <row r="85" spans="1:42" x14ac:dyDescent="0.25">
      <c r="A85" s="2" t="str">
        <f>TEXT(Tabla1[[#This Row],[FECHA ]],"DDDDD")</f>
        <v>sábado</v>
      </c>
      <c r="B85" s="2" t="str">
        <f>_xlfn.IFNA(VLOOKUP(Tabla1[[#This Row],[DESTINO]],RUBRO!$Q$1:$R$9996,2,FALSE)," ")</f>
        <v>OBRA</v>
      </c>
      <c r="C85" s="104">
        <f>WEEKNUM(Tabla1[[#This Row],[FECHA ]],2)</f>
        <v>19</v>
      </c>
      <c r="D85" s="104" t="str">
        <f>TEXT(Tabla1[[#This Row],[FECHA ]],"MMM-YY")</f>
        <v>may-YY</v>
      </c>
      <c r="E85" s="104" t="str">
        <f>VLOOKUP(Tabla1[[#This Row],[DNI ]],RUBRO!$F$1:$O$9996,7,FALSE)</f>
        <v>5ta</v>
      </c>
      <c r="F85" s="104" t="e">
        <f>VLOOKUP(Tabla1[[#This Row],[DNI ]],RUBRO!$F$1:$O$88,3,FALSE)</f>
        <v>#N/A</v>
      </c>
      <c r="G85" s="104" t="str">
        <f>VLOOKUP(Tabla1[[#This Row],[DNI ]],RUBRO!$F$1:$O$9996,5,FALSE)</f>
        <v>AYUDANTE DE PRODUCCION</v>
      </c>
      <c r="H85" s="66" t="str">
        <f>VLOOKUP(Tabla1[[#This Row],[DNI ]],RUBRO!$F$1:$O$9996,6,FALSE)</f>
        <v>JUNCO ORDOÑEZ SAMUEL</v>
      </c>
      <c r="I85" s="94">
        <v>44324</v>
      </c>
      <c r="J85" s="10">
        <v>2</v>
      </c>
      <c r="K85" s="2">
        <v>75913657</v>
      </c>
      <c r="L85" s="4">
        <f>VLOOKUP(Tabla1[[#This Row],[DNI ]],RUBRO!$F$2:$O$9996,8,FALSE)</f>
        <v>60</v>
      </c>
      <c r="M85" s="88">
        <v>0.29166666666666669</v>
      </c>
      <c r="N85" s="28"/>
      <c r="P85" s="28">
        <v>0.58333333333333337</v>
      </c>
      <c r="Q85" s="31">
        <f>(Tabla1[[#This Row],[SALIDA]]-Tabla1[[#This Row],[FIN ]])+(Tabla1[[#This Row],[INICIO]]-Tabla1[[#This Row],[INGRESO]])</f>
        <v>0.29166666666666669</v>
      </c>
      <c r="R85" s="13">
        <f t="shared" si="3"/>
        <v>0.29166666666666669</v>
      </c>
      <c r="S85" s="31">
        <f t="shared" si="4"/>
        <v>0</v>
      </c>
      <c r="T85" s="136"/>
      <c r="U85" s="136"/>
      <c r="V85" s="137">
        <f>(Tabla1[[#This Row],[COS.BASE 3]]*0.25+Tabla1[[#This Row],[COS.BASE 3]])*Tabla1[[#This Row],[HORAS 25 % ]]</f>
        <v>0</v>
      </c>
      <c r="W85" s="138">
        <f>(Tabla1[[#This Row],[COS.BASE 3]]*0.35+Tabla1[[#This Row],[COS.BASE 3]])*Tabla1[[#This Row],[HORAS 35% ]]</f>
        <v>0</v>
      </c>
      <c r="X85" s="138">
        <f>SUM(Tabla1[[#This Row],[C.HORA.35]],Tabla1[[#This Row],[C.HORA.25]])</f>
        <v>0</v>
      </c>
      <c r="Y85" s="4"/>
      <c r="Z85" s="10">
        <f>Tabla1[[#This Row],[T.HORAS]]*24</f>
        <v>7</v>
      </c>
      <c r="AA85" s="4">
        <f>Tabla1[[#This Row],[H.NORMALES]]*24</f>
        <v>7</v>
      </c>
      <c r="AB85" s="10">
        <f>Tabla1[[#This Row],[H.EXTRAS]]*24</f>
        <v>0</v>
      </c>
      <c r="AC85" s="105">
        <f t="shared" si="5"/>
        <v>52.5</v>
      </c>
      <c r="AD85" s="120">
        <f>Tabla1[[#This Row],[COS.BASE 2]]/8</f>
        <v>6.5625</v>
      </c>
      <c r="AE85" s="105">
        <f>Tabla1[[#This Row],[CST_H_E]]+Tabla1[[#This Row],[COS.BASE 2]]</f>
        <v>52.5</v>
      </c>
      <c r="AF85" s="106">
        <f>+_xlfn.IFNA(INDEX(RUBRO!$W$2:$AA$732,MATCH(Tabla1[[#This Row],[FECHA ]],RUBRO!$W$2:$W$732,0),5)," ")</f>
        <v>0</v>
      </c>
      <c r="AG85" s="10">
        <f>+_xlfn.IFNA(INDEX(RUBRO!$W$2:$AA$732,MATCH(Tabla1[[#This Row],[FECHA ]],RUBRO!$W$2:$W$732,0),2)," ")</f>
        <v>0</v>
      </c>
      <c r="AH85" s="40">
        <f>IFERROR(Tabla1[[#This Row],[F]]*Tabla1[[#This Row],[COS.B+E]]," ")</f>
        <v>0</v>
      </c>
      <c r="AI85" s="40">
        <f>IFERROR(Tabla1[[#This Row],[COS.B+E]]*Tabla1[[#This Row],[D]]," ")</f>
        <v>0</v>
      </c>
      <c r="AJ85" s="40" t="str">
        <f>IFERROR(Tabla1[[#This Row],[F]]*#REF!," ")</f>
        <v xml:space="preserve"> </v>
      </c>
      <c r="AK85" s="40" t="str">
        <f>IFERROR(#REF!*Tabla1[[#This Row],[D]]," ")</f>
        <v xml:space="preserve"> </v>
      </c>
      <c r="AL85" s="103"/>
      <c r="AM85" s="103"/>
      <c r="AN85" s="103"/>
      <c r="AO85" s="38">
        <f>+Tabla1[[#This Row],[COS.B+E]]+Tabla1[[#This Row],[COS.F1]]+Tabla1[[#This Row],[COS.D1]]+Tabla1[[#This Row],[ALIMENTACION]]+Tabla1[[#This Row],[PRESTAMO]]+AN85</f>
        <v>52.5</v>
      </c>
      <c r="AP85" s="38" t="e">
        <f>+#REF!+Tabla1[[#This Row],[COS F2]]+Tabla1[[#This Row],[COS D2]]+Tabla1[[#This Row],[ALIMENTACION]]+Tabla1[[#This Row],[PRESTAMO]]+Tabla1[[#This Row],[PASAJES]]</f>
        <v>#REF!</v>
      </c>
    </row>
    <row r="86" spans="1:42" x14ac:dyDescent="0.25">
      <c r="A86" s="2" t="str">
        <f>TEXT(Tabla1[[#This Row],[FECHA ]],"DDDDD")</f>
        <v>sábado</v>
      </c>
      <c r="B86" s="2" t="str">
        <f>_xlfn.IFNA(VLOOKUP(Tabla1[[#This Row],[DESTINO]],RUBRO!$Q$1:$R$9996,2,FALSE)," ")</f>
        <v>FALTA</v>
      </c>
      <c r="C86" s="104">
        <f>WEEKNUM(Tabla1[[#This Row],[FECHA ]],2)</f>
        <v>19</v>
      </c>
      <c r="D86" s="104" t="str">
        <f>TEXT(Tabla1[[#This Row],[FECHA ]],"MMM-YY")</f>
        <v>may-YY</v>
      </c>
      <c r="E86" s="104" t="str">
        <f>VLOOKUP(Tabla1[[#This Row],[DNI ]],RUBRO!$F$1:$O$9996,7,FALSE)</f>
        <v>5ta</v>
      </c>
      <c r="F86" s="104" t="str">
        <f>VLOOKUP(Tabla1[[#This Row],[DNI ]],RUBRO!$F$1:$O$88,3,FALSE)</f>
        <v>MAE3G-01</v>
      </c>
      <c r="G86" s="104" t="str">
        <f>VLOOKUP(Tabla1[[#This Row],[DNI ]],RUBRO!$F$1:$O$9996,5,FALSE)</f>
        <v>MAESTRO SOLDADOR 3G</v>
      </c>
      <c r="H86" s="66" t="str">
        <f>VLOOKUP(Tabla1[[#This Row],[DNI ]],RUBRO!$F$1:$O$9996,6,FALSE)</f>
        <v>LABAN SEVERINO EDWIN DENIS</v>
      </c>
      <c r="I86" s="94">
        <v>44324</v>
      </c>
      <c r="J86" s="10">
        <v>4</v>
      </c>
      <c r="K86" s="2">
        <v>47466045</v>
      </c>
      <c r="L86" s="4">
        <f>VLOOKUP(Tabla1[[#This Row],[DNI ]],RUBRO!$F$2:$O$9996,8,FALSE)</f>
        <v>70.38</v>
      </c>
      <c r="M86" s="88"/>
      <c r="N86" s="28"/>
      <c r="P86" s="28"/>
      <c r="Q86" s="31">
        <f>(Tabla1[[#This Row],[SALIDA]]-Tabla1[[#This Row],[FIN ]])+(Tabla1[[#This Row],[INICIO]]-Tabla1[[#This Row],[INGRESO]])</f>
        <v>0</v>
      </c>
      <c r="R86" s="13">
        <f t="shared" si="3"/>
        <v>0</v>
      </c>
      <c r="S86" s="31">
        <f t="shared" si="4"/>
        <v>0</v>
      </c>
      <c r="T86" s="136"/>
      <c r="U86" s="136"/>
      <c r="V86" s="137">
        <f>(Tabla1[[#This Row],[COS.BASE 3]]*0.25+Tabla1[[#This Row],[COS.BASE 3]])*Tabla1[[#This Row],[HORAS 25 % ]]</f>
        <v>0</v>
      </c>
      <c r="W86" s="138">
        <f>(Tabla1[[#This Row],[COS.BASE 3]]*0.35+Tabla1[[#This Row],[COS.BASE 3]])*Tabla1[[#This Row],[HORAS 35% ]]</f>
        <v>0</v>
      </c>
      <c r="X86" s="138">
        <f>SUM(Tabla1[[#This Row],[C.HORA.35]],Tabla1[[#This Row],[C.HORA.25]])</f>
        <v>0</v>
      </c>
      <c r="Y86" s="4"/>
      <c r="Z86" s="10">
        <f>Tabla1[[#This Row],[T.HORAS]]*24</f>
        <v>0</v>
      </c>
      <c r="AA86" s="4">
        <f>Tabla1[[#This Row],[H.NORMALES]]*24</f>
        <v>0</v>
      </c>
      <c r="AB86" s="10">
        <f>Tabla1[[#This Row],[H.EXTRAS]]*24</f>
        <v>0</v>
      </c>
      <c r="AC86" s="105">
        <f t="shared" si="5"/>
        <v>0</v>
      </c>
      <c r="AD86" s="120">
        <f>Tabla1[[#This Row],[COS.BASE 2]]/8</f>
        <v>0</v>
      </c>
      <c r="AE86" s="105">
        <f>Tabla1[[#This Row],[CST_H_E]]+Tabla1[[#This Row],[COS.BASE 2]]</f>
        <v>0</v>
      </c>
      <c r="AF86" s="106">
        <f>+_xlfn.IFNA(INDEX(RUBRO!$W$2:$AA$732,MATCH(Tabla1[[#This Row],[FECHA ]],RUBRO!$W$2:$W$732,0),5)," ")</f>
        <v>0</v>
      </c>
      <c r="AG86" s="10">
        <f>+_xlfn.IFNA(INDEX(RUBRO!$W$2:$AA$732,MATCH(Tabla1[[#This Row],[FECHA ]],RUBRO!$W$2:$W$732,0),2)," ")</f>
        <v>0</v>
      </c>
      <c r="AH86" s="40">
        <f>IFERROR(Tabla1[[#This Row],[F]]*Tabla1[[#This Row],[COS.B+E]]," ")</f>
        <v>0</v>
      </c>
      <c r="AI86" s="40">
        <f>IFERROR(Tabla1[[#This Row],[COS.B+E]]*Tabla1[[#This Row],[D]]," ")</f>
        <v>0</v>
      </c>
      <c r="AJ86" s="40" t="str">
        <f>IFERROR(Tabla1[[#This Row],[F]]*#REF!," ")</f>
        <v xml:space="preserve"> </v>
      </c>
      <c r="AK86" s="40" t="str">
        <f>IFERROR(#REF!*Tabla1[[#This Row],[D]]," ")</f>
        <v xml:space="preserve"> </v>
      </c>
      <c r="AL86" s="103"/>
      <c r="AM86" s="103"/>
      <c r="AN86" s="103"/>
      <c r="AO86" s="38">
        <f>+Tabla1[[#This Row],[COS.B+E]]+Tabla1[[#This Row],[COS.F1]]+Tabla1[[#This Row],[COS.D1]]+Tabla1[[#This Row],[ALIMENTACION]]+Tabla1[[#This Row],[PRESTAMO]]+AN86</f>
        <v>0</v>
      </c>
      <c r="AP86" s="38" t="e">
        <f>+#REF!+Tabla1[[#This Row],[COS F2]]+Tabla1[[#This Row],[COS D2]]+Tabla1[[#This Row],[ALIMENTACION]]+Tabla1[[#This Row],[PRESTAMO]]+Tabla1[[#This Row],[PASAJES]]</f>
        <v>#REF!</v>
      </c>
    </row>
    <row r="87" spans="1:42" x14ac:dyDescent="0.25">
      <c r="A87" s="2" t="str">
        <f>TEXT(Tabla1[[#This Row],[FECHA ]],"DDDDD")</f>
        <v>sábado</v>
      </c>
      <c r="B87" s="2" t="str">
        <f>_xlfn.IFNA(VLOOKUP(Tabla1[[#This Row],[DESTINO]],RUBRO!$Q$1:$R$9996,2,FALSE)," ")</f>
        <v>OBRA</v>
      </c>
      <c r="C87" s="104">
        <f>WEEKNUM(Tabla1[[#This Row],[FECHA ]],2)</f>
        <v>19</v>
      </c>
      <c r="D87" s="104" t="str">
        <f>TEXT(Tabla1[[#This Row],[FECHA ]],"MMM-YY")</f>
        <v>may-YY</v>
      </c>
      <c r="E87" s="104" t="str">
        <f>VLOOKUP(Tabla1[[#This Row],[DNI ]],RUBRO!$F$1:$O$9996,7,FALSE)</f>
        <v>5ta</v>
      </c>
      <c r="F87" s="104" t="str">
        <f>VLOOKUP(Tabla1[[#This Row],[DNI ]],RUBRO!$F$1:$O$88,3,FALSE)</f>
        <v>AYU-VA</v>
      </c>
      <c r="G87" s="104" t="str">
        <f>VLOOKUP(Tabla1[[#This Row],[DNI ]],RUBRO!$F$1:$O$9996,5,FALSE)</f>
        <v>AYUDANTE DE PRODUCCION</v>
      </c>
      <c r="H87" s="66" t="str">
        <f>VLOOKUP(Tabla1[[#This Row],[DNI ]],RUBRO!$F$1:$O$9996,6,FALSE)</f>
        <v xml:space="preserve">LOPEZ TANTARICO ELY </v>
      </c>
      <c r="I87" s="94">
        <v>44324</v>
      </c>
      <c r="J87" s="10">
        <v>2</v>
      </c>
      <c r="K87" s="2">
        <v>62188868</v>
      </c>
      <c r="L87" s="4">
        <f>VLOOKUP(Tabla1[[#This Row],[DNI ]],RUBRO!$F$2:$O$9996,8,FALSE)</f>
        <v>39.15</v>
      </c>
      <c r="M87" s="88">
        <v>0.29166666666666669</v>
      </c>
      <c r="N87" s="28"/>
      <c r="P87" s="28">
        <v>0.625</v>
      </c>
      <c r="Q87" s="31">
        <f>(Tabla1[[#This Row],[SALIDA]]-Tabla1[[#This Row],[FIN ]])+(Tabla1[[#This Row],[INICIO]]-Tabla1[[#This Row],[INGRESO]])</f>
        <v>0.33333333333333331</v>
      </c>
      <c r="R87" s="13">
        <f t="shared" si="3"/>
        <v>0.33333333333333331</v>
      </c>
      <c r="S87" s="31">
        <f t="shared" si="4"/>
        <v>0</v>
      </c>
      <c r="T87" s="136"/>
      <c r="U87" s="136"/>
      <c r="V87" s="137">
        <f>(Tabla1[[#This Row],[COS.BASE 3]]*0.25+Tabla1[[#This Row],[COS.BASE 3]])*Tabla1[[#This Row],[HORAS 25 % ]]</f>
        <v>0</v>
      </c>
      <c r="W87" s="138">
        <f>(Tabla1[[#This Row],[COS.BASE 3]]*0.35+Tabla1[[#This Row],[COS.BASE 3]])*Tabla1[[#This Row],[HORAS 35% ]]</f>
        <v>0</v>
      </c>
      <c r="X87" s="138">
        <f>SUM(Tabla1[[#This Row],[C.HORA.35]],Tabla1[[#This Row],[C.HORA.25]])</f>
        <v>0</v>
      </c>
      <c r="Y87" s="4"/>
      <c r="Z87" s="10">
        <f>Tabla1[[#This Row],[T.HORAS]]*24</f>
        <v>8</v>
      </c>
      <c r="AA87" s="4">
        <f>Tabla1[[#This Row],[H.NORMALES]]*24</f>
        <v>8</v>
      </c>
      <c r="AB87" s="10">
        <f>Tabla1[[#This Row],[H.EXTRAS]]*24</f>
        <v>0</v>
      </c>
      <c r="AC87" s="105">
        <f t="shared" si="5"/>
        <v>39.15</v>
      </c>
      <c r="AD87" s="120">
        <f>Tabla1[[#This Row],[COS.BASE 2]]/8</f>
        <v>4.8937499999999998</v>
      </c>
      <c r="AE87" s="105">
        <f>Tabla1[[#This Row],[CST_H_E]]+Tabla1[[#This Row],[COS.BASE 2]]</f>
        <v>39.15</v>
      </c>
      <c r="AF87" s="106">
        <f>+_xlfn.IFNA(INDEX(RUBRO!$W$2:$AA$732,MATCH(Tabla1[[#This Row],[FECHA ]],RUBRO!$W$2:$W$732,0),5)," ")</f>
        <v>0</v>
      </c>
      <c r="AG87" s="10">
        <f>+_xlfn.IFNA(INDEX(RUBRO!$W$2:$AA$732,MATCH(Tabla1[[#This Row],[FECHA ]],RUBRO!$W$2:$W$732,0),2)," ")</f>
        <v>0</v>
      </c>
      <c r="AH87" s="40">
        <f>IFERROR(Tabla1[[#This Row],[F]]*Tabla1[[#This Row],[COS.B+E]]," ")</f>
        <v>0</v>
      </c>
      <c r="AI87" s="40">
        <f>IFERROR(Tabla1[[#This Row],[COS.B+E]]*Tabla1[[#This Row],[D]]," ")</f>
        <v>0</v>
      </c>
      <c r="AJ87" s="40" t="str">
        <f>IFERROR(Tabla1[[#This Row],[F]]*#REF!," ")</f>
        <v xml:space="preserve"> </v>
      </c>
      <c r="AK87" s="40" t="str">
        <f>IFERROR(#REF!*Tabla1[[#This Row],[D]]," ")</f>
        <v xml:space="preserve"> </v>
      </c>
      <c r="AL87" s="103"/>
      <c r="AM87" s="103"/>
      <c r="AN87" s="103"/>
      <c r="AO87" s="38">
        <f>+Tabla1[[#This Row],[COS.B+E]]+Tabla1[[#This Row],[COS.F1]]+Tabla1[[#This Row],[COS.D1]]+Tabla1[[#This Row],[ALIMENTACION]]+Tabla1[[#This Row],[PRESTAMO]]+AN87</f>
        <v>39.15</v>
      </c>
      <c r="AP87" s="38" t="e">
        <f>+#REF!+Tabla1[[#This Row],[COS F2]]+Tabla1[[#This Row],[COS D2]]+Tabla1[[#This Row],[ALIMENTACION]]+Tabla1[[#This Row],[PRESTAMO]]+Tabla1[[#This Row],[PASAJES]]</f>
        <v>#REF!</v>
      </c>
    </row>
    <row r="88" spans="1:42" x14ac:dyDescent="0.25">
      <c r="A88" s="2" t="str">
        <f>TEXT(Tabla1[[#This Row],[FECHA ]],"DDDDD")</f>
        <v>sábado</v>
      </c>
      <c r="B88" s="2" t="str">
        <f>_xlfn.IFNA(VLOOKUP(Tabla1[[#This Row],[DESTINO]],RUBRO!$Q$1:$R$9996,2,FALSE)," ")</f>
        <v>OBRA</v>
      </c>
      <c r="C88" s="104">
        <f>WEEKNUM(Tabla1[[#This Row],[FECHA ]],2)</f>
        <v>19</v>
      </c>
      <c r="D88" s="104" t="str">
        <f>TEXT(Tabla1[[#This Row],[FECHA ]],"MMM-YY")</f>
        <v>may-YY</v>
      </c>
      <c r="E88" s="104" t="str">
        <f>VLOOKUP(Tabla1[[#This Row],[DNI ]],RUBRO!$F$1:$O$9996,7,FALSE)</f>
        <v>5ta</v>
      </c>
      <c r="F88" s="104" t="str">
        <f>VLOOKUP(Tabla1[[#This Row],[DNI ]],RUBRO!$F$1:$O$88,3,FALSE)</f>
        <v>TEC-02</v>
      </c>
      <c r="G88" s="104" t="str">
        <f>VLOOKUP(Tabla1[[#This Row],[DNI ]],RUBRO!$F$1:$O$9996,5,FALSE)</f>
        <v>TECNICO MECANICO MONTAJISTA DE MAQUINARIA</v>
      </c>
      <c r="H88" s="66" t="str">
        <f>VLOOKUP(Tabla1[[#This Row],[DNI ]],RUBRO!$F$1:$O$9996,6,FALSE)</f>
        <v>MEJIA AYALA LUIS MANUEL</v>
      </c>
      <c r="I88" s="94">
        <v>44324</v>
      </c>
      <c r="J88" s="10">
        <v>2</v>
      </c>
      <c r="K88" s="2">
        <v>73541627</v>
      </c>
      <c r="L88" s="4">
        <f>VLOOKUP(Tabla1[[#This Row],[DNI ]],RUBRO!$F$2:$O$9996,8,FALSE)</f>
        <v>55</v>
      </c>
      <c r="M88" s="88">
        <v>0.29166666666666669</v>
      </c>
      <c r="N88" s="28"/>
      <c r="P88" s="28">
        <v>0.625</v>
      </c>
      <c r="Q88" s="31">
        <f>(Tabla1[[#This Row],[SALIDA]]-Tabla1[[#This Row],[FIN ]])+(Tabla1[[#This Row],[INICIO]]-Tabla1[[#This Row],[INGRESO]])</f>
        <v>0.33333333333333331</v>
      </c>
      <c r="R88" s="13">
        <f t="shared" si="3"/>
        <v>0.33333333333333331</v>
      </c>
      <c r="S88" s="31">
        <f t="shared" si="4"/>
        <v>0</v>
      </c>
      <c r="T88" s="136"/>
      <c r="U88" s="136"/>
      <c r="V88" s="137">
        <f>(Tabla1[[#This Row],[COS.BASE 3]]*0.25+Tabla1[[#This Row],[COS.BASE 3]])*Tabla1[[#This Row],[HORAS 25 % ]]</f>
        <v>0</v>
      </c>
      <c r="W88" s="138">
        <f>(Tabla1[[#This Row],[COS.BASE 3]]*0.35+Tabla1[[#This Row],[COS.BASE 3]])*Tabla1[[#This Row],[HORAS 35% ]]</f>
        <v>0</v>
      </c>
      <c r="X88" s="138">
        <f>SUM(Tabla1[[#This Row],[C.HORA.35]],Tabla1[[#This Row],[C.HORA.25]])</f>
        <v>0</v>
      </c>
      <c r="Y88" s="4"/>
      <c r="Z88" s="10">
        <f>Tabla1[[#This Row],[T.HORAS]]*24</f>
        <v>8</v>
      </c>
      <c r="AA88" s="4">
        <f>Tabla1[[#This Row],[H.NORMALES]]*24</f>
        <v>8</v>
      </c>
      <c r="AB88" s="10">
        <f>Tabla1[[#This Row],[H.EXTRAS]]*24</f>
        <v>0</v>
      </c>
      <c r="AC88" s="105">
        <f t="shared" si="5"/>
        <v>55</v>
      </c>
      <c r="AD88" s="120">
        <f>Tabla1[[#This Row],[COS.BASE 2]]/8</f>
        <v>6.875</v>
      </c>
      <c r="AE88" s="105">
        <f>Tabla1[[#This Row],[CST_H_E]]+Tabla1[[#This Row],[COS.BASE 2]]</f>
        <v>55</v>
      </c>
      <c r="AF88" s="106">
        <f>+_xlfn.IFNA(INDEX(RUBRO!$W$2:$AA$732,MATCH(Tabla1[[#This Row],[FECHA ]],RUBRO!$W$2:$W$732,0),5)," ")</f>
        <v>0</v>
      </c>
      <c r="AG88" s="10">
        <f>+_xlfn.IFNA(INDEX(RUBRO!$W$2:$AA$732,MATCH(Tabla1[[#This Row],[FECHA ]],RUBRO!$W$2:$W$732,0),2)," ")</f>
        <v>0</v>
      </c>
      <c r="AH88" s="40">
        <f>IFERROR(Tabla1[[#This Row],[F]]*Tabla1[[#This Row],[COS.B+E]]," ")</f>
        <v>0</v>
      </c>
      <c r="AI88" s="40">
        <f>IFERROR(Tabla1[[#This Row],[COS.B+E]]*Tabla1[[#This Row],[D]]," ")</f>
        <v>0</v>
      </c>
      <c r="AJ88" s="40" t="str">
        <f>IFERROR(Tabla1[[#This Row],[F]]*#REF!," ")</f>
        <v xml:space="preserve"> </v>
      </c>
      <c r="AK88" s="40" t="str">
        <f>IFERROR(#REF!*Tabla1[[#This Row],[D]]," ")</f>
        <v xml:space="preserve"> </v>
      </c>
      <c r="AL88" s="103"/>
      <c r="AM88" s="103"/>
      <c r="AN88" s="103"/>
      <c r="AO88" s="38">
        <f>+Tabla1[[#This Row],[COS.B+E]]+Tabla1[[#This Row],[COS.F1]]+Tabla1[[#This Row],[COS.D1]]+Tabla1[[#This Row],[ALIMENTACION]]+Tabla1[[#This Row],[PRESTAMO]]+AN88</f>
        <v>55</v>
      </c>
      <c r="AP88" s="38" t="e">
        <f>+#REF!+Tabla1[[#This Row],[COS F2]]+Tabla1[[#This Row],[COS D2]]+Tabla1[[#This Row],[ALIMENTACION]]+Tabla1[[#This Row],[PRESTAMO]]+Tabla1[[#This Row],[PASAJES]]</f>
        <v>#REF!</v>
      </c>
    </row>
    <row r="89" spans="1:42" x14ac:dyDescent="0.25">
      <c r="A89" s="2" t="str">
        <f>TEXT(Tabla1[[#This Row],[FECHA ]],"DDDDD")</f>
        <v>sábado</v>
      </c>
      <c r="B89" s="2" t="str">
        <f>_xlfn.IFNA(VLOOKUP(Tabla1[[#This Row],[DESTINO]],RUBRO!$Q$1:$R$9996,2,FALSE)," ")</f>
        <v>OBRA</v>
      </c>
      <c r="C89" s="104">
        <f>WEEKNUM(Tabla1[[#This Row],[FECHA ]],2)</f>
        <v>19</v>
      </c>
      <c r="D89" s="104" t="str">
        <f>TEXT(Tabla1[[#This Row],[FECHA ]],"MMM-YY")</f>
        <v>may-YY</v>
      </c>
      <c r="E89" s="104" t="str">
        <f>VLOOKUP(Tabla1[[#This Row],[DNI ]],RUBRO!$F$1:$O$9996,7,FALSE)</f>
        <v>5ta</v>
      </c>
      <c r="F89" s="104" t="str">
        <f>VLOOKUP(Tabla1[[#This Row],[DNI ]],RUBRO!$F$1:$O$88,3,FALSE)</f>
        <v>TEC-04</v>
      </c>
      <c r="G89" s="104" t="str">
        <f>VLOOKUP(Tabla1[[#This Row],[DNI ]],RUBRO!$F$1:$O$9996,5,FALSE)</f>
        <v>TECNICO MECANICO MONTAJISTA DE MAQUINARIA EXTRANJERA</v>
      </c>
      <c r="H89" s="66" t="str">
        <f>VLOOKUP(Tabla1[[#This Row],[DNI ]],RUBRO!$F$1:$O$9996,6,FALSE)</f>
        <v>MEREGILDO CABRERA RICARDO JOEL</v>
      </c>
      <c r="I89" s="94">
        <v>44324</v>
      </c>
      <c r="J89" s="10">
        <v>2</v>
      </c>
      <c r="K89" s="2">
        <v>76811302</v>
      </c>
      <c r="L89" s="4">
        <f>VLOOKUP(Tabla1[[#This Row],[DNI ]],RUBRO!$F$2:$O$9996,8,FALSE)</f>
        <v>60</v>
      </c>
      <c r="M89" s="88">
        <v>0.29166666666666669</v>
      </c>
      <c r="N89" s="28">
        <v>0.54166666666666663</v>
      </c>
      <c r="O89" s="28">
        <v>0.58333333333333337</v>
      </c>
      <c r="P89" s="28">
        <v>0.75</v>
      </c>
      <c r="Q89" s="31">
        <f>(Tabla1[[#This Row],[SALIDA]]-Tabla1[[#This Row],[FIN ]])+(Tabla1[[#This Row],[INICIO]]-Tabla1[[#This Row],[INGRESO]])</f>
        <v>0.41666666666666657</v>
      </c>
      <c r="R89" s="13">
        <f t="shared" si="3"/>
        <v>0.33333333333333331</v>
      </c>
      <c r="S89" s="31">
        <f t="shared" si="4"/>
        <v>8.3333333333333259E-2</v>
      </c>
      <c r="T89" s="136"/>
      <c r="U89" s="136"/>
      <c r="V89" s="137">
        <f>(Tabla1[[#This Row],[COS.BASE 3]]*0.25+Tabla1[[#This Row],[COS.BASE 3]])*Tabla1[[#This Row],[HORAS 25 % ]]</f>
        <v>0</v>
      </c>
      <c r="W89" s="138">
        <f>(Tabla1[[#This Row],[COS.BASE 3]]*0.35+Tabla1[[#This Row],[COS.BASE 3]])*Tabla1[[#This Row],[HORAS 35% ]]</f>
        <v>0</v>
      </c>
      <c r="X89" s="138">
        <f>SUM(Tabla1[[#This Row],[C.HORA.35]],Tabla1[[#This Row],[C.HORA.25]])</f>
        <v>0</v>
      </c>
      <c r="Y89" s="4"/>
      <c r="Z89" s="10">
        <f>Tabla1[[#This Row],[T.HORAS]]*24</f>
        <v>9.9999999999999982</v>
      </c>
      <c r="AA89" s="4">
        <f>Tabla1[[#This Row],[H.NORMALES]]*24</f>
        <v>8</v>
      </c>
      <c r="AB89" s="10">
        <f>Tabla1[[#This Row],[H.EXTRAS]]*24</f>
        <v>1.9999999999999982</v>
      </c>
      <c r="AC89" s="105">
        <f t="shared" si="5"/>
        <v>60</v>
      </c>
      <c r="AD89" s="120">
        <f>Tabla1[[#This Row],[COS.BASE 2]]/8</f>
        <v>7.5</v>
      </c>
      <c r="AE89" s="105">
        <f>Tabla1[[#This Row],[CST_H_E]]+Tabla1[[#This Row],[COS.BASE 2]]</f>
        <v>60</v>
      </c>
      <c r="AF89" s="106">
        <f>+_xlfn.IFNA(INDEX(RUBRO!$W$2:$AA$732,MATCH(Tabla1[[#This Row],[FECHA ]],RUBRO!$W$2:$W$732,0),5)," ")</f>
        <v>0</v>
      </c>
      <c r="AG89" s="10">
        <f>+_xlfn.IFNA(INDEX(RUBRO!$W$2:$AA$732,MATCH(Tabla1[[#This Row],[FECHA ]],RUBRO!$W$2:$W$732,0),2)," ")</f>
        <v>0</v>
      </c>
      <c r="AH89" s="40">
        <f>IFERROR(Tabla1[[#This Row],[F]]*Tabla1[[#This Row],[COS.B+E]]," ")</f>
        <v>0</v>
      </c>
      <c r="AI89" s="40">
        <f>IFERROR(Tabla1[[#This Row],[COS.B+E]]*Tabla1[[#This Row],[D]]," ")</f>
        <v>0</v>
      </c>
      <c r="AJ89" s="40" t="str">
        <f>IFERROR(Tabla1[[#This Row],[F]]*#REF!," ")</f>
        <v xml:space="preserve"> </v>
      </c>
      <c r="AK89" s="40" t="str">
        <f>IFERROR(#REF!*Tabla1[[#This Row],[D]]," ")</f>
        <v xml:space="preserve"> </v>
      </c>
      <c r="AL89" s="103"/>
      <c r="AM89" s="103"/>
      <c r="AN89" s="103"/>
      <c r="AO89" s="38">
        <f>+Tabla1[[#This Row],[COS.B+E]]+Tabla1[[#This Row],[COS.F1]]+Tabla1[[#This Row],[COS.D1]]+Tabla1[[#This Row],[ALIMENTACION]]+Tabla1[[#This Row],[PRESTAMO]]+AN89</f>
        <v>60</v>
      </c>
      <c r="AP89" s="38" t="e">
        <f>+#REF!+Tabla1[[#This Row],[COS F2]]+Tabla1[[#This Row],[COS D2]]+Tabla1[[#This Row],[ALIMENTACION]]+Tabla1[[#This Row],[PRESTAMO]]+Tabla1[[#This Row],[PASAJES]]</f>
        <v>#REF!</v>
      </c>
    </row>
    <row r="90" spans="1:42" x14ac:dyDescent="0.25">
      <c r="A90" s="2" t="str">
        <f>TEXT(Tabla1[[#This Row],[FECHA ]],"DDDDD")</f>
        <v>sábado</v>
      </c>
      <c r="B90" s="2" t="str">
        <f>_xlfn.IFNA(VLOOKUP(Tabla1[[#This Row],[DESTINO]],RUBRO!$Q$1:$R$9996,2,FALSE)," ")</f>
        <v>OBRA</v>
      </c>
      <c r="C90" s="104">
        <f>WEEKNUM(Tabla1[[#This Row],[FECHA ]],2)</f>
        <v>19</v>
      </c>
      <c r="D90" s="104" t="str">
        <f>TEXT(Tabla1[[#This Row],[FECHA ]],"MMM-YY")</f>
        <v>may-YY</v>
      </c>
      <c r="E90" s="104" t="str">
        <f>VLOOKUP(Tabla1[[#This Row],[DNI ]],RUBRO!$F$1:$O$9996,7,FALSE)</f>
        <v xml:space="preserve">5ta </v>
      </c>
      <c r="F90" s="104" t="str">
        <f>VLOOKUP(Tabla1[[#This Row],[DNI ]],RUBRO!$F$1:$O$88,3,FALSE)</f>
        <v>AYU-VA</v>
      </c>
      <c r="G90" s="104" t="str">
        <f>VLOOKUP(Tabla1[[#This Row],[DNI ]],RUBRO!$F$1:$O$9996,5,FALSE)</f>
        <v>AYUDANTE DE PRODUCCION</v>
      </c>
      <c r="H90" s="66" t="str">
        <f>VLOOKUP(Tabla1[[#This Row],[DNI ]],RUBRO!$F$1:$O$9996,6,FALSE)</f>
        <v>MIO QUIÑONES ALEXIS</v>
      </c>
      <c r="I90" s="94">
        <v>44324</v>
      </c>
      <c r="J90" s="10">
        <v>2</v>
      </c>
      <c r="K90" s="2">
        <v>76457697</v>
      </c>
      <c r="L90" s="4">
        <f>VLOOKUP(Tabla1[[#This Row],[DNI ]],RUBRO!$F$2:$O$9996,8,FALSE)</f>
        <v>45</v>
      </c>
      <c r="M90" s="88">
        <v>0.29166666666666669</v>
      </c>
      <c r="N90" s="28"/>
      <c r="P90" s="28">
        <v>0.58333333333333337</v>
      </c>
      <c r="Q90" s="31">
        <f>(Tabla1[[#This Row],[SALIDA]]-Tabla1[[#This Row],[FIN ]])+(Tabla1[[#This Row],[INICIO]]-Tabla1[[#This Row],[INGRESO]])</f>
        <v>0.29166666666666669</v>
      </c>
      <c r="R90" s="13">
        <f t="shared" si="3"/>
        <v>0.29166666666666669</v>
      </c>
      <c r="S90" s="31">
        <f t="shared" si="4"/>
        <v>0</v>
      </c>
      <c r="T90" s="136"/>
      <c r="U90" s="136"/>
      <c r="V90" s="137">
        <f>(Tabla1[[#This Row],[COS.BASE 3]]*0.25+Tabla1[[#This Row],[COS.BASE 3]])*Tabla1[[#This Row],[HORAS 25 % ]]</f>
        <v>0</v>
      </c>
      <c r="W90" s="138">
        <f>(Tabla1[[#This Row],[COS.BASE 3]]*0.35+Tabla1[[#This Row],[COS.BASE 3]])*Tabla1[[#This Row],[HORAS 35% ]]</f>
        <v>0</v>
      </c>
      <c r="X90" s="138">
        <f>SUM(Tabla1[[#This Row],[C.HORA.35]],Tabla1[[#This Row],[C.HORA.25]])</f>
        <v>0</v>
      </c>
      <c r="Y90" s="4"/>
      <c r="Z90" s="10">
        <f>Tabla1[[#This Row],[T.HORAS]]*24</f>
        <v>7</v>
      </c>
      <c r="AA90" s="4">
        <f>Tabla1[[#This Row],[H.NORMALES]]*24</f>
        <v>7</v>
      </c>
      <c r="AB90" s="10">
        <f>Tabla1[[#This Row],[H.EXTRAS]]*24</f>
        <v>0</v>
      </c>
      <c r="AC90" s="105">
        <f t="shared" si="5"/>
        <v>39.375</v>
      </c>
      <c r="AD90" s="120">
        <f>Tabla1[[#This Row],[COS.BASE 2]]/8</f>
        <v>4.921875</v>
      </c>
      <c r="AE90" s="105">
        <f>Tabla1[[#This Row],[CST_H_E]]+Tabla1[[#This Row],[COS.BASE 2]]</f>
        <v>39.375</v>
      </c>
      <c r="AF90" s="106">
        <f>+_xlfn.IFNA(INDEX(RUBRO!$W$2:$AA$732,MATCH(Tabla1[[#This Row],[FECHA ]],RUBRO!$W$2:$W$732,0),5)," ")</f>
        <v>0</v>
      </c>
      <c r="AG90" s="10">
        <f>+_xlfn.IFNA(INDEX(RUBRO!$W$2:$AA$732,MATCH(Tabla1[[#This Row],[FECHA ]],RUBRO!$W$2:$W$732,0),2)," ")</f>
        <v>0</v>
      </c>
      <c r="AH90" s="40">
        <f>IFERROR(Tabla1[[#This Row],[F]]*Tabla1[[#This Row],[COS.B+E]]," ")</f>
        <v>0</v>
      </c>
      <c r="AI90" s="40">
        <f>IFERROR(Tabla1[[#This Row],[COS.B+E]]*Tabla1[[#This Row],[D]]," ")</f>
        <v>0</v>
      </c>
      <c r="AJ90" s="40" t="str">
        <f>IFERROR(Tabla1[[#This Row],[F]]*#REF!," ")</f>
        <v xml:space="preserve"> </v>
      </c>
      <c r="AK90" s="40" t="str">
        <f>IFERROR(#REF!*Tabla1[[#This Row],[D]]," ")</f>
        <v xml:space="preserve"> </v>
      </c>
      <c r="AL90" s="103"/>
      <c r="AM90" s="103"/>
      <c r="AN90" s="103"/>
      <c r="AO90" s="38">
        <f>+Tabla1[[#This Row],[COS.B+E]]+Tabla1[[#This Row],[COS.F1]]+Tabla1[[#This Row],[COS.D1]]+Tabla1[[#This Row],[ALIMENTACION]]+Tabla1[[#This Row],[PRESTAMO]]+AN90</f>
        <v>39.375</v>
      </c>
      <c r="AP90" s="38" t="e">
        <f>+#REF!+Tabla1[[#This Row],[COS F2]]+Tabla1[[#This Row],[COS D2]]+Tabla1[[#This Row],[ALIMENTACION]]+Tabla1[[#This Row],[PRESTAMO]]+Tabla1[[#This Row],[PASAJES]]</f>
        <v>#REF!</v>
      </c>
    </row>
    <row r="91" spans="1:42" x14ac:dyDescent="0.25">
      <c r="A91" s="2" t="str">
        <f>TEXT(Tabla1[[#This Row],[FECHA ]],"DDDDD")</f>
        <v>sábado</v>
      </c>
      <c r="B91" s="2" t="str">
        <f>_xlfn.IFNA(VLOOKUP(Tabla1[[#This Row],[DESTINO]],RUBRO!$Q$1:$R$9996,2,FALSE)," ")</f>
        <v>OBRA</v>
      </c>
      <c r="C91" s="104">
        <f>WEEKNUM(Tabla1[[#This Row],[FECHA ]],2)</f>
        <v>19</v>
      </c>
      <c r="D91" s="104" t="str">
        <f>TEXT(Tabla1[[#This Row],[FECHA ]],"MMM-YY")</f>
        <v>may-YY</v>
      </c>
      <c r="E91" s="104">
        <f>VLOOKUP(Tabla1[[#This Row],[DNI ]],RUBRO!$F$1:$O$9996,7,FALSE)</f>
        <v>0</v>
      </c>
      <c r="F91" s="104" t="e">
        <f>VLOOKUP(Tabla1[[#This Row],[DNI ]],RUBRO!$F$1:$O$88,3,FALSE)</f>
        <v>#N/A</v>
      </c>
      <c r="G91" s="104">
        <f>VLOOKUP(Tabla1[[#This Row],[DNI ]],RUBRO!$F$1:$O$9996,5,FALSE)</f>
        <v>0</v>
      </c>
      <c r="H91" s="66" t="str">
        <f>VLOOKUP(Tabla1[[#This Row],[DNI ]],RUBRO!$F$1:$O$9996,6,FALSE)</f>
        <v>MONJA ACOSTA RONALD</v>
      </c>
      <c r="I91" s="94">
        <v>44324</v>
      </c>
      <c r="J91" s="10">
        <v>2</v>
      </c>
      <c r="K91" s="2">
        <v>75561146</v>
      </c>
      <c r="L91" s="4">
        <f>VLOOKUP(Tabla1[[#This Row],[DNI ]],RUBRO!$F$2:$O$9996,8,FALSE)</f>
        <v>0</v>
      </c>
      <c r="M91" s="88">
        <v>0.29166666666666669</v>
      </c>
      <c r="N91" s="28"/>
      <c r="P91" s="28">
        <v>0.58333333333333337</v>
      </c>
      <c r="Q91" s="31">
        <f>(Tabla1[[#This Row],[SALIDA]]-Tabla1[[#This Row],[FIN ]])+(Tabla1[[#This Row],[INICIO]]-Tabla1[[#This Row],[INGRESO]])</f>
        <v>0.29166666666666669</v>
      </c>
      <c r="R91" s="13">
        <f t="shared" si="3"/>
        <v>0.29166666666666669</v>
      </c>
      <c r="S91" s="31">
        <f t="shared" si="4"/>
        <v>0</v>
      </c>
      <c r="T91" s="136"/>
      <c r="U91" s="136"/>
      <c r="V91" s="137">
        <f>(Tabla1[[#This Row],[COS.BASE 3]]*0.25+Tabla1[[#This Row],[COS.BASE 3]])*Tabla1[[#This Row],[HORAS 25 % ]]</f>
        <v>0</v>
      </c>
      <c r="W91" s="138">
        <f>(Tabla1[[#This Row],[COS.BASE 3]]*0.35+Tabla1[[#This Row],[COS.BASE 3]])*Tabla1[[#This Row],[HORAS 35% ]]</f>
        <v>0</v>
      </c>
      <c r="X91" s="138">
        <f>SUM(Tabla1[[#This Row],[C.HORA.35]],Tabla1[[#This Row],[C.HORA.25]])</f>
        <v>0</v>
      </c>
      <c r="Y91" s="4"/>
      <c r="Z91" s="10">
        <f>Tabla1[[#This Row],[T.HORAS]]*24</f>
        <v>7</v>
      </c>
      <c r="AA91" s="4">
        <f>Tabla1[[#This Row],[H.NORMALES]]*24</f>
        <v>7</v>
      </c>
      <c r="AB91" s="10">
        <f>Tabla1[[#This Row],[H.EXTRAS]]*24</f>
        <v>0</v>
      </c>
      <c r="AC91" s="105">
        <f t="shared" si="5"/>
        <v>0</v>
      </c>
      <c r="AD91" s="120">
        <f>Tabla1[[#This Row],[COS.BASE 2]]/8</f>
        <v>0</v>
      </c>
      <c r="AE91" s="105">
        <f>Tabla1[[#This Row],[CST_H_E]]+Tabla1[[#This Row],[COS.BASE 2]]</f>
        <v>0</v>
      </c>
      <c r="AF91" s="106">
        <f>+_xlfn.IFNA(INDEX(RUBRO!$W$2:$AA$732,MATCH(Tabla1[[#This Row],[FECHA ]],RUBRO!$W$2:$W$732,0),5)," ")</f>
        <v>0</v>
      </c>
      <c r="AG91" s="10">
        <f>+_xlfn.IFNA(INDEX(RUBRO!$W$2:$AA$732,MATCH(Tabla1[[#This Row],[FECHA ]],RUBRO!$W$2:$W$732,0),2)," ")</f>
        <v>0</v>
      </c>
      <c r="AH91" s="40">
        <f>IFERROR(Tabla1[[#This Row],[F]]*Tabla1[[#This Row],[COS.B+E]]," ")</f>
        <v>0</v>
      </c>
      <c r="AI91" s="40">
        <f>IFERROR(Tabla1[[#This Row],[COS.B+E]]*Tabla1[[#This Row],[D]]," ")</f>
        <v>0</v>
      </c>
      <c r="AJ91" s="40" t="str">
        <f>IFERROR(Tabla1[[#This Row],[F]]*#REF!," ")</f>
        <v xml:space="preserve"> </v>
      </c>
      <c r="AK91" s="40" t="str">
        <f>IFERROR(#REF!*Tabla1[[#This Row],[D]]," ")</f>
        <v xml:space="preserve"> </v>
      </c>
      <c r="AL91" s="103"/>
      <c r="AM91" s="103"/>
      <c r="AN91" s="103"/>
      <c r="AO91" s="38">
        <f>+Tabla1[[#This Row],[COS.B+E]]+Tabla1[[#This Row],[COS.F1]]+Tabla1[[#This Row],[COS.D1]]+Tabla1[[#This Row],[ALIMENTACION]]+Tabla1[[#This Row],[PRESTAMO]]+AN91</f>
        <v>0</v>
      </c>
      <c r="AP91" s="38" t="e">
        <f>+#REF!+Tabla1[[#This Row],[COS F2]]+Tabla1[[#This Row],[COS D2]]+Tabla1[[#This Row],[ALIMENTACION]]+Tabla1[[#This Row],[PRESTAMO]]+Tabla1[[#This Row],[PASAJES]]</f>
        <v>#REF!</v>
      </c>
    </row>
    <row r="92" spans="1:42" x14ac:dyDescent="0.25">
      <c r="A92" s="2" t="str">
        <f>TEXT(Tabla1[[#This Row],[FECHA ]],"DDDDD")</f>
        <v>sábado</v>
      </c>
      <c r="B92" s="2" t="str">
        <f>_xlfn.IFNA(VLOOKUP(Tabla1[[#This Row],[DESTINO]],RUBRO!$Q$1:$R$9996,2,FALSE)," ")</f>
        <v>PLANTA</v>
      </c>
      <c r="C92" s="104">
        <f>WEEKNUM(Tabla1[[#This Row],[FECHA ]],2)</f>
        <v>19</v>
      </c>
      <c r="D92" s="104" t="str">
        <f>TEXT(Tabla1[[#This Row],[FECHA ]],"MMM-YY")</f>
        <v>may-YY</v>
      </c>
      <c r="E92" s="104">
        <f>VLOOKUP(Tabla1[[#This Row],[DNI ]],RUBRO!$F$1:$O$9996,7,FALSE)</f>
        <v>0</v>
      </c>
      <c r="F92" s="104" t="e">
        <f>VLOOKUP(Tabla1[[#This Row],[DNI ]],RUBRO!$F$1:$O$88,3,FALSE)</f>
        <v>#N/A</v>
      </c>
      <c r="G92" s="104">
        <f>VLOOKUP(Tabla1[[#This Row],[DNI ]],RUBRO!$F$1:$O$9996,5,FALSE)</f>
        <v>0</v>
      </c>
      <c r="H92" s="66" t="str">
        <f>VLOOKUP(Tabla1[[#This Row],[DNI ]],RUBRO!$F$1:$O$9996,6,FALSE)</f>
        <v>MONTENEGRO DAVILA EVER</v>
      </c>
      <c r="I92" s="94">
        <v>44324</v>
      </c>
      <c r="J92" s="10">
        <v>1</v>
      </c>
      <c r="K92" s="2">
        <v>76847602</v>
      </c>
      <c r="L92" s="4">
        <f>VLOOKUP(Tabla1[[#This Row],[DNI ]],RUBRO!$F$2:$O$9996,8,FALSE)</f>
        <v>0</v>
      </c>
      <c r="M92" s="88">
        <v>0.29166666666666669</v>
      </c>
      <c r="N92" s="28">
        <v>0.54166666666666663</v>
      </c>
      <c r="O92" s="28">
        <v>0.55208333333333337</v>
      </c>
      <c r="P92" s="28">
        <v>0.67708333333333337</v>
      </c>
      <c r="Q92" s="31">
        <f>(Tabla1[[#This Row],[SALIDA]]-Tabla1[[#This Row],[FIN ]])+(Tabla1[[#This Row],[INICIO]]-Tabla1[[#This Row],[INGRESO]])</f>
        <v>0.37499999999999994</v>
      </c>
      <c r="R92" s="13">
        <f t="shared" si="3"/>
        <v>0.37499999999999994</v>
      </c>
      <c r="S92" s="31">
        <f t="shared" si="4"/>
        <v>0</v>
      </c>
      <c r="T92" s="136"/>
      <c r="U92" s="136"/>
      <c r="V92" s="137">
        <f>(Tabla1[[#This Row],[COS.BASE 3]]*0.25+Tabla1[[#This Row],[COS.BASE 3]])*Tabla1[[#This Row],[HORAS 25 % ]]</f>
        <v>0</v>
      </c>
      <c r="W92" s="138">
        <f>(Tabla1[[#This Row],[COS.BASE 3]]*0.35+Tabla1[[#This Row],[COS.BASE 3]])*Tabla1[[#This Row],[HORAS 35% ]]</f>
        <v>0</v>
      </c>
      <c r="X92" s="138">
        <f>SUM(Tabla1[[#This Row],[C.HORA.35]],Tabla1[[#This Row],[C.HORA.25]])</f>
        <v>0</v>
      </c>
      <c r="Y92" s="4"/>
      <c r="Z92" s="10">
        <f>Tabla1[[#This Row],[T.HORAS]]*24</f>
        <v>8.9999999999999982</v>
      </c>
      <c r="AA92" s="4">
        <f>Tabla1[[#This Row],[H.NORMALES]]*24</f>
        <v>8.9999999999999982</v>
      </c>
      <c r="AB92" s="10">
        <f>Tabla1[[#This Row],[H.EXTRAS]]*24</f>
        <v>0</v>
      </c>
      <c r="AC92" s="105">
        <f t="shared" si="5"/>
        <v>0</v>
      </c>
      <c r="AD92" s="120">
        <f>Tabla1[[#This Row],[COS.BASE 2]]/8</f>
        <v>0</v>
      </c>
      <c r="AE92" s="105">
        <f>Tabla1[[#This Row],[CST_H_E]]+Tabla1[[#This Row],[COS.BASE 2]]</f>
        <v>0</v>
      </c>
      <c r="AF92" s="106">
        <f>+_xlfn.IFNA(INDEX(RUBRO!$W$2:$AA$732,MATCH(Tabla1[[#This Row],[FECHA ]],RUBRO!$W$2:$W$732,0),5)," ")</f>
        <v>0</v>
      </c>
      <c r="AG92" s="10">
        <f>+_xlfn.IFNA(INDEX(RUBRO!$W$2:$AA$732,MATCH(Tabla1[[#This Row],[FECHA ]],RUBRO!$W$2:$W$732,0),2)," ")</f>
        <v>0</v>
      </c>
      <c r="AH92" s="40">
        <f>IFERROR(Tabla1[[#This Row],[F]]*Tabla1[[#This Row],[COS.B+E]]," ")</f>
        <v>0</v>
      </c>
      <c r="AI92" s="40">
        <f>IFERROR(Tabla1[[#This Row],[COS.B+E]]*Tabla1[[#This Row],[D]]," ")</f>
        <v>0</v>
      </c>
      <c r="AJ92" s="40" t="str">
        <f>IFERROR(Tabla1[[#This Row],[F]]*#REF!," ")</f>
        <v xml:space="preserve"> </v>
      </c>
      <c r="AK92" s="40" t="str">
        <f>IFERROR(#REF!*Tabla1[[#This Row],[D]]," ")</f>
        <v xml:space="preserve"> </v>
      </c>
      <c r="AL92" s="103"/>
      <c r="AM92" s="103"/>
      <c r="AN92" s="103"/>
      <c r="AO92" s="38">
        <f>+Tabla1[[#This Row],[COS.B+E]]+Tabla1[[#This Row],[COS.F1]]+Tabla1[[#This Row],[COS.D1]]+Tabla1[[#This Row],[ALIMENTACION]]+Tabla1[[#This Row],[PRESTAMO]]+AN92</f>
        <v>0</v>
      </c>
      <c r="AP92" s="38" t="e">
        <f>+#REF!+Tabla1[[#This Row],[COS F2]]+Tabla1[[#This Row],[COS D2]]+Tabla1[[#This Row],[ALIMENTACION]]+Tabla1[[#This Row],[PRESTAMO]]+Tabla1[[#This Row],[PASAJES]]</f>
        <v>#REF!</v>
      </c>
    </row>
    <row r="93" spans="1:42" x14ac:dyDescent="0.25">
      <c r="A93" s="2" t="str">
        <f>TEXT(Tabla1[[#This Row],[FECHA ]],"DDDDD")</f>
        <v>sábado</v>
      </c>
      <c r="B93" s="2" t="str">
        <f>_xlfn.IFNA(VLOOKUP(Tabla1[[#This Row],[DESTINO]],RUBRO!$Q$1:$R$9996,2,FALSE)," ")</f>
        <v>FALTA</v>
      </c>
      <c r="C93" s="104">
        <f>WEEKNUM(Tabla1[[#This Row],[FECHA ]],2)</f>
        <v>19</v>
      </c>
      <c r="D93" s="104" t="str">
        <f>TEXT(Tabla1[[#This Row],[FECHA ]],"MMM-YY")</f>
        <v>may-YY</v>
      </c>
      <c r="E93" s="104" t="str">
        <f>VLOOKUP(Tabla1[[#This Row],[DNI ]],RUBRO!$F$1:$O$9996,7,FALSE)</f>
        <v>5ta</v>
      </c>
      <c r="F93" s="104" t="str">
        <f>VLOOKUP(Tabla1[[#This Row],[DNI ]],RUBRO!$F$1:$O$88,3,FALSE)</f>
        <v>TEC-01</v>
      </c>
      <c r="G93" s="104" t="str">
        <f>VLOOKUP(Tabla1[[#This Row],[DNI ]],RUBRO!$F$1:$O$9996,5,FALSE)</f>
        <v>TECNICO SOLDADOR</v>
      </c>
      <c r="H93" s="66" t="str">
        <f>VLOOKUP(Tabla1[[#This Row],[DNI ]],RUBRO!$F$1:$O$9996,6,FALSE)</f>
        <v>MUÑOZ EXEBIO IRWIS MANUEL</v>
      </c>
      <c r="I93" s="94">
        <v>44324</v>
      </c>
      <c r="J93" s="10">
        <v>4</v>
      </c>
      <c r="K93" s="2">
        <v>46933574</v>
      </c>
      <c r="L93" s="4">
        <f>VLOOKUP(Tabla1[[#This Row],[DNI ]],RUBRO!$F$2:$O$9996,8,FALSE)</f>
        <v>65</v>
      </c>
      <c r="M93" s="88"/>
      <c r="N93" s="28"/>
      <c r="P93" s="28"/>
      <c r="Q93" s="31">
        <f>(Tabla1[[#This Row],[SALIDA]]-Tabla1[[#This Row],[FIN ]])+(Tabla1[[#This Row],[INICIO]]-Tabla1[[#This Row],[INGRESO]])</f>
        <v>0</v>
      </c>
      <c r="R93" s="13">
        <f t="shared" si="3"/>
        <v>0</v>
      </c>
      <c r="S93" s="31">
        <f t="shared" si="4"/>
        <v>0</v>
      </c>
      <c r="T93" s="136"/>
      <c r="U93" s="136"/>
      <c r="V93" s="137">
        <f>(Tabla1[[#This Row],[COS.BASE 3]]*0.25+Tabla1[[#This Row],[COS.BASE 3]])*Tabla1[[#This Row],[HORAS 25 % ]]</f>
        <v>0</v>
      </c>
      <c r="W93" s="138">
        <f>(Tabla1[[#This Row],[COS.BASE 3]]*0.35+Tabla1[[#This Row],[COS.BASE 3]])*Tabla1[[#This Row],[HORAS 35% ]]</f>
        <v>0</v>
      </c>
      <c r="X93" s="138">
        <f>SUM(Tabla1[[#This Row],[C.HORA.35]],Tabla1[[#This Row],[C.HORA.25]])</f>
        <v>0</v>
      </c>
      <c r="Y93" s="4"/>
      <c r="Z93" s="10">
        <f>Tabla1[[#This Row],[T.HORAS]]*24</f>
        <v>0</v>
      </c>
      <c r="AA93" s="4">
        <f>Tabla1[[#This Row],[H.NORMALES]]*24</f>
        <v>0</v>
      </c>
      <c r="AB93" s="10">
        <f>Tabla1[[#This Row],[H.EXTRAS]]*24</f>
        <v>0</v>
      </c>
      <c r="AC93" s="105">
        <f t="shared" si="5"/>
        <v>0</v>
      </c>
      <c r="AD93" s="120">
        <f>Tabla1[[#This Row],[COS.BASE 2]]/8</f>
        <v>0</v>
      </c>
      <c r="AE93" s="105">
        <f>Tabla1[[#This Row],[CST_H_E]]+Tabla1[[#This Row],[COS.BASE 2]]</f>
        <v>0</v>
      </c>
      <c r="AF93" s="106">
        <f>+_xlfn.IFNA(INDEX(RUBRO!$W$2:$AA$732,MATCH(Tabla1[[#This Row],[FECHA ]],RUBRO!$W$2:$W$732,0),5)," ")</f>
        <v>0</v>
      </c>
      <c r="AG93" s="10">
        <f>+_xlfn.IFNA(INDEX(RUBRO!$W$2:$AA$732,MATCH(Tabla1[[#This Row],[FECHA ]],RUBRO!$W$2:$W$732,0),2)," ")</f>
        <v>0</v>
      </c>
      <c r="AH93" s="40">
        <f>IFERROR(Tabla1[[#This Row],[F]]*Tabla1[[#This Row],[COS.B+E]]," ")</f>
        <v>0</v>
      </c>
      <c r="AI93" s="40">
        <f>IFERROR(Tabla1[[#This Row],[COS.B+E]]*Tabla1[[#This Row],[D]]," ")</f>
        <v>0</v>
      </c>
      <c r="AJ93" s="40" t="str">
        <f>IFERROR(Tabla1[[#This Row],[F]]*#REF!," ")</f>
        <v xml:space="preserve"> </v>
      </c>
      <c r="AK93" s="40" t="str">
        <f>IFERROR(#REF!*Tabla1[[#This Row],[D]]," ")</f>
        <v xml:space="preserve"> </v>
      </c>
      <c r="AL93" s="103"/>
      <c r="AM93" s="103"/>
      <c r="AN93" s="103"/>
      <c r="AO93" s="38">
        <f>+Tabla1[[#This Row],[COS.B+E]]+Tabla1[[#This Row],[COS.F1]]+Tabla1[[#This Row],[COS.D1]]+Tabla1[[#This Row],[ALIMENTACION]]+Tabla1[[#This Row],[PRESTAMO]]+AN93</f>
        <v>0</v>
      </c>
      <c r="AP93" s="38" t="e">
        <f>+#REF!+Tabla1[[#This Row],[COS F2]]+Tabla1[[#This Row],[COS D2]]+Tabla1[[#This Row],[ALIMENTACION]]+Tabla1[[#This Row],[PRESTAMO]]+Tabla1[[#This Row],[PASAJES]]</f>
        <v>#REF!</v>
      </c>
    </row>
    <row r="94" spans="1:42" x14ac:dyDescent="0.25">
      <c r="A94" s="2" t="str">
        <f>TEXT(Tabla1[[#This Row],[FECHA ]],"DDDDD")</f>
        <v>sábado</v>
      </c>
      <c r="B94" s="2" t="str">
        <f>_xlfn.IFNA(VLOOKUP(Tabla1[[#This Row],[DESTINO]],RUBRO!$Q$1:$R$9996,2,FALSE)," ")</f>
        <v>PLANTA</v>
      </c>
      <c r="C94" s="104">
        <f>WEEKNUM(Tabla1[[#This Row],[FECHA ]],2)</f>
        <v>19</v>
      </c>
      <c r="D94" s="104" t="str">
        <f>TEXT(Tabla1[[#This Row],[FECHA ]],"MMM-YY")</f>
        <v>may-YY</v>
      </c>
      <c r="E94" s="104" t="str">
        <f>VLOOKUP(Tabla1[[#This Row],[DNI ]],RUBRO!$F$1:$O$9996,7,FALSE)</f>
        <v>5ta</v>
      </c>
      <c r="F94" s="104" t="e">
        <f>VLOOKUP(Tabla1[[#This Row],[DNI ]],RUBRO!$F$1:$O$88,3,FALSE)</f>
        <v>#N/A</v>
      </c>
      <c r="G94" s="104">
        <f>VLOOKUP(Tabla1[[#This Row],[DNI ]],RUBRO!$F$1:$O$9996,5,FALSE)</f>
        <v>0</v>
      </c>
      <c r="H94" s="66" t="str">
        <f>VLOOKUP(Tabla1[[#This Row],[DNI ]],RUBRO!$F$1:$O$9996,6,FALSE)</f>
        <v>OLANO GARCIA</v>
      </c>
      <c r="I94" s="94">
        <v>44324</v>
      </c>
      <c r="J94" s="10">
        <v>1</v>
      </c>
      <c r="K94" s="2">
        <v>41234982</v>
      </c>
      <c r="L94" s="4">
        <f>VLOOKUP(Tabla1[[#This Row],[DNI ]],RUBRO!$F$2:$O$9996,8,FALSE)</f>
        <v>0</v>
      </c>
      <c r="M94" s="88">
        <v>0.29166666666666669</v>
      </c>
      <c r="N94" s="28"/>
      <c r="P94" s="28">
        <v>0.58333333333333337</v>
      </c>
      <c r="Q94" s="31">
        <f>(Tabla1[[#This Row],[SALIDA]]-Tabla1[[#This Row],[FIN ]])+(Tabla1[[#This Row],[INICIO]]-Tabla1[[#This Row],[INGRESO]])</f>
        <v>0.29166666666666669</v>
      </c>
      <c r="R94" s="13">
        <f t="shared" si="3"/>
        <v>0.29166666666666669</v>
      </c>
      <c r="S94" s="31">
        <f t="shared" si="4"/>
        <v>0</v>
      </c>
      <c r="T94" s="136"/>
      <c r="U94" s="136"/>
      <c r="V94" s="137">
        <f>(Tabla1[[#This Row],[COS.BASE 3]]*0.25+Tabla1[[#This Row],[COS.BASE 3]])*Tabla1[[#This Row],[HORAS 25 % ]]</f>
        <v>0</v>
      </c>
      <c r="W94" s="138">
        <f>(Tabla1[[#This Row],[COS.BASE 3]]*0.35+Tabla1[[#This Row],[COS.BASE 3]])*Tabla1[[#This Row],[HORAS 35% ]]</f>
        <v>0</v>
      </c>
      <c r="X94" s="138">
        <f>SUM(Tabla1[[#This Row],[C.HORA.35]],Tabla1[[#This Row],[C.HORA.25]])</f>
        <v>0</v>
      </c>
      <c r="Y94" s="4"/>
      <c r="Z94" s="10">
        <f>Tabla1[[#This Row],[T.HORAS]]*24</f>
        <v>7</v>
      </c>
      <c r="AA94" s="4">
        <f>Tabla1[[#This Row],[H.NORMALES]]*24</f>
        <v>7</v>
      </c>
      <c r="AB94" s="10">
        <f>Tabla1[[#This Row],[H.EXTRAS]]*24</f>
        <v>0</v>
      </c>
      <c r="AC94" s="105">
        <f t="shared" si="5"/>
        <v>0</v>
      </c>
      <c r="AD94" s="120">
        <f>Tabla1[[#This Row],[COS.BASE 2]]/8</f>
        <v>0</v>
      </c>
      <c r="AE94" s="105">
        <f>Tabla1[[#This Row],[CST_H_E]]+Tabla1[[#This Row],[COS.BASE 2]]</f>
        <v>0</v>
      </c>
      <c r="AF94" s="106">
        <f>+_xlfn.IFNA(INDEX(RUBRO!$W$2:$AA$732,MATCH(Tabla1[[#This Row],[FECHA ]],RUBRO!$W$2:$W$732,0),5)," ")</f>
        <v>0</v>
      </c>
      <c r="AG94" s="10">
        <f>+_xlfn.IFNA(INDEX(RUBRO!$W$2:$AA$732,MATCH(Tabla1[[#This Row],[FECHA ]],RUBRO!$W$2:$W$732,0),2)," ")</f>
        <v>0</v>
      </c>
      <c r="AH94" s="40">
        <f>IFERROR(Tabla1[[#This Row],[F]]*Tabla1[[#This Row],[COS.B+E]]," ")</f>
        <v>0</v>
      </c>
      <c r="AI94" s="40">
        <f>IFERROR(Tabla1[[#This Row],[COS.B+E]]*Tabla1[[#This Row],[D]]," ")</f>
        <v>0</v>
      </c>
      <c r="AJ94" s="40" t="str">
        <f>IFERROR(Tabla1[[#This Row],[F]]*#REF!," ")</f>
        <v xml:space="preserve"> </v>
      </c>
      <c r="AK94" s="40" t="str">
        <f>IFERROR(#REF!*Tabla1[[#This Row],[D]]," ")</f>
        <v xml:space="preserve"> </v>
      </c>
      <c r="AL94" s="103"/>
      <c r="AM94" s="103"/>
      <c r="AN94" s="103"/>
      <c r="AO94" s="38">
        <f>+Tabla1[[#This Row],[COS.B+E]]+Tabla1[[#This Row],[COS.F1]]+Tabla1[[#This Row],[COS.D1]]+Tabla1[[#This Row],[ALIMENTACION]]+Tabla1[[#This Row],[PRESTAMO]]+AN94</f>
        <v>0</v>
      </c>
      <c r="AP94" s="38" t="e">
        <f>+#REF!+Tabla1[[#This Row],[COS F2]]+Tabla1[[#This Row],[COS D2]]+Tabla1[[#This Row],[ALIMENTACION]]+Tabla1[[#This Row],[PRESTAMO]]+Tabla1[[#This Row],[PASAJES]]</f>
        <v>#REF!</v>
      </c>
    </row>
    <row r="95" spans="1:42" x14ac:dyDescent="0.25">
      <c r="A95" s="2" t="str">
        <f>TEXT(Tabla1[[#This Row],[FECHA ]],"DDDDD")</f>
        <v>sábado</v>
      </c>
      <c r="B95" s="2" t="str">
        <f>_xlfn.IFNA(VLOOKUP(Tabla1[[#This Row],[DESTINO]],RUBRO!$Q$1:$R$9996,2,FALSE)," ")</f>
        <v>PLANTA</v>
      </c>
      <c r="C95" s="104">
        <f>WEEKNUM(Tabla1[[#This Row],[FECHA ]],2)</f>
        <v>19</v>
      </c>
      <c r="D95" s="104" t="str">
        <f>TEXT(Tabla1[[#This Row],[FECHA ]],"MMM-YY")</f>
        <v>may-YY</v>
      </c>
      <c r="E95" s="104" t="str">
        <f>VLOOKUP(Tabla1[[#This Row],[DNI ]],RUBRO!$F$1:$O$9996,7,FALSE)</f>
        <v>5ta</v>
      </c>
      <c r="F95" s="104" t="str">
        <f>VLOOKUP(Tabla1[[#This Row],[DNI ]],RUBRO!$F$1:$O$88,3,FALSE)</f>
        <v>TEC-05</v>
      </c>
      <c r="G95" s="104" t="str">
        <f>VLOOKUP(Tabla1[[#This Row],[DNI ]],RUBRO!$F$1:$O$9996,5,FALSE)</f>
        <v>TECNICO MECANICO MONTAJISTA DE NAVE INDUSTRIAL</v>
      </c>
      <c r="H95" s="66" t="str">
        <f>VLOOKUP(Tabla1[[#This Row],[DNI ]],RUBRO!$F$1:$O$9996,6,FALSE)</f>
        <v>ORTIZ PANTALEON POLH MANIX</v>
      </c>
      <c r="I95" s="94">
        <v>44324</v>
      </c>
      <c r="J95" s="10">
        <v>1</v>
      </c>
      <c r="K95" s="2">
        <v>45821420</v>
      </c>
      <c r="L95" s="4">
        <f>VLOOKUP(Tabla1[[#This Row],[DNI ]],RUBRO!$F$2:$O$9996,8,FALSE)</f>
        <v>56.55</v>
      </c>
      <c r="M95" s="88">
        <v>0.29166666666666669</v>
      </c>
      <c r="N95" s="28"/>
      <c r="P95" s="28">
        <v>0.58333333333333337</v>
      </c>
      <c r="Q95" s="31">
        <f>(Tabla1[[#This Row],[SALIDA]]-Tabla1[[#This Row],[FIN ]])+(Tabla1[[#This Row],[INICIO]]-Tabla1[[#This Row],[INGRESO]])</f>
        <v>0.29166666666666669</v>
      </c>
      <c r="R95" s="13">
        <f t="shared" si="3"/>
        <v>0.29166666666666669</v>
      </c>
      <c r="S95" s="31">
        <f t="shared" si="4"/>
        <v>0</v>
      </c>
      <c r="T95" s="136"/>
      <c r="U95" s="136"/>
      <c r="V95" s="137">
        <f>(Tabla1[[#This Row],[COS.BASE 3]]*0.25+Tabla1[[#This Row],[COS.BASE 3]])*Tabla1[[#This Row],[HORAS 25 % ]]</f>
        <v>0</v>
      </c>
      <c r="W95" s="138">
        <f>(Tabla1[[#This Row],[COS.BASE 3]]*0.35+Tabla1[[#This Row],[COS.BASE 3]])*Tabla1[[#This Row],[HORAS 35% ]]</f>
        <v>0</v>
      </c>
      <c r="X95" s="138">
        <f>SUM(Tabla1[[#This Row],[C.HORA.35]],Tabla1[[#This Row],[C.HORA.25]])</f>
        <v>0</v>
      </c>
      <c r="Y95" s="4"/>
      <c r="Z95" s="10">
        <f>Tabla1[[#This Row],[T.HORAS]]*24</f>
        <v>7</v>
      </c>
      <c r="AA95" s="4">
        <f>Tabla1[[#This Row],[H.NORMALES]]*24</f>
        <v>7</v>
      </c>
      <c r="AB95" s="10">
        <f>Tabla1[[#This Row],[H.EXTRAS]]*24</f>
        <v>0</v>
      </c>
      <c r="AC95" s="105">
        <f t="shared" si="5"/>
        <v>43.983333333333334</v>
      </c>
      <c r="AD95" s="120">
        <f>Tabla1[[#This Row],[COS.BASE 2]]/8</f>
        <v>5.4979166666666668</v>
      </c>
      <c r="AE95" s="105">
        <f>Tabla1[[#This Row],[CST_H_E]]+Tabla1[[#This Row],[COS.BASE 2]]</f>
        <v>43.983333333333334</v>
      </c>
      <c r="AF95" s="106">
        <f>+_xlfn.IFNA(INDEX(RUBRO!$W$2:$AA$732,MATCH(Tabla1[[#This Row],[FECHA ]],RUBRO!$W$2:$W$732,0),5)," ")</f>
        <v>0</v>
      </c>
      <c r="AG95" s="10">
        <f>+_xlfn.IFNA(INDEX(RUBRO!$W$2:$AA$732,MATCH(Tabla1[[#This Row],[FECHA ]],RUBRO!$W$2:$W$732,0),2)," ")</f>
        <v>0</v>
      </c>
      <c r="AH95" s="40">
        <f>IFERROR(Tabla1[[#This Row],[F]]*Tabla1[[#This Row],[COS.B+E]]," ")</f>
        <v>0</v>
      </c>
      <c r="AI95" s="40">
        <f>IFERROR(Tabla1[[#This Row],[COS.B+E]]*Tabla1[[#This Row],[D]]," ")</f>
        <v>0</v>
      </c>
      <c r="AJ95" s="40" t="str">
        <f>IFERROR(Tabla1[[#This Row],[F]]*#REF!," ")</f>
        <v xml:space="preserve"> </v>
      </c>
      <c r="AK95" s="40" t="str">
        <f>IFERROR(#REF!*Tabla1[[#This Row],[D]]," ")</f>
        <v xml:space="preserve"> </v>
      </c>
      <c r="AL95" s="103"/>
      <c r="AM95" s="103"/>
      <c r="AN95" s="103"/>
      <c r="AO95" s="38">
        <f>+Tabla1[[#This Row],[COS.B+E]]+Tabla1[[#This Row],[COS.F1]]+Tabla1[[#This Row],[COS.D1]]+Tabla1[[#This Row],[ALIMENTACION]]+Tabla1[[#This Row],[PRESTAMO]]+AN95</f>
        <v>43.983333333333334</v>
      </c>
      <c r="AP95" s="38" t="e">
        <f>+#REF!+Tabla1[[#This Row],[COS F2]]+Tabla1[[#This Row],[COS D2]]+Tabla1[[#This Row],[ALIMENTACION]]+Tabla1[[#This Row],[PRESTAMO]]+Tabla1[[#This Row],[PASAJES]]</f>
        <v>#REF!</v>
      </c>
    </row>
    <row r="96" spans="1:42" x14ac:dyDescent="0.25">
      <c r="A96" s="2" t="str">
        <f>TEXT(Tabla1[[#This Row],[FECHA ]],"DDDDD")</f>
        <v>sábado</v>
      </c>
      <c r="B96" s="2" t="str">
        <f>_xlfn.IFNA(VLOOKUP(Tabla1[[#This Row],[DESTINO]],RUBRO!$Q$1:$R$9996,2,FALSE)," ")</f>
        <v>PLANTA</v>
      </c>
      <c r="C96" s="104">
        <f>WEEKNUM(Tabla1[[#This Row],[FECHA ]],2)</f>
        <v>19</v>
      </c>
      <c r="D96" s="104" t="str">
        <f>TEXT(Tabla1[[#This Row],[FECHA ]],"MMM-YY")</f>
        <v>may-YY</v>
      </c>
      <c r="E96" s="104" t="str">
        <f>VLOOKUP(Tabla1[[#This Row],[DNI ]],RUBRO!$F$1:$O$9996,7,FALSE)</f>
        <v>5ta</v>
      </c>
      <c r="F96" s="104" t="str">
        <f>VLOOKUP(Tabla1[[#This Row],[DNI ]],RUBRO!$F$1:$O$88,3,FALSE)</f>
        <v>TEC-01</v>
      </c>
      <c r="G96" s="104" t="str">
        <f>VLOOKUP(Tabla1[[#This Row],[DNI ]],RUBRO!$F$1:$O$9996,5,FALSE)</f>
        <v>TECNICO SOLDADOR</v>
      </c>
      <c r="H96" s="66" t="str">
        <f>VLOOKUP(Tabla1[[#This Row],[DNI ]],RUBRO!$F$1:$O$9996,6,FALSE)</f>
        <v>PANDO SALAZAR LUIS BRYAN</v>
      </c>
      <c r="I96" s="94">
        <v>44324</v>
      </c>
      <c r="J96" s="10">
        <v>1</v>
      </c>
      <c r="K96" s="2">
        <v>47887505</v>
      </c>
      <c r="L96" s="4">
        <f>VLOOKUP(Tabla1[[#This Row],[DNI ]],RUBRO!$F$2:$O$9996,8,FALSE)</f>
        <v>66.48</v>
      </c>
      <c r="M96" s="88">
        <v>0.29166666666666669</v>
      </c>
      <c r="N96" s="28"/>
      <c r="P96" s="28">
        <v>0.54166666666666663</v>
      </c>
      <c r="Q96" s="31">
        <f>(Tabla1[[#This Row],[SALIDA]]-Tabla1[[#This Row],[FIN ]])+(Tabla1[[#This Row],[INICIO]]-Tabla1[[#This Row],[INGRESO]])</f>
        <v>0.24999999999999994</v>
      </c>
      <c r="R96" s="13">
        <f t="shared" si="3"/>
        <v>0.24999999999999994</v>
      </c>
      <c r="S96" s="31">
        <f t="shared" si="4"/>
        <v>0</v>
      </c>
      <c r="T96" s="136"/>
      <c r="U96" s="136"/>
      <c r="V96" s="137">
        <f>(Tabla1[[#This Row],[COS.BASE 3]]*0.25+Tabla1[[#This Row],[COS.BASE 3]])*Tabla1[[#This Row],[HORAS 25 % ]]</f>
        <v>0</v>
      </c>
      <c r="W96" s="138">
        <f>(Tabla1[[#This Row],[COS.BASE 3]]*0.35+Tabla1[[#This Row],[COS.BASE 3]])*Tabla1[[#This Row],[HORAS 35% ]]</f>
        <v>0</v>
      </c>
      <c r="X96" s="138">
        <f>SUM(Tabla1[[#This Row],[C.HORA.35]],Tabla1[[#This Row],[C.HORA.25]])</f>
        <v>0</v>
      </c>
      <c r="Y96" s="4"/>
      <c r="Z96" s="10">
        <f>Tabla1[[#This Row],[T.HORAS]]*24</f>
        <v>5.9999999999999982</v>
      </c>
      <c r="AA96" s="4">
        <f>Tabla1[[#This Row],[H.NORMALES]]*24</f>
        <v>5.9999999999999982</v>
      </c>
      <c r="AB96" s="10">
        <f>Tabla1[[#This Row],[H.EXTRAS]]*24</f>
        <v>0</v>
      </c>
      <c r="AC96" s="105">
        <f t="shared" si="5"/>
        <v>44.319999999999986</v>
      </c>
      <c r="AD96" s="120">
        <f>Tabla1[[#This Row],[COS.BASE 2]]/8</f>
        <v>5.5399999999999983</v>
      </c>
      <c r="AE96" s="105">
        <f>Tabla1[[#This Row],[CST_H_E]]+Tabla1[[#This Row],[COS.BASE 2]]</f>
        <v>44.319999999999986</v>
      </c>
      <c r="AF96" s="106">
        <f>+_xlfn.IFNA(INDEX(RUBRO!$W$2:$AA$732,MATCH(Tabla1[[#This Row],[FECHA ]],RUBRO!$W$2:$W$732,0),5)," ")</f>
        <v>0</v>
      </c>
      <c r="AG96" s="10">
        <f>+_xlfn.IFNA(INDEX(RUBRO!$W$2:$AA$732,MATCH(Tabla1[[#This Row],[FECHA ]],RUBRO!$W$2:$W$732,0),2)," ")</f>
        <v>0</v>
      </c>
      <c r="AH96" s="40">
        <f>IFERROR(Tabla1[[#This Row],[F]]*Tabla1[[#This Row],[COS.B+E]]," ")</f>
        <v>0</v>
      </c>
      <c r="AI96" s="40">
        <f>IFERROR(Tabla1[[#This Row],[COS.B+E]]*Tabla1[[#This Row],[D]]," ")</f>
        <v>0</v>
      </c>
      <c r="AJ96" s="40" t="str">
        <f>IFERROR(Tabla1[[#This Row],[F]]*#REF!," ")</f>
        <v xml:space="preserve"> </v>
      </c>
      <c r="AK96" s="40" t="str">
        <f>IFERROR(#REF!*Tabla1[[#This Row],[D]]," ")</f>
        <v xml:space="preserve"> </v>
      </c>
      <c r="AL96" s="103"/>
      <c r="AM96" s="103"/>
      <c r="AN96" s="103"/>
      <c r="AO96" s="38">
        <f>+Tabla1[[#This Row],[COS.B+E]]+Tabla1[[#This Row],[COS.F1]]+Tabla1[[#This Row],[COS.D1]]+Tabla1[[#This Row],[ALIMENTACION]]+Tabla1[[#This Row],[PRESTAMO]]+AN96</f>
        <v>44.319999999999986</v>
      </c>
      <c r="AP96" s="38" t="e">
        <f>+#REF!+Tabla1[[#This Row],[COS F2]]+Tabla1[[#This Row],[COS D2]]+Tabla1[[#This Row],[ALIMENTACION]]+Tabla1[[#This Row],[PRESTAMO]]+Tabla1[[#This Row],[PASAJES]]</f>
        <v>#REF!</v>
      </c>
    </row>
    <row r="97" spans="1:42" x14ac:dyDescent="0.25">
      <c r="A97" s="2" t="str">
        <f>TEXT(Tabla1[[#This Row],[FECHA ]],"DDDDD")</f>
        <v>sábado</v>
      </c>
      <c r="B97" s="2" t="str">
        <f>_xlfn.IFNA(VLOOKUP(Tabla1[[#This Row],[DESTINO]],RUBRO!$Q$1:$R$9996,2,FALSE)," ")</f>
        <v>OBRA</v>
      </c>
      <c r="C97" s="104">
        <f>WEEKNUM(Tabla1[[#This Row],[FECHA ]],2)</f>
        <v>19</v>
      </c>
      <c r="D97" s="104" t="str">
        <f>TEXT(Tabla1[[#This Row],[FECHA ]],"MMM-YY")</f>
        <v>may-YY</v>
      </c>
      <c r="E97" s="104" t="str">
        <f>VLOOKUP(Tabla1[[#This Row],[DNI ]],RUBRO!$F$1:$O$9996,7,FALSE)</f>
        <v>5ta</v>
      </c>
      <c r="F97" s="104" t="e">
        <f>VLOOKUP(Tabla1[[#This Row],[DNI ]],RUBRO!$F$1:$O$88,3,FALSE)</f>
        <v>#N/A</v>
      </c>
      <c r="G97" s="104">
        <f>VLOOKUP(Tabla1[[#This Row],[DNI ]],RUBRO!$F$1:$O$9996,5,FALSE)</f>
        <v>0</v>
      </c>
      <c r="H97" s="66" t="str">
        <f>VLOOKUP(Tabla1[[#This Row],[DNI ]],RUBRO!$F$1:$O$9996,6,FALSE)</f>
        <v xml:space="preserve">PECHE CHAPOÑAN ALBERTO </v>
      </c>
      <c r="I97" s="94">
        <v>44324</v>
      </c>
      <c r="J97" s="10">
        <v>2</v>
      </c>
      <c r="K97" s="2">
        <v>77226886</v>
      </c>
      <c r="L97" s="4">
        <f>VLOOKUP(Tabla1[[#This Row],[DNI ]],RUBRO!$F$2:$O$9996,8,FALSE)</f>
        <v>80</v>
      </c>
      <c r="M97" s="88">
        <v>0.29166666666666669</v>
      </c>
      <c r="N97" s="28"/>
      <c r="P97" s="28">
        <v>0.58333333333333337</v>
      </c>
      <c r="Q97" s="31">
        <f>(Tabla1[[#This Row],[SALIDA]]-Tabla1[[#This Row],[FIN ]])+(Tabla1[[#This Row],[INICIO]]-Tabla1[[#This Row],[INGRESO]])</f>
        <v>0.29166666666666669</v>
      </c>
      <c r="R97" s="13">
        <f t="shared" si="3"/>
        <v>0.29166666666666669</v>
      </c>
      <c r="S97" s="31">
        <f t="shared" si="4"/>
        <v>0</v>
      </c>
      <c r="T97" s="136"/>
      <c r="U97" s="136"/>
      <c r="V97" s="137">
        <f>(Tabla1[[#This Row],[COS.BASE 3]]*0.25+Tabla1[[#This Row],[COS.BASE 3]])*Tabla1[[#This Row],[HORAS 25 % ]]</f>
        <v>0</v>
      </c>
      <c r="W97" s="138">
        <f>(Tabla1[[#This Row],[COS.BASE 3]]*0.35+Tabla1[[#This Row],[COS.BASE 3]])*Tabla1[[#This Row],[HORAS 35% ]]</f>
        <v>0</v>
      </c>
      <c r="X97" s="138">
        <f>SUM(Tabla1[[#This Row],[C.HORA.35]],Tabla1[[#This Row],[C.HORA.25]])</f>
        <v>0</v>
      </c>
      <c r="Y97" s="4"/>
      <c r="Z97" s="10">
        <f>Tabla1[[#This Row],[T.HORAS]]*24</f>
        <v>7</v>
      </c>
      <c r="AA97" s="4">
        <f>Tabla1[[#This Row],[H.NORMALES]]*24</f>
        <v>7</v>
      </c>
      <c r="AB97" s="10">
        <f>Tabla1[[#This Row],[H.EXTRAS]]*24</f>
        <v>0</v>
      </c>
      <c r="AC97" s="105">
        <f t="shared" si="5"/>
        <v>70</v>
      </c>
      <c r="AD97" s="120">
        <f>Tabla1[[#This Row],[COS.BASE 2]]/8</f>
        <v>8.75</v>
      </c>
      <c r="AE97" s="105">
        <f>Tabla1[[#This Row],[CST_H_E]]+Tabla1[[#This Row],[COS.BASE 2]]</f>
        <v>70</v>
      </c>
      <c r="AF97" s="106">
        <f>+_xlfn.IFNA(INDEX(RUBRO!$W$2:$AA$732,MATCH(Tabla1[[#This Row],[FECHA ]],RUBRO!$W$2:$W$732,0),5)," ")</f>
        <v>0</v>
      </c>
      <c r="AG97" s="10">
        <f>+_xlfn.IFNA(INDEX(RUBRO!$W$2:$AA$732,MATCH(Tabla1[[#This Row],[FECHA ]],RUBRO!$W$2:$W$732,0),2)," ")</f>
        <v>0</v>
      </c>
      <c r="AH97" s="40">
        <f>IFERROR(Tabla1[[#This Row],[F]]*Tabla1[[#This Row],[COS.B+E]]," ")</f>
        <v>0</v>
      </c>
      <c r="AI97" s="40">
        <f>IFERROR(Tabla1[[#This Row],[COS.B+E]]*Tabla1[[#This Row],[D]]," ")</f>
        <v>0</v>
      </c>
      <c r="AJ97" s="40" t="str">
        <f>IFERROR(Tabla1[[#This Row],[F]]*#REF!," ")</f>
        <v xml:space="preserve"> </v>
      </c>
      <c r="AK97" s="40" t="str">
        <f>IFERROR(#REF!*Tabla1[[#This Row],[D]]," ")</f>
        <v xml:space="preserve"> </v>
      </c>
      <c r="AL97" s="103"/>
      <c r="AM97" s="103"/>
      <c r="AN97" s="103"/>
      <c r="AO97" s="38">
        <f>+Tabla1[[#This Row],[COS.B+E]]+Tabla1[[#This Row],[COS.F1]]+Tabla1[[#This Row],[COS.D1]]+Tabla1[[#This Row],[ALIMENTACION]]+Tabla1[[#This Row],[PRESTAMO]]+AN97</f>
        <v>70</v>
      </c>
      <c r="AP97" s="38" t="e">
        <f>+#REF!+Tabla1[[#This Row],[COS F2]]+Tabla1[[#This Row],[COS D2]]+Tabla1[[#This Row],[ALIMENTACION]]+Tabla1[[#This Row],[PRESTAMO]]+Tabla1[[#This Row],[PASAJES]]</f>
        <v>#REF!</v>
      </c>
    </row>
    <row r="98" spans="1:42" x14ac:dyDescent="0.25">
      <c r="A98" s="2" t="str">
        <f>TEXT(Tabla1[[#This Row],[FECHA ]],"DDDDD")</f>
        <v>sábado</v>
      </c>
      <c r="B98" s="2" t="str">
        <f>_xlfn.IFNA(VLOOKUP(Tabla1[[#This Row],[DESTINO]],RUBRO!$Q$1:$R$9996,2,FALSE)," ")</f>
        <v xml:space="preserve"> </v>
      </c>
      <c r="C98" s="104">
        <f>WEEKNUM(Tabla1[[#This Row],[FECHA ]],2)</f>
        <v>19</v>
      </c>
      <c r="D98" s="104" t="str">
        <f>TEXT(Tabla1[[#This Row],[FECHA ]],"MMM-YY")</f>
        <v>may-YY</v>
      </c>
      <c r="E98" s="104" t="str">
        <f>VLOOKUP(Tabla1[[#This Row],[DNI ]],RUBRO!$F$1:$O$9996,7,FALSE)</f>
        <v>5ta</v>
      </c>
      <c r="F98" s="104" t="str">
        <f>VLOOKUP(Tabla1[[#This Row],[DNI ]],RUBRO!$F$1:$O$88,3,FALSE)</f>
        <v>MEC-02</v>
      </c>
      <c r="G98" s="104" t="str">
        <f>VLOOKUP(Tabla1[[#This Row],[DNI ]],RUBRO!$F$1:$O$9996,5,FALSE)</f>
        <v>MECANICO MONTAJISTA DE MAQUINARIA</v>
      </c>
      <c r="H98" s="66" t="str">
        <f>VLOOKUP(Tabla1[[#This Row],[DNI ]],RUBRO!$F$1:$O$9996,6,FALSE)</f>
        <v>PEREZ VASQUEZ RONAL</v>
      </c>
      <c r="I98" s="94">
        <v>44324</v>
      </c>
      <c r="K98" s="2">
        <v>47942907</v>
      </c>
      <c r="L98" s="4">
        <f>VLOOKUP(Tabla1[[#This Row],[DNI ]],RUBRO!$F$2:$O$9996,8,FALSE)</f>
        <v>75</v>
      </c>
      <c r="M98" s="88"/>
      <c r="N98" s="28"/>
      <c r="P98" s="28"/>
      <c r="Q98" s="31">
        <f>(Tabla1[[#This Row],[SALIDA]]-Tabla1[[#This Row],[FIN ]])+(Tabla1[[#This Row],[INICIO]]-Tabla1[[#This Row],[INGRESO]])</f>
        <v>0</v>
      </c>
      <c r="R98" s="13">
        <f t="shared" si="3"/>
        <v>0</v>
      </c>
      <c r="S98" s="31">
        <f t="shared" si="4"/>
        <v>0</v>
      </c>
      <c r="T98" s="136"/>
      <c r="U98" s="136"/>
      <c r="V98" s="137">
        <f>(Tabla1[[#This Row],[COS.BASE 3]]*0.25+Tabla1[[#This Row],[COS.BASE 3]])*Tabla1[[#This Row],[HORAS 25 % ]]</f>
        <v>0</v>
      </c>
      <c r="W98" s="138">
        <f>(Tabla1[[#This Row],[COS.BASE 3]]*0.35+Tabla1[[#This Row],[COS.BASE 3]])*Tabla1[[#This Row],[HORAS 35% ]]</f>
        <v>0</v>
      </c>
      <c r="X98" s="138">
        <f>SUM(Tabla1[[#This Row],[C.HORA.35]],Tabla1[[#This Row],[C.HORA.25]])</f>
        <v>0</v>
      </c>
      <c r="Y98" s="4"/>
      <c r="Z98" s="10">
        <f>Tabla1[[#This Row],[T.HORAS]]*24</f>
        <v>0</v>
      </c>
      <c r="AA98" s="4">
        <f>Tabla1[[#This Row],[H.NORMALES]]*24</f>
        <v>0</v>
      </c>
      <c r="AB98" s="10">
        <f>Tabla1[[#This Row],[H.EXTRAS]]*24</f>
        <v>0</v>
      </c>
      <c r="AC98" s="105">
        <f t="shared" si="5"/>
        <v>0</v>
      </c>
      <c r="AD98" s="120">
        <f>Tabla1[[#This Row],[COS.BASE 2]]/8</f>
        <v>0</v>
      </c>
      <c r="AE98" s="105">
        <f>Tabla1[[#This Row],[CST_H_E]]+Tabla1[[#This Row],[COS.BASE 2]]</f>
        <v>0</v>
      </c>
      <c r="AF98" s="106">
        <f>+_xlfn.IFNA(INDEX(RUBRO!$W$2:$AA$732,MATCH(Tabla1[[#This Row],[FECHA ]],RUBRO!$W$2:$W$732,0),5)," ")</f>
        <v>0</v>
      </c>
      <c r="AG98" s="10">
        <f>+_xlfn.IFNA(INDEX(RUBRO!$W$2:$AA$732,MATCH(Tabla1[[#This Row],[FECHA ]],RUBRO!$W$2:$W$732,0),2)," ")</f>
        <v>0</v>
      </c>
      <c r="AH98" s="40">
        <f>IFERROR(Tabla1[[#This Row],[F]]*Tabla1[[#This Row],[COS.B+E]]," ")</f>
        <v>0</v>
      </c>
      <c r="AI98" s="40">
        <f>IFERROR(Tabla1[[#This Row],[COS.B+E]]*Tabla1[[#This Row],[D]]," ")</f>
        <v>0</v>
      </c>
      <c r="AJ98" s="40" t="str">
        <f>IFERROR(Tabla1[[#This Row],[F]]*#REF!," ")</f>
        <v xml:space="preserve"> </v>
      </c>
      <c r="AK98" s="40" t="str">
        <f>IFERROR(#REF!*Tabla1[[#This Row],[D]]," ")</f>
        <v xml:space="preserve"> </v>
      </c>
      <c r="AL98" s="103"/>
      <c r="AM98" s="103"/>
      <c r="AN98" s="103"/>
      <c r="AO98" s="38">
        <f>+Tabla1[[#This Row],[COS.B+E]]+Tabla1[[#This Row],[COS.F1]]+Tabla1[[#This Row],[COS.D1]]+Tabla1[[#This Row],[ALIMENTACION]]+Tabla1[[#This Row],[PRESTAMO]]+AN98</f>
        <v>0</v>
      </c>
      <c r="AP98" s="38" t="e">
        <f>+#REF!+Tabla1[[#This Row],[COS F2]]+Tabla1[[#This Row],[COS D2]]+Tabla1[[#This Row],[ALIMENTACION]]+Tabla1[[#This Row],[PRESTAMO]]+Tabla1[[#This Row],[PASAJES]]</f>
        <v>#REF!</v>
      </c>
    </row>
    <row r="99" spans="1:42" x14ac:dyDescent="0.25">
      <c r="A99" s="2" t="str">
        <f>TEXT(Tabla1[[#This Row],[FECHA ]],"DDDDD")</f>
        <v>sábado</v>
      </c>
      <c r="B99" s="2" t="str">
        <f>_xlfn.IFNA(VLOOKUP(Tabla1[[#This Row],[DESTINO]],RUBRO!$Q$1:$R$9996,2,FALSE)," ")</f>
        <v>PLANTA</v>
      </c>
      <c r="C99" s="104">
        <f>WEEKNUM(Tabla1[[#This Row],[FECHA ]],2)</f>
        <v>19</v>
      </c>
      <c r="D99" s="104" t="str">
        <f>TEXT(Tabla1[[#This Row],[FECHA ]],"MMM-YY")</f>
        <v>may-YY</v>
      </c>
      <c r="E99" s="104" t="str">
        <f>VLOOKUP(Tabla1[[#This Row],[DNI ]],RUBRO!$F$1:$O$9996,7,FALSE)</f>
        <v>5ta</v>
      </c>
      <c r="F99" s="104" t="str">
        <f>VLOOKUP(Tabla1[[#This Row],[DNI ]],RUBRO!$F$1:$O$88,3,FALSE)</f>
        <v>TEC-02</v>
      </c>
      <c r="G99" s="104" t="str">
        <f>VLOOKUP(Tabla1[[#This Row],[DNI ]],RUBRO!$F$1:$O$9996,5,FALSE)</f>
        <v>TECNICO MECANICO MONTAJISTA DE MAQUINARIA</v>
      </c>
      <c r="H99" s="66" t="str">
        <f>VLOOKUP(Tabla1[[#This Row],[DNI ]],RUBRO!$F$1:$O$9996,6,FALSE)</f>
        <v>PURIZACA CHUÑE JHON ANDERSON</v>
      </c>
      <c r="I99" s="94">
        <v>44324</v>
      </c>
      <c r="J99" s="10">
        <v>1</v>
      </c>
      <c r="K99" s="2">
        <v>48372384</v>
      </c>
      <c r="L99" s="4">
        <f>VLOOKUP(Tabla1[[#This Row],[DNI ]],RUBRO!$F$2:$O$9996,8,FALSE)</f>
        <v>57.62</v>
      </c>
      <c r="M99" s="88">
        <v>0.29166666666666669</v>
      </c>
      <c r="N99" s="28"/>
      <c r="P99" s="28">
        <v>0.58333333333333337</v>
      </c>
      <c r="Q99" s="31">
        <f>(Tabla1[[#This Row],[SALIDA]]-Tabla1[[#This Row],[FIN ]])+(Tabla1[[#This Row],[INICIO]]-Tabla1[[#This Row],[INGRESO]])</f>
        <v>0.29166666666666669</v>
      </c>
      <c r="R99" s="13">
        <f t="shared" si="3"/>
        <v>0.29166666666666669</v>
      </c>
      <c r="S99" s="31">
        <f t="shared" si="4"/>
        <v>0</v>
      </c>
      <c r="T99" s="136"/>
      <c r="U99" s="136"/>
      <c r="V99" s="137">
        <f>(Tabla1[[#This Row],[COS.BASE 3]]*0.25+Tabla1[[#This Row],[COS.BASE 3]])*Tabla1[[#This Row],[HORAS 25 % ]]</f>
        <v>0</v>
      </c>
      <c r="W99" s="138">
        <f>(Tabla1[[#This Row],[COS.BASE 3]]*0.35+Tabla1[[#This Row],[COS.BASE 3]])*Tabla1[[#This Row],[HORAS 35% ]]</f>
        <v>0</v>
      </c>
      <c r="X99" s="138">
        <f>SUM(Tabla1[[#This Row],[C.HORA.35]],Tabla1[[#This Row],[C.HORA.25]])</f>
        <v>0</v>
      </c>
      <c r="Y99" s="4"/>
      <c r="Z99" s="10">
        <f>Tabla1[[#This Row],[T.HORAS]]*24</f>
        <v>7</v>
      </c>
      <c r="AA99" s="4">
        <f>Tabla1[[#This Row],[H.NORMALES]]*24</f>
        <v>7</v>
      </c>
      <c r="AB99" s="10">
        <f>Tabla1[[#This Row],[H.EXTRAS]]*24</f>
        <v>0</v>
      </c>
      <c r="AC99" s="105">
        <f t="shared" si="5"/>
        <v>44.815555555555555</v>
      </c>
      <c r="AD99" s="120">
        <f>Tabla1[[#This Row],[COS.BASE 2]]/8</f>
        <v>5.6019444444444444</v>
      </c>
      <c r="AE99" s="105">
        <f>Tabla1[[#This Row],[CST_H_E]]+Tabla1[[#This Row],[COS.BASE 2]]</f>
        <v>44.815555555555555</v>
      </c>
      <c r="AF99" s="106">
        <f>+_xlfn.IFNA(INDEX(RUBRO!$W$2:$AA$732,MATCH(Tabla1[[#This Row],[FECHA ]],RUBRO!$W$2:$W$732,0),5)," ")</f>
        <v>0</v>
      </c>
      <c r="AG99" s="10">
        <f>+_xlfn.IFNA(INDEX(RUBRO!$W$2:$AA$732,MATCH(Tabla1[[#This Row],[FECHA ]],RUBRO!$W$2:$W$732,0),2)," ")</f>
        <v>0</v>
      </c>
      <c r="AH99" s="40">
        <f>IFERROR(Tabla1[[#This Row],[F]]*Tabla1[[#This Row],[COS.B+E]]," ")</f>
        <v>0</v>
      </c>
      <c r="AI99" s="40">
        <f>IFERROR(Tabla1[[#This Row],[COS.B+E]]*Tabla1[[#This Row],[D]]," ")</f>
        <v>0</v>
      </c>
      <c r="AJ99" s="40" t="str">
        <f>IFERROR(Tabla1[[#This Row],[F]]*#REF!," ")</f>
        <v xml:space="preserve"> </v>
      </c>
      <c r="AK99" s="40" t="str">
        <f>IFERROR(#REF!*Tabla1[[#This Row],[D]]," ")</f>
        <v xml:space="preserve"> </v>
      </c>
      <c r="AL99" s="103"/>
      <c r="AM99" s="103"/>
      <c r="AN99" s="103"/>
      <c r="AO99" s="38">
        <f>+Tabla1[[#This Row],[COS.B+E]]+Tabla1[[#This Row],[COS.F1]]+Tabla1[[#This Row],[COS.D1]]+Tabla1[[#This Row],[ALIMENTACION]]+Tabla1[[#This Row],[PRESTAMO]]+AN99</f>
        <v>44.815555555555555</v>
      </c>
      <c r="AP99" s="38" t="e">
        <f>+#REF!+Tabla1[[#This Row],[COS F2]]+Tabla1[[#This Row],[COS D2]]+Tabla1[[#This Row],[ALIMENTACION]]+Tabla1[[#This Row],[PRESTAMO]]+Tabla1[[#This Row],[PASAJES]]</f>
        <v>#REF!</v>
      </c>
    </row>
    <row r="100" spans="1:42" x14ac:dyDescent="0.25">
      <c r="A100" s="2" t="str">
        <f>TEXT(Tabla1[[#This Row],[FECHA ]],"DDDDD")</f>
        <v>sábado</v>
      </c>
      <c r="B100" s="2" t="str">
        <f>_xlfn.IFNA(VLOOKUP(Tabla1[[#This Row],[DESTINO]],RUBRO!$Q$1:$R$9996,2,FALSE)," ")</f>
        <v>PLANTA</v>
      </c>
      <c r="C100" s="104">
        <f>WEEKNUM(Tabla1[[#This Row],[FECHA ]],2)</f>
        <v>19</v>
      </c>
      <c r="D100" s="104" t="str">
        <f>TEXT(Tabla1[[#This Row],[FECHA ]],"MMM-YY")</f>
        <v>may-YY</v>
      </c>
      <c r="E100" s="104" t="str">
        <f>VLOOKUP(Tabla1[[#This Row],[DNI ]],RUBRO!$F$1:$O$9996,7,FALSE)</f>
        <v>5ta</v>
      </c>
      <c r="F100" s="104" t="str">
        <f>VLOOKUP(Tabla1[[#This Row],[DNI ]],RUBRO!$F$1:$O$88,3,FALSE)</f>
        <v>MAE-02</v>
      </c>
      <c r="G100" s="104" t="str">
        <f>VLOOKUP(Tabla1[[#This Row],[DNI ]],RUBRO!$F$1:$O$9996,5,FALSE)</f>
        <v>MAESTRO MECANICO MONTAJISTA DE MAQUINARIA</v>
      </c>
      <c r="H100" s="66" t="str">
        <f>VLOOKUP(Tabla1[[#This Row],[DNI ]],RUBRO!$F$1:$O$9996,6,FALSE)</f>
        <v>PURIZACA SEVERINO DANIEL FERNANDO</v>
      </c>
      <c r="I100" s="94">
        <v>44324</v>
      </c>
      <c r="J100" s="10">
        <v>1</v>
      </c>
      <c r="K100" s="2">
        <v>42308744</v>
      </c>
      <c r="L100" s="4">
        <f>VLOOKUP(Tabla1[[#This Row],[DNI ]],RUBRO!$F$2:$O$9996,8,FALSE)</f>
        <v>87.1</v>
      </c>
      <c r="M100" s="88">
        <v>0.29166666666666669</v>
      </c>
      <c r="N100" s="28"/>
      <c r="P100" s="28">
        <v>0.58333333333333337</v>
      </c>
      <c r="Q100" s="31">
        <f>(Tabla1[[#This Row],[SALIDA]]-Tabla1[[#This Row],[FIN ]])+(Tabla1[[#This Row],[INICIO]]-Tabla1[[#This Row],[INGRESO]])</f>
        <v>0.29166666666666669</v>
      </c>
      <c r="R100" s="13">
        <f t="shared" si="3"/>
        <v>0.29166666666666669</v>
      </c>
      <c r="S100" s="31">
        <f t="shared" si="4"/>
        <v>0</v>
      </c>
      <c r="T100" s="136"/>
      <c r="U100" s="136"/>
      <c r="V100" s="137">
        <f>(Tabla1[[#This Row],[COS.BASE 3]]*0.25+Tabla1[[#This Row],[COS.BASE 3]])*Tabla1[[#This Row],[HORAS 25 % ]]</f>
        <v>0</v>
      </c>
      <c r="W100" s="138">
        <f>(Tabla1[[#This Row],[COS.BASE 3]]*0.35+Tabla1[[#This Row],[COS.BASE 3]])*Tabla1[[#This Row],[HORAS 35% ]]</f>
        <v>0</v>
      </c>
      <c r="X100" s="138">
        <f>SUM(Tabla1[[#This Row],[C.HORA.35]],Tabla1[[#This Row],[C.HORA.25]])</f>
        <v>0</v>
      </c>
      <c r="Y100" s="4"/>
      <c r="Z100" s="10">
        <f>Tabla1[[#This Row],[T.HORAS]]*24</f>
        <v>7</v>
      </c>
      <c r="AA100" s="4">
        <f>Tabla1[[#This Row],[H.NORMALES]]*24</f>
        <v>7</v>
      </c>
      <c r="AB100" s="10">
        <f>Tabla1[[#This Row],[H.EXTRAS]]*24</f>
        <v>0</v>
      </c>
      <c r="AC100" s="105">
        <f t="shared" si="5"/>
        <v>67.74444444444444</v>
      </c>
      <c r="AD100" s="120">
        <f>Tabla1[[#This Row],[COS.BASE 2]]/8</f>
        <v>8.468055555555555</v>
      </c>
      <c r="AE100" s="105">
        <f>Tabla1[[#This Row],[CST_H_E]]+Tabla1[[#This Row],[COS.BASE 2]]</f>
        <v>67.74444444444444</v>
      </c>
      <c r="AF100" s="106">
        <f>+_xlfn.IFNA(INDEX(RUBRO!$W$2:$AA$732,MATCH(Tabla1[[#This Row],[FECHA ]],RUBRO!$W$2:$W$732,0),5)," ")</f>
        <v>0</v>
      </c>
      <c r="AG100" s="10">
        <f>+_xlfn.IFNA(INDEX(RUBRO!$W$2:$AA$732,MATCH(Tabla1[[#This Row],[FECHA ]],RUBRO!$W$2:$W$732,0),2)," ")</f>
        <v>0</v>
      </c>
      <c r="AH100" s="40">
        <f>IFERROR(Tabla1[[#This Row],[F]]*Tabla1[[#This Row],[COS.B+E]]," ")</f>
        <v>0</v>
      </c>
      <c r="AI100" s="40">
        <f>IFERROR(Tabla1[[#This Row],[COS.B+E]]*Tabla1[[#This Row],[D]]," ")</f>
        <v>0</v>
      </c>
      <c r="AJ100" s="40" t="str">
        <f>IFERROR(Tabla1[[#This Row],[F]]*#REF!," ")</f>
        <v xml:space="preserve"> </v>
      </c>
      <c r="AK100" s="40" t="str">
        <f>IFERROR(#REF!*Tabla1[[#This Row],[D]]," ")</f>
        <v xml:space="preserve"> </v>
      </c>
      <c r="AL100" s="103"/>
      <c r="AM100" s="103"/>
      <c r="AN100" s="103"/>
      <c r="AO100" s="38">
        <f>+Tabla1[[#This Row],[COS.B+E]]+Tabla1[[#This Row],[COS.F1]]+Tabla1[[#This Row],[COS.D1]]+Tabla1[[#This Row],[ALIMENTACION]]+Tabla1[[#This Row],[PRESTAMO]]+AN100</f>
        <v>67.74444444444444</v>
      </c>
      <c r="AP100" s="38" t="e">
        <f>+#REF!+Tabla1[[#This Row],[COS F2]]+Tabla1[[#This Row],[COS D2]]+Tabla1[[#This Row],[ALIMENTACION]]+Tabla1[[#This Row],[PRESTAMO]]+Tabla1[[#This Row],[PASAJES]]</f>
        <v>#REF!</v>
      </c>
    </row>
    <row r="101" spans="1:42" x14ac:dyDescent="0.25">
      <c r="A101" s="2" t="str">
        <f>TEXT(Tabla1[[#This Row],[FECHA ]],"DDDDD")</f>
        <v>sábado</v>
      </c>
      <c r="B101" s="2" t="str">
        <f>_xlfn.IFNA(VLOOKUP(Tabla1[[#This Row],[DESTINO]],RUBRO!$Q$1:$R$9996,2,FALSE)," ")</f>
        <v>OBRA</v>
      </c>
      <c r="C101" s="104">
        <f>WEEKNUM(Tabla1[[#This Row],[FECHA ]],2)</f>
        <v>19</v>
      </c>
      <c r="D101" s="104" t="str">
        <f>TEXT(Tabla1[[#This Row],[FECHA ]],"MMM-YY")</f>
        <v>may-YY</v>
      </c>
      <c r="E101" s="104" t="str">
        <f>VLOOKUP(Tabla1[[#This Row],[DNI ]],RUBRO!$F$1:$O$9996,7,FALSE)</f>
        <v>4ta</v>
      </c>
      <c r="F101" s="104" t="str">
        <f>VLOOKUP(Tabla1[[#This Row],[DNI ]],RUBRO!$F$1:$O$88,3,FALSE)</f>
        <v>MAE3G-01</v>
      </c>
      <c r="G101" s="104" t="str">
        <f>VLOOKUP(Tabla1[[#This Row],[DNI ]],RUBRO!$F$1:$O$9996,5,FALSE)</f>
        <v>MAESTRO SOLDADOR 3G</v>
      </c>
      <c r="H101" s="66" t="str">
        <f>VLOOKUP(Tabla1[[#This Row],[DNI ]],RUBRO!$F$1:$O$9996,6,FALSE)</f>
        <v>QUIROZ CORTEJANA DANTE GABRIEL</v>
      </c>
      <c r="I101" s="94">
        <v>44324</v>
      </c>
      <c r="J101" s="10">
        <v>2</v>
      </c>
      <c r="K101" s="2">
        <v>45486657</v>
      </c>
      <c r="L101" s="4">
        <f>VLOOKUP(Tabla1[[#This Row],[DNI ]],RUBRO!$F$2:$O$9996,8,FALSE)</f>
        <v>90</v>
      </c>
      <c r="M101" s="88">
        <v>0.29166666666666669</v>
      </c>
      <c r="N101" s="28">
        <v>0.54166666666666663</v>
      </c>
      <c r="O101" s="28">
        <v>0.58333333333333337</v>
      </c>
      <c r="P101" s="28">
        <v>0.75</v>
      </c>
      <c r="Q101" s="31">
        <f>(Tabla1[[#This Row],[SALIDA]]-Tabla1[[#This Row],[FIN ]])+(Tabla1[[#This Row],[INICIO]]-Tabla1[[#This Row],[INGRESO]])</f>
        <v>0.41666666666666657</v>
      </c>
      <c r="R101" s="13">
        <f t="shared" si="3"/>
        <v>0.33333333333333331</v>
      </c>
      <c r="S101" s="31">
        <f t="shared" si="4"/>
        <v>8.3333333333333259E-2</v>
      </c>
      <c r="T101" s="136"/>
      <c r="U101" s="136"/>
      <c r="V101" s="137">
        <f>(Tabla1[[#This Row],[COS.BASE 3]]*0.25+Tabla1[[#This Row],[COS.BASE 3]])*Tabla1[[#This Row],[HORAS 25 % ]]</f>
        <v>0</v>
      </c>
      <c r="W101" s="138">
        <f>(Tabla1[[#This Row],[COS.BASE 3]]*0.35+Tabla1[[#This Row],[COS.BASE 3]])*Tabla1[[#This Row],[HORAS 35% ]]</f>
        <v>0</v>
      </c>
      <c r="X101" s="138">
        <f>SUM(Tabla1[[#This Row],[C.HORA.35]],Tabla1[[#This Row],[C.HORA.25]])</f>
        <v>0</v>
      </c>
      <c r="Y101" s="4"/>
      <c r="Z101" s="10">
        <f>Tabla1[[#This Row],[T.HORAS]]*24</f>
        <v>9.9999999999999982</v>
      </c>
      <c r="AA101" s="4">
        <f>Tabla1[[#This Row],[H.NORMALES]]*24</f>
        <v>8</v>
      </c>
      <c r="AB101" s="10">
        <f>Tabla1[[#This Row],[H.EXTRAS]]*24</f>
        <v>1.9999999999999982</v>
      </c>
      <c r="AC101" s="105">
        <f t="shared" si="5"/>
        <v>90</v>
      </c>
      <c r="AD101" s="120">
        <f>Tabla1[[#This Row],[COS.BASE 2]]/8</f>
        <v>11.25</v>
      </c>
      <c r="AE101" s="105">
        <f>Tabla1[[#This Row],[CST_H_E]]+Tabla1[[#This Row],[COS.BASE 2]]</f>
        <v>90</v>
      </c>
      <c r="AF101" s="106">
        <f>+_xlfn.IFNA(INDEX(RUBRO!$W$2:$AA$732,MATCH(Tabla1[[#This Row],[FECHA ]],RUBRO!$W$2:$W$732,0),5)," ")</f>
        <v>0</v>
      </c>
      <c r="AG101" s="10">
        <f>+_xlfn.IFNA(INDEX(RUBRO!$W$2:$AA$732,MATCH(Tabla1[[#This Row],[FECHA ]],RUBRO!$W$2:$W$732,0),2)," ")</f>
        <v>0</v>
      </c>
      <c r="AH101" s="40">
        <f>IFERROR(Tabla1[[#This Row],[F]]*Tabla1[[#This Row],[COS.B+E]]," ")</f>
        <v>0</v>
      </c>
      <c r="AI101" s="40">
        <f>IFERROR(Tabla1[[#This Row],[COS.B+E]]*Tabla1[[#This Row],[D]]," ")</f>
        <v>0</v>
      </c>
      <c r="AJ101" s="40" t="str">
        <f>IFERROR(Tabla1[[#This Row],[F]]*#REF!," ")</f>
        <v xml:space="preserve"> </v>
      </c>
      <c r="AK101" s="40" t="str">
        <f>IFERROR(#REF!*Tabla1[[#This Row],[D]]," ")</f>
        <v xml:space="preserve"> </v>
      </c>
      <c r="AL101" s="103"/>
      <c r="AM101" s="103"/>
      <c r="AN101" s="103"/>
      <c r="AO101" s="38">
        <f>+Tabla1[[#This Row],[COS.B+E]]+Tabla1[[#This Row],[COS.F1]]+Tabla1[[#This Row],[COS.D1]]+Tabla1[[#This Row],[ALIMENTACION]]+Tabla1[[#This Row],[PRESTAMO]]+AN101</f>
        <v>90</v>
      </c>
      <c r="AP101" s="38" t="e">
        <f>+#REF!+Tabla1[[#This Row],[COS F2]]+Tabla1[[#This Row],[COS D2]]+Tabla1[[#This Row],[ALIMENTACION]]+Tabla1[[#This Row],[PRESTAMO]]+Tabla1[[#This Row],[PASAJES]]</f>
        <v>#REF!</v>
      </c>
    </row>
    <row r="102" spans="1:42" x14ac:dyDescent="0.25">
      <c r="A102" s="2" t="str">
        <f>TEXT(Tabla1[[#This Row],[FECHA ]],"DDDDD")</f>
        <v>sábado</v>
      </c>
      <c r="B102" s="2" t="str">
        <f>_xlfn.IFNA(VLOOKUP(Tabla1[[#This Row],[DESTINO]],RUBRO!$Q$1:$R$9996,2,FALSE)," ")</f>
        <v>FALTA</v>
      </c>
      <c r="C102" s="104">
        <f>WEEKNUM(Tabla1[[#This Row],[FECHA ]],2)</f>
        <v>19</v>
      </c>
      <c r="D102" s="104" t="str">
        <f>TEXT(Tabla1[[#This Row],[FECHA ]],"MMM-YY")</f>
        <v>may-YY</v>
      </c>
      <c r="E102" s="104" t="str">
        <f>VLOOKUP(Tabla1[[#This Row],[DNI ]],RUBRO!$F$1:$O$9996,7,FALSE)</f>
        <v>5ta</v>
      </c>
      <c r="F102" s="104" t="str">
        <f>VLOOKUP(Tabla1[[#This Row],[DNI ]],RUBRO!$F$1:$O$88,3,FALSE)</f>
        <v>MAEME-03</v>
      </c>
      <c r="G102" s="104" t="str">
        <f>VLOOKUP(Tabla1[[#This Row],[DNI ]],RUBRO!$F$1:$O$9996,5,FALSE)</f>
        <v>MAESTRO ELECTRICO MONTAJISTA DE MAQUINARIA EXTRANJERA</v>
      </c>
      <c r="H102" s="66" t="str">
        <f>VLOOKUP(Tabla1[[#This Row],[DNI ]],RUBRO!$F$1:$O$9996,6,FALSE)</f>
        <v>RAMIREZ PELAEZ ELIAS</v>
      </c>
      <c r="I102" s="109">
        <v>44324</v>
      </c>
      <c r="J102" s="108">
        <v>4</v>
      </c>
      <c r="K102" s="110">
        <v>45779525</v>
      </c>
      <c r="L102" s="4">
        <f>VLOOKUP(Tabla1[[#This Row],[DNI ]],RUBRO!$F$2:$O$9996,8,FALSE)</f>
        <v>116.06</v>
      </c>
      <c r="M102" s="88"/>
      <c r="N102" s="28"/>
      <c r="P102" s="28"/>
      <c r="Q102" s="31">
        <f>(Tabla1[[#This Row],[SALIDA]]-Tabla1[[#This Row],[FIN ]])+(Tabla1[[#This Row],[INICIO]]-Tabla1[[#This Row],[INGRESO]])</f>
        <v>0</v>
      </c>
      <c r="R102" s="13">
        <f t="shared" si="3"/>
        <v>0</v>
      </c>
      <c r="S102" s="31">
        <f t="shared" si="4"/>
        <v>0</v>
      </c>
      <c r="T102" s="136"/>
      <c r="U102" s="136"/>
      <c r="V102" s="137">
        <f>(Tabla1[[#This Row],[COS.BASE 3]]*0.25+Tabla1[[#This Row],[COS.BASE 3]])*Tabla1[[#This Row],[HORAS 25 % ]]</f>
        <v>0</v>
      </c>
      <c r="W102" s="138">
        <f>(Tabla1[[#This Row],[COS.BASE 3]]*0.35+Tabla1[[#This Row],[COS.BASE 3]])*Tabla1[[#This Row],[HORAS 35% ]]</f>
        <v>0</v>
      </c>
      <c r="X102" s="138">
        <f>SUM(Tabla1[[#This Row],[C.HORA.35]],Tabla1[[#This Row],[C.HORA.25]])</f>
        <v>0</v>
      </c>
      <c r="Y102" s="4"/>
      <c r="Z102" s="10">
        <f>Tabla1[[#This Row],[T.HORAS]]*24</f>
        <v>0</v>
      </c>
      <c r="AA102" s="4">
        <f>Tabla1[[#This Row],[H.NORMALES]]*24</f>
        <v>0</v>
      </c>
      <c r="AB102" s="10">
        <f>Tabla1[[#This Row],[H.EXTRAS]]*24</f>
        <v>0</v>
      </c>
      <c r="AC102" s="105">
        <f t="shared" si="5"/>
        <v>0</v>
      </c>
      <c r="AD102" s="120">
        <f>Tabla1[[#This Row],[COS.BASE 2]]/8</f>
        <v>0</v>
      </c>
      <c r="AE102" s="105">
        <f>Tabla1[[#This Row],[CST_H_E]]+Tabla1[[#This Row],[COS.BASE 2]]</f>
        <v>0</v>
      </c>
      <c r="AF102" s="106">
        <f>+_xlfn.IFNA(INDEX(RUBRO!$W$2:$AA$732,MATCH(Tabla1[[#This Row],[FECHA ]],RUBRO!$W$2:$W$732,0),5)," ")</f>
        <v>0</v>
      </c>
      <c r="AG102" s="10">
        <f>+_xlfn.IFNA(INDEX(RUBRO!$W$2:$AA$732,MATCH(Tabla1[[#This Row],[FECHA ]],RUBRO!$W$2:$W$732,0),2)," ")</f>
        <v>0</v>
      </c>
      <c r="AH102" s="40">
        <f>IFERROR(Tabla1[[#This Row],[F]]*Tabla1[[#This Row],[COS.B+E]]," ")</f>
        <v>0</v>
      </c>
      <c r="AI102" s="40">
        <f>IFERROR(Tabla1[[#This Row],[COS.B+E]]*Tabla1[[#This Row],[D]]," ")</f>
        <v>0</v>
      </c>
      <c r="AJ102" s="40" t="str">
        <f>IFERROR(Tabla1[[#This Row],[F]]*#REF!," ")</f>
        <v xml:space="preserve"> </v>
      </c>
      <c r="AK102" s="40" t="str">
        <f>IFERROR(#REF!*Tabla1[[#This Row],[D]]," ")</f>
        <v xml:space="preserve"> </v>
      </c>
      <c r="AL102" s="103"/>
      <c r="AM102" s="103"/>
      <c r="AN102" s="103"/>
      <c r="AO102" s="38">
        <f>+Tabla1[[#This Row],[COS.B+E]]+Tabla1[[#This Row],[COS.F1]]+Tabla1[[#This Row],[COS.D1]]+Tabla1[[#This Row],[ALIMENTACION]]+Tabla1[[#This Row],[PRESTAMO]]+AN102</f>
        <v>0</v>
      </c>
      <c r="AP102" s="38" t="e">
        <f>+#REF!+Tabla1[[#This Row],[COS F2]]+Tabla1[[#This Row],[COS D2]]+Tabla1[[#This Row],[ALIMENTACION]]+Tabla1[[#This Row],[PRESTAMO]]+Tabla1[[#This Row],[PASAJES]]</f>
        <v>#REF!</v>
      </c>
    </row>
    <row r="103" spans="1:42" x14ac:dyDescent="0.25">
      <c r="A103" s="2" t="str">
        <f>TEXT(Tabla1[[#This Row],[FECHA ]],"DDDDD")</f>
        <v>sábado</v>
      </c>
      <c r="B103" s="2" t="str">
        <f>_xlfn.IFNA(VLOOKUP(Tabla1[[#This Row],[DESTINO]],RUBRO!$Q$1:$R$9996,2,FALSE)," ")</f>
        <v>PLANTA</v>
      </c>
      <c r="C103" s="104">
        <f>WEEKNUM(Tabla1[[#This Row],[FECHA ]],2)</f>
        <v>19</v>
      </c>
      <c r="D103" s="104" t="str">
        <f>TEXT(Tabla1[[#This Row],[FECHA ]],"MMM-YY")</f>
        <v>may-YY</v>
      </c>
      <c r="E103" s="104" t="str">
        <f>VLOOKUP(Tabla1[[#This Row],[DNI ]],RUBRO!$F$1:$O$9996,7,FALSE)</f>
        <v>5ta</v>
      </c>
      <c r="F103" s="104" t="str">
        <f>VLOOKUP(Tabla1[[#This Row],[DNI ]],RUBRO!$F$1:$O$88,3,FALSE)</f>
        <v>MAE3G-01</v>
      </c>
      <c r="G103" s="104" t="str">
        <f>VLOOKUP(Tabla1[[#This Row],[DNI ]],RUBRO!$F$1:$O$9996,5,FALSE)</f>
        <v>MAESTRO SOLDADOR 3G</v>
      </c>
      <c r="H103" s="66" t="str">
        <f>VLOOKUP(Tabla1[[#This Row],[DNI ]],RUBRO!$F$1:$O$9996,6,FALSE)</f>
        <v>RIOJA RODRIGUEZ MARCO JEAIR</v>
      </c>
      <c r="I103" s="94">
        <v>44324</v>
      </c>
      <c r="J103" s="10">
        <v>1</v>
      </c>
      <c r="K103" s="2">
        <v>77423720</v>
      </c>
      <c r="L103" s="4">
        <f>VLOOKUP(Tabla1[[#This Row],[DNI ]],RUBRO!$F$2:$O$9996,8,FALSE)</f>
        <v>69.44</v>
      </c>
      <c r="M103" s="88">
        <v>0.29166666666666669</v>
      </c>
      <c r="N103" s="28"/>
      <c r="P103" s="28">
        <v>0.54166666666666663</v>
      </c>
      <c r="Q103" s="31">
        <f>(Tabla1[[#This Row],[SALIDA]]-Tabla1[[#This Row],[FIN ]])+(Tabla1[[#This Row],[INICIO]]-Tabla1[[#This Row],[INGRESO]])</f>
        <v>0.24999999999999994</v>
      </c>
      <c r="R103" s="13">
        <f t="shared" si="3"/>
        <v>0.24999999999999994</v>
      </c>
      <c r="S103" s="31">
        <f t="shared" si="4"/>
        <v>0</v>
      </c>
      <c r="T103" s="136"/>
      <c r="U103" s="136"/>
      <c r="V103" s="137">
        <f>(Tabla1[[#This Row],[COS.BASE 3]]*0.25+Tabla1[[#This Row],[COS.BASE 3]])*Tabla1[[#This Row],[HORAS 25 % ]]</f>
        <v>0</v>
      </c>
      <c r="W103" s="138">
        <f>(Tabla1[[#This Row],[COS.BASE 3]]*0.35+Tabla1[[#This Row],[COS.BASE 3]])*Tabla1[[#This Row],[HORAS 35% ]]</f>
        <v>0</v>
      </c>
      <c r="X103" s="138">
        <f>SUM(Tabla1[[#This Row],[C.HORA.35]],Tabla1[[#This Row],[C.HORA.25]])</f>
        <v>0</v>
      </c>
      <c r="Y103" s="4"/>
      <c r="Z103" s="10">
        <f>Tabla1[[#This Row],[T.HORAS]]*24</f>
        <v>5.9999999999999982</v>
      </c>
      <c r="AA103" s="4">
        <f>Tabla1[[#This Row],[H.NORMALES]]*24</f>
        <v>5.9999999999999982</v>
      </c>
      <c r="AB103" s="10">
        <f>Tabla1[[#This Row],[H.EXTRAS]]*24</f>
        <v>0</v>
      </c>
      <c r="AC103" s="105">
        <f t="shared" si="5"/>
        <v>46.293333333333322</v>
      </c>
      <c r="AD103" s="120">
        <f>Tabla1[[#This Row],[COS.BASE 2]]/8</f>
        <v>5.7866666666666653</v>
      </c>
      <c r="AE103" s="105">
        <f>Tabla1[[#This Row],[CST_H_E]]+Tabla1[[#This Row],[COS.BASE 2]]</f>
        <v>46.293333333333322</v>
      </c>
      <c r="AF103" s="106">
        <f>+_xlfn.IFNA(INDEX(RUBRO!$W$2:$AA$732,MATCH(Tabla1[[#This Row],[FECHA ]],RUBRO!$W$2:$W$732,0),5)," ")</f>
        <v>0</v>
      </c>
      <c r="AG103" s="10">
        <f>+_xlfn.IFNA(INDEX(RUBRO!$W$2:$AA$732,MATCH(Tabla1[[#This Row],[FECHA ]],RUBRO!$W$2:$W$732,0),2)," ")</f>
        <v>0</v>
      </c>
      <c r="AH103" s="40">
        <f>IFERROR(Tabla1[[#This Row],[F]]*Tabla1[[#This Row],[COS.B+E]]," ")</f>
        <v>0</v>
      </c>
      <c r="AI103" s="40">
        <f>IFERROR(Tabla1[[#This Row],[COS.B+E]]*Tabla1[[#This Row],[D]]," ")</f>
        <v>0</v>
      </c>
      <c r="AJ103" s="40" t="str">
        <f>IFERROR(Tabla1[[#This Row],[F]]*#REF!," ")</f>
        <v xml:space="preserve"> </v>
      </c>
      <c r="AK103" s="40" t="str">
        <f>IFERROR(#REF!*Tabla1[[#This Row],[D]]," ")</f>
        <v xml:space="preserve"> </v>
      </c>
      <c r="AL103" s="103"/>
      <c r="AM103" s="103"/>
      <c r="AN103" s="103"/>
      <c r="AO103" s="38">
        <f>+Tabla1[[#This Row],[COS.B+E]]+Tabla1[[#This Row],[COS.F1]]+Tabla1[[#This Row],[COS.D1]]+Tabla1[[#This Row],[ALIMENTACION]]+Tabla1[[#This Row],[PRESTAMO]]+AN103</f>
        <v>46.293333333333322</v>
      </c>
      <c r="AP103" s="38" t="e">
        <f>+#REF!+Tabla1[[#This Row],[COS F2]]+Tabla1[[#This Row],[COS D2]]+Tabla1[[#This Row],[ALIMENTACION]]+Tabla1[[#This Row],[PRESTAMO]]+Tabla1[[#This Row],[PASAJES]]</f>
        <v>#REF!</v>
      </c>
    </row>
    <row r="104" spans="1:42" x14ac:dyDescent="0.25">
      <c r="A104" s="2" t="str">
        <f>TEXT(Tabla1[[#This Row],[FECHA ]],"DDDDD")</f>
        <v>sábado</v>
      </c>
      <c r="B104" s="2" t="str">
        <f>_xlfn.IFNA(VLOOKUP(Tabla1[[#This Row],[DESTINO]],RUBRO!$Q$1:$R$9996,2,FALSE)," ")</f>
        <v>PLANTA</v>
      </c>
      <c r="C104" s="104">
        <f>WEEKNUM(Tabla1[[#This Row],[FECHA ]],2)</f>
        <v>19</v>
      </c>
      <c r="D104" s="104" t="str">
        <f>TEXT(Tabla1[[#This Row],[FECHA ]],"MMM-YY")</f>
        <v>may-YY</v>
      </c>
      <c r="E104" s="104" t="str">
        <f>VLOOKUP(Tabla1[[#This Row],[DNI ]],RUBRO!$F$1:$O$9996,7,FALSE)</f>
        <v>5ta</v>
      </c>
      <c r="F104" s="104" t="str">
        <f>VLOOKUP(Tabla1[[#This Row],[DNI ]],RUBRO!$F$1:$O$88,3,FALSE)</f>
        <v>MAE6G-01</v>
      </c>
      <c r="G104" s="104" t="str">
        <f>VLOOKUP(Tabla1[[#This Row],[DNI ]],RUBRO!$F$1:$O$9996,5,FALSE)</f>
        <v>MAESTRO SOLDADOR 6G MONTAJISTA DE MAQUINARIA</v>
      </c>
      <c r="H104" s="66" t="str">
        <f>VLOOKUP(Tabla1[[#This Row],[DNI ]],RUBRO!$F$1:$O$9996,6,FALSE)</f>
        <v>RIVERA LEONARDO EVER JOSE</v>
      </c>
      <c r="I104" s="94">
        <v>44324</v>
      </c>
      <c r="J104" s="10">
        <v>1</v>
      </c>
      <c r="K104" s="2">
        <v>45035778</v>
      </c>
      <c r="L104" s="4">
        <f>VLOOKUP(Tabla1[[#This Row],[DNI ]],RUBRO!$F$2:$O$9996,8,FALSE)</f>
        <v>92.8</v>
      </c>
      <c r="M104" s="88">
        <v>0.29166666666666669</v>
      </c>
      <c r="N104" s="28">
        <v>0.54166666666666663</v>
      </c>
      <c r="O104" s="28">
        <v>0.55208333333333337</v>
      </c>
      <c r="P104" s="28">
        <v>0.67708333333333337</v>
      </c>
      <c r="Q104" s="31">
        <f>(Tabla1[[#This Row],[SALIDA]]-Tabla1[[#This Row],[FIN ]])+(Tabla1[[#This Row],[INICIO]]-Tabla1[[#This Row],[INGRESO]])</f>
        <v>0.37499999999999994</v>
      </c>
      <c r="R104" s="13">
        <f t="shared" si="3"/>
        <v>0.37499999999999994</v>
      </c>
      <c r="S104" s="31">
        <f t="shared" si="4"/>
        <v>0</v>
      </c>
      <c r="T104" s="136"/>
      <c r="U104" s="136"/>
      <c r="V104" s="137">
        <f>(Tabla1[[#This Row],[COS.BASE 3]]*0.25+Tabla1[[#This Row],[COS.BASE 3]])*Tabla1[[#This Row],[HORAS 25 % ]]</f>
        <v>0</v>
      </c>
      <c r="W104" s="138">
        <f>(Tabla1[[#This Row],[COS.BASE 3]]*0.35+Tabla1[[#This Row],[COS.BASE 3]])*Tabla1[[#This Row],[HORAS 35% ]]</f>
        <v>0</v>
      </c>
      <c r="X104" s="138">
        <f>SUM(Tabla1[[#This Row],[C.HORA.35]],Tabla1[[#This Row],[C.HORA.25]])</f>
        <v>0</v>
      </c>
      <c r="Y104" s="4"/>
      <c r="Z104" s="10">
        <f>Tabla1[[#This Row],[T.HORAS]]*24</f>
        <v>8.9999999999999982</v>
      </c>
      <c r="AA104" s="4">
        <f>Tabla1[[#This Row],[H.NORMALES]]*24</f>
        <v>8.9999999999999982</v>
      </c>
      <c r="AB104" s="10">
        <f>Tabla1[[#This Row],[H.EXTRAS]]*24</f>
        <v>0</v>
      </c>
      <c r="AC104" s="105">
        <f t="shared" si="5"/>
        <v>92.799999999999969</v>
      </c>
      <c r="AD104" s="120">
        <f>Tabla1[[#This Row],[COS.BASE 2]]/8</f>
        <v>11.599999999999996</v>
      </c>
      <c r="AE104" s="105">
        <f>Tabla1[[#This Row],[CST_H_E]]+Tabla1[[#This Row],[COS.BASE 2]]</f>
        <v>92.799999999999969</v>
      </c>
      <c r="AF104" s="106">
        <f>+_xlfn.IFNA(INDEX(RUBRO!$W$2:$AA$732,MATCH(Tabla1[[#This Row],[FECHA ]],RUBRO!$W$2:$W$732,0),5)," ")</f>
        <v>0</v>
      </c>
      <c r="AG104" s="10">
        <f>+_xlfn.IFNA(INDEX(RUBRO!$W$2:$AA$732,MATCH(Tabla1[[#This Row],[FECHA ]],RUBRO!$W$2:$W$732,0),2)," ")</f>
        <v>0</v>
      </c>
      <c r="AH104" s="40">
        <f>IFERROR(Tabla1[[#This Row],[F]]*Tabla1[[#This Row],[COS.B+E]]," ")</f>
        <v>0</v>
      </c>
      <c r="AI104" s="40">
        <f>IFERROR(Tabla1[[#This Row],[COS.B+E]]*Tabla1[[#This Row],[D]]," ")</f>
        <v>0</v>
      </c>
      <c r="AJ104" s="40" t="str">
        <f>IFERROR(Tabla1[[#This Row],[F]]*#REF!," ")</f>
        <v xml:space="preserve"> </v>
      </c>
      <c r="AK104" s="40" t="str">
        <f>IFERROR(#REF!*Tabla1[[#This Row],[D]]," ")</f>
        <v xml:space="preserve"> </v>
      </c>
      <c r="AL104" s="103"/>
      <c r="AM104" s="103"/>
      <c r="AN104" s="103"/>
      <c r="AO104" s="38">
        <f>+Tabla1[[#This Row],[COS.B+E]]+Tabla1[[#This Row],[COS.F1]]+Tabla1[[#This Row],[COS.D1]]+Tabla1[[#This Row],[ALIMENTACION]]+Tabla1[[#This Row],[PRESTAMO]]+AN104</f>
        <v>92.799999999999969</v>
      </c>
      <c r="AP104" s="38" t="e">
        <f>+#REF!+Tabla1[[#This Row],[COS F2]]+Tabla1[[#This Row],[COS D2]]+Tabla1[[#This Row],[ALIMENTACION]]+Tabla1[[#This Row],[PRESTAMO]]+Tabla1[[#This Row],[PASAJES]]</f>
        <v>#REF!</v>
      </c>
    </row>
    <row r="105" spans="1:42" x14ac:dyDescent="0.25">
      <c r="A105" s="2" t="str">
        <f>TEXT(Tabla1[[#This Row],[FECHA ]],"DDDDD")</f>
        <v>sábado</v>
      </c>
      <c r="B105" s="2" t="str">
        <f>_xlfn.IFNA(VLOOKUP(Tabla1[[#This Row],[DESTINO]],RUBRO!$Q$1:$R$9996,2,FALSE)," ")</f>
        <v>OBRA</v>
      </c>
      <c r="C105" s="104">
        <f>WEEKNUM(Tabla1[[#This Row],[FECHA ]],2)</f>
        <v>19</v>
      </c>
      <c r="D105" s="104" t="str">
        <f>TEXT(Tabla1[[#This Row],[FECHA ]],"MMM-YY")</f>
        <v>may-YY</v>
      </c>
      <c r="E105" s="104" t="str">
        <f>VLOOKUP(Tabla1[[#This Row],[DNI ]],RUBRO!$F$1:$O$9996,7,FALSE)</f>
        <v>5ta</v>
      </c>
      <c r="F105" s="104" t="str">
        <f>VLOOKUP(Tabla1[[#This Row],[DNI ]],RUBRO!$F$1:$O$88,3,FALSE)</f>
        <v>MAE-04</v>
      </c>
      <c r="G105" s="104" t="str">
        <f>VLOOKUP(Tabla1[[#This Row],[DNI ]],RUBRO!$F$1:$O$9996,5,FALSE)</f>
        <v>MAESTRO MECANICO MONTAJISTA DE MAQUINARIA EXTRANJERA</v>
      </c>
      <c r="H105" s="66" t="str">
        <f>VLOOKUP(Tabla1[[#This Row],[DNI ]],RUBRO!$F$1:$O$9996,6,FALSE)</f>
        <v>ROMERO MARIN JAIRO JOEL</v>
      </c>
      <c r="I105" s="94">
        <v>44324</v>
      </c>
      <c r="J105" s="10">
        <v>2</v>
      </c>
      <c r="K105" s="2">
        <v>72926564</v>
      </c>
      <c r="L105" s="4">
        <f>VLOOKUP(Tabla1[[#This Row],[DNI ]],RUBRO!$F$2:$O$9996,8,FALSE)</f>
        <v>88.27</v>
      </c>
      <c r="M105" s="88">
        <v>0</v>
      </c>
      <c r="N105" s="28">
        <v>0.5</v>
      </c>
      <c r="O105" s="28">
        <v>0.54166666666666663</v>
      </c>
      <c r="P105" s="28">
        <v>0.64583333333333337</v>
      </c>
      <c r="Q105" s="31">
        <f>(Tabla1[[#This Row],[SALIDA]]-Tabla1[[#This Row],[FIN ]])+(Tabla1[[#This Row],[INICIO]]-Tabla1[[#This Row],[INGRESO]])</f>
        <v>0.60416666666666674</v>
      </c>
      <c r="R105" s="13">
        <f t="shared" si="3"/>
        <v>0.33333333333333331</v>
      </c>
      <c r="S105" s="31">
        <f t="shared" si="4"/>
        <v>0.27083333333333343</v>
      </c>
      <c r="T105" s="136"/>
      <c r="U105" s="136"/>
      <c r="V105" s="137">
        <f>(Tabla1[[#This Row],[COS.BASE 3]]*0.25+Tabla1[[#This Row],[COS.BASE 3]])*Tabla1[[#This Row],[HORAS 25 % ]]</f>
        <v>0</v>
      </c>
      <c r="W105" s="138">
        <f>(Tabla1[[#This Row],[COS.BASE 3]]*0.35+Tabla1[[#This Row],[COS.BASE 3]])*Tabla1[[#This Row],[HORAS 35% ]]</f>
        <v>0</v>
      </c>
      <c r="X105" s="138">
        <f>SUM(Tabla1[[#This Row],[C.HORA.35]],Tabla1[[#This Row],[C.HORA.25]])</f>
        <v>0</v>
      </c>
      <c r="Y105" s="4"/>
      <c r="Z105" s="10">
        <f>Tabla1[[#This Row],[T.HORAS]]*24</f>
        <v>14.500000000000002</v>
      </c>
      <c r="AA105" s="4">
        <f>Tabla1[[#This Row],[H.NORMALES]]*24</f>
        <v>8</v>
      </c>
      <c r="AB105" s="10">
        <f>Tabla1[[#This Row],[H.EXTRAS]]*24</f>
        <v>6.5000000000000018</v>
      </c>
      <c r="AC105" s="105">
        <f t="shared" si="5"/>
        <v>88.27</v>
      </c>
      <c r="AD105" s="120">
        <f>Tabla1[[#This Row],[COS.BASE 2]]/8</f>
        <v>11.03375</v>
      </c>
      <c r="AE105" s="105">
        <f>Tabla1[[#This Row],[CST_H_E]]+Tabla1[[#This Row],[COS.BASE 2]]</f>
        <v>88.27</v>
      </c>
      <c r="AF105" s="106">
        <f>+_xlfn.IFNA(INDEX(RUBRO!$W$2:$AA$732,MATCH(Tabla1[[#This Row],[FECHA ]],RUBRO!$W$2:$W$732,0),5)," ")</f>
        <v>0</v>
      </c>
      <c r="AG105" s="10">
        <f>+_xlfn.IFNA(INDEX(RUBRO!$W$2:$AA$732,MATCH(Tabla1[[#This Row],[FECHA ]],RUBRO!$W$2:$W$732,0),2)," ")</f>
        <v>0</v>
      </c>
      <c r="AH105" s="40">
        <f>IFERROR(Tabla1[[#This Row],[F]]*Tabla1[[#This Row],[COS.B+E]]," ")</f>
        <v>0</v>
      </c>
      <c r="AI105" s="40">
        <f>IFERROR(Tabla1[[#This Row],[COS.B+E]]*Tabla1[[#This Row],[D]]," ")</f>
        <v>0</v>
      </c>
      <c r="AJ105" s="40" t="str">
        <f>IFERROR(Tabla1[[#This Row],[F]]*#REF!," ")</f>
        <v xml:space="preserve"> </v>
      </c>
      <c r="AK105" s="40" t="str">
        <f>IFERROR(#REF!*Tabla1[[#This Row],[D]]," ")</f>
        <v xml:space="preserve"> </v>
      </c>
      <c r="AL105" s="103"/>
      <c r="AM105" s="103"/>
      <c r="AN105" s="103"/>
      <c r="AO105" s="38">
        <f>+Tabla1[[#This Row],[COS.B+E]]+Tabla1[[#This Row],[COS.F1]]+Tabla1[[#This Row],[COS.D1]]+Tabla1[[#This Row],[ALIMENTACION]]+Tabla1[[#This Row],[PRESTAMO]]+AN105</f>
        <v>88.27</v>
      </c>
      <c r="AP105" s="38" t="e">
        <f>+#REF!+Tabla1[[#This Row],[COS F2]]+Tabla1[[#This Row],[COS D2]]+Tabla1[[#This Row],[ALIMENTACION]]+Tabla1[[#This Row],[PRESTAMO]]+Tabla1[[#This Row],[PASAJES]]</f>
        <v>#REF!</v>
      </c>
    </row>
    <row r="106" spans="1:42" x14ac:dyDescent="0.25">
      <c r="A106" s="2" t="str">
        <f>TEXT(Tabla1[[#This Row],[FECHA ]],"DDDDD")</f>
        <v>sábado</v>
      </c>
      <c r="B106" s="2" t="str">
        <f>_xlfn.IFNA(VLOOKUP(Tabla1[[#This Row],[DESTINO]],RUBRO!$Q$1:$R$9996,2,FALSE)," ")</f>
        <v>OBRA</v>
      </c>
      <c r="C106" s="104">
        <f>WEEKNUM(Tabla1[[#This Row],[FECHA ]],2)</f>
        <v>19</v>
      </c>
      <c r="D106" s="104" t="str">
        <f>TEXT(Tabla1[[#This Row],[FECHA ]],"MMM-YY")</f>
        <v>may-YY</v>
      </c>
      <c r="E106" s="104" t="str">
        <f>VLOOKUP(Tabla1[[#This Row],[DNI ]],RUBRO!$F$1:$O$9996,7,FALSE)</f>
        <v>5ta</v>
      </c>
      <c r="F106" s="104" t="e">
        <f>VLOOKUP(Tabla1[[#This Row],[DNI ]],RUBRO!$F$1:$O$88,3,FALSE)</f>
        <v>#N/A</v>
      </c>
      <c r="G106" s="104" t="str">
        <f>VLOOKUP(Tabla1[[#This Row],[DNI ]],RUBRO!$F$1:$O$9996,5,FALSE)</f>
        <v>TECNICO SOLDADOR</v>
      </c>
      <c r="H106" s="66" t="str">
        <f>VLOOKUP(Tabla1[[#This Row],[DNI ]],RUBRO!$F$1:$O$9996,6,FALSE)</f>
        <v xml:space="preserve">SALAZAR FERNANDEZ WALTER </v>
      </c>
      <c r="I106" s="94">
        <v>44324</v>
      </c>
      <c r="J106" s="10">
        <v>2</v>
      </c>
      <c r="K106" s="2">
        <v>72927801</v>
      </c>
      <c r="L106" s="4">
        <f>VLOOKUP(Tabla1[[#This Row],[DNI ]],RUBRO!$F$2:$O$9996,8,FALSE)</f>
        <v>60</v>
      </c>
      <c r="M106" s="88">
        <v>0.66666666666666663</v>
      </c>
      <c r="N106" s="28"/>
      <c r="P106" s="28">
        <v>0.99930555555555556</v>
      </c>
      <c r="Q106" s="31">
        <f>(Tabla1[[#This Row],[SALIDA]]-Tabla1[[#This Row],[FIN ]])+(Tabla1[[#This Row],[INICIO]]-Tabla1[[#This Row],[INGRESO]])</f>
        <v>0.33263888888888893</v>
      </c>
      <c r="R106" s="13">
        <f t="shared" si="3"/>
        <v>0.33263888888888893</v>
      </c>
      <c r="S106" s="31">
        <f t="shared" si="4"/>
        <v>0</v>
      </c>
      <c r="T106" s="136"/>
      <c r="U106" s="136"/>
      <c r="V106" s="137">
        <f>(Tabla1[[#This Row],[COS.BASE 3]]*0.25+Tabla1[[#This Row],[COS.BASE 3]])*Tabla1[[#This Row],[HORAS 25 % ]]</f>
        <v>0</v>
      </c>
      <c r="W106" s="138">
        <f>(Tabla1[[#This Row],[COS.BASE 3]]*0.35+Tabla1[[#This Row],[COS.BASE 3]])*Tabla1[[#This Row],[HORAS 35% ]]</f>
        <v>0</v>
      </c>
      <c r="X106" s="138">
        <f>SUM(Tabla1[[#This Row],[C.HORA.35]],Tabla1[[#This Row],[C.HORA.25]])</f>
        <v>0</v>
      </c>
      <c r="Y106" s="4"/>
      <c r="Z106" s="10">
        <f>Tabla1[[#This Row],[T.HORAS]]*24</f>
        <v>7.9833333333333343</v>
      </c>
      <c r="AA106" s="4">
        <f>Tabla1[[#This Row],[H.NORMALES]]*24</f>
        <v>7.9833333333333343</v>
      </c>
      <c r="AB106" s="10">
        <f>Tabla1[[#This Row],[H.EXTRAS]]*24</f>
        <v>0</v>
      </c>
      <c r="AC106" s="105">
        <f t="shared" si="5"/>
        <v>59.875000000000007</v>
      </c>
      <c r="AD106" s="120">
        <f>Tabla1[[#This Row],[COS.BASE 2]]/8</f>
        <v>7.4843750000000009</v>
      </c>
      <c r="AE106" s="105">
        <f>Tabla1[[#This Row],[CST_H_E]]+Tabla1[[#This Row],[COS.BASE 2]]</f>
        <v>59.875000000000007</v>
      </c>
      <c r="AF106" s="106">
        <f>+_xlfn.IFNA(INDEX(RUBRO!$W$2:$AA$732,MATCH(Tabla1[[#This Row],[FECHA ]],RUBRO!$W$2:$W$732,0),5)," ")</f>
        <v>0</v>
      </c>
      <c r="AG106" s="10">
        <f>+_xlfn.IFNA(INDEX(RUBRO!$W$2:$AA$732,MATCH(Tabla1[[#This Row],[FECHA ]],RUBRO!$W$2:$W$732,0),2)," ")</f>
        <v>0</v>
      </c>
      <c r="AH106" s="40">
        <f>IFERROR(Tabla1[[#This Row],[F]]*Tabla1[[#This Row],[COS.B+E]]," ")</f>
        <v>0</v>
      </c>
      <c r="AI106" s="40">
        <f>IFERROR(Tabla1[[#This Row],[COS.B+E]]*Tabla1[[#This Row],[D]]," ")</f>
        <v>0</v>
      </c>
      <c r="AJ106" s="40" t="str">
        <f>IFERROR(Tabla1[[#This Row],[F]]*#REF!," ")</f>
        <v xml:space="preserve"> </v>
      </c>
      <c r="AK106" s="40" t="str">
        <f>IFERROR(#REF!*Tabla1[[#This Row],[D]]," ")</f>
        <v xml:space="preserve"> </v>
      </c>
      <c r="AL106" s="103"/>
      <c r="AM106" s="103"/>
      <c r="AN106" s="103"/>
      <c r="AO106" s="38">
        <f>+Tabla1[[#This Row],[COS.B+E]]+Tabla1[[#This Row],[COS.F1]]+Tabla1[[#This Row],[COS.D1]]+Tabla1[[#This Row],[ALIMENTACION]]+Tabla1[[#This Row],[PRESTAMO]]+AN106</f>
        <v>59.875000000000007</v>
      </c>
      <c r="AP106" s="38" t="e">
        <f>+#REF!+Tabla1[[#This Row],[COS F2]]+Tabla1[[#This Row],[COS D2]]+Tabla1[[#This Row],[ALIMENTACION]]+Tabla1[[#This Row],[PRESTAMO]]+Tabla1[[#This Row],[PASAJES]]</f>
        <v>#REF!</v>
      </c>
    </row>
    <row r="107" spans="1:42" x14ac:dyDescent="0.25">
      <c r="A107" s="2" t="str">
        <f>TEXT(Tabla1[[#This Row],[FECHA ]],"DDDDD")</f>
        <v>sábado</v>
      </c>
      <c r="B107" s="2" t="str">
        <f>_xlfn.IFNA(VLOOKUP(Tabla1[[#This Row],[DESTINO]],RUBRO!$Q$1:$R$9996,2,FALSE)," ")</f>
        <v>OBRA</v>
      </c>
      <c r="C107" s="104">
        <f>WEEKNUM(Tabla1[[#This Row],[FECHA ]],2)</f>
        <v>19</v>
      </c>
      <c r="D107" s="104" t="str">
        <f>TEXT(Tabla1[[#This Row],[FECHA ]],"MMM-YY")</f>
        <v>may-YY</v>
      </c>
      <c r="E107" s="104" t="str">
        <f>VLOOKUP(Tabla1[[#This Row],[DNI ]],RUBRO!$F$1:$O$9996,7,FALSE)</f>
        <v>5ta</v>
      </c>
      <c r="F107" s="104" t="str">
        <f>VLOOKUP(Tabla1[[#This Row],[DNI ]],RUBRO!$F$1:$O$88,3,FALSE)</f>
        <v>MEC-04</v>
      </c>
      <c r="G107" s="104" t="str">
        <f>VLOOKUP(Tabla1[[#This Row],[DNI ]],RUBRO!$F$1:$O$9996,5,FALSE)</f>
        <v>MECANICO MONTAJISTA DE MAQUINARIA EXTRANJERA</v>
      </c>
      <c r="H107" s="66" t="str">
        <f>VLOOKUP(Tabla1[[#This Row],[DNI ]],RUBRO!$F$1:$O$9996,6,FALSE)</f>
        <v>SANDOVAL CHAPOÑAN ELVIS EDUARDO</v>
      </c>
      <c r="I107" s="94">
        <v>44324</v>
      </c>
      <c r="J107" s="10">
        <v>2</v>
      </c>
      <c r="K107" s="2">
        <v>45360771</v>
      </c>
      <c r="L107" s="4">
        <f>VLOOKUP(Tabla1[[#This Row],[DNI ]],RUBRO!$F$2:$O$9996,8,FALSE)</f>
        <v>94.35</v>
      </c>
      <c r="M107" s="88">
        <v>0</v>
      </c>
      <c r="N107" s="28">
        <v>0.5</v>
      </c>
      <c r="O107" s="28">
        <v>0.54166666666666663</v>
      </c>
      <c r="P107" s="28">
        <v>0.64583333333333337</v>
      </c>
      <c r="Q107" s="31">
        <f>(Tabla1[[#This Row],[SALIDA]]-Tabla1[[#This Row],[FIN ]])+(Tabla1[[#This Row],[INICIO]]-Tabla1[[#This Row],[INGRESO]])</f>
        <v>0.60416666666666674</v>
      </c>
      <c r="R107" s="13">
        <f t="shared" si="3"/>
        <v>0.33333333333333331</v>
      </c>
      <c r="S107" s="31">
        <f t="shared" si="4"/>
        <v>0.27083333333333343</v>
      </c>
      <c r="T107" s="136"/>
      <c r="U107" s="136"/>
      <c r="V107" s="137">
        <f>(Tabla1[[#This Row],[COS.BASE 3]]*0.25+Tabla1[[#This Row],[COS.BASE 3]])*Tabla1[[#This Row],[HORAS 25 % ]]</f>
        <v>0</v>
      </c>
      <c r="W107" s="138">
        <f>(Tabla1[[#This Row],[COS.BASE 3]]*0.35+Tabla1[[#This Row],[COS.BASE 3]])*Tabla1[[#This Row],[HORAS 35% ]]</f>
        <v>0</v>
      </c>
      <c r="X107" s="138">
        <f>SUM(Tabla1[[#This Row],[C.HORA.35]],Tabla1[[#This Row],[C.HORA.25]])</f>
        <v>0</v>
      </c>
      <c r="Y107" s="4"/>
      <c r="Z107" s="10">
        <f>Tabla1[[#This Row],[T.HORAS]]*24</f>
        <v>14.500000000000002</v>
      </c>
      <c r="AA107" s="4">
        <f>Tabla1[[#This Row],[H.NORMALES]]*24</f>
        <v>8</v>
      </c>
      <c r="AB107" s="10">
        <f>Tabla1[[#This Row],[H.EXTRAS]]*24</f>
        <v>6.5000000000000018</v>
      </c>
      <c r="AC107" s="105">
        <f t="shared" si="5"/>
        <v>94.35</v>
      </c>
      <c r="AD107" s="120">
        <f>Tabla1[[#This Row],[COS.BASE 2]]/8</f>
        <v>11.793749999999999</v>
      </c>
      <c r="AE107" s="105">
        <f>Tabla1[[#This Row],[CST_H_E]]+Tabla1[[#This Row],[COS.BASE 2]]</f>
        <v>94.35</v>
      </c>
      <c r="AF107" s="106">
        <f>+_xlfn.IFNA(INDEX(RUBRO!$W$2:$AA$732,MATCH(Tabla1[[#This Row],[FECHA ]],RUBRO!$W$2:$W$732,0),5)," ")</f>
        <v>0</v>
      </c>
      <c r="AG107" s="10">
        <f>+_xlfn.IFNA(INDEX(RUBRO!$W$2:$AA$732,MATCH(Tabla1[[#This Row],[FECHA ]],RUBRO!$W$2:$W$732,0),2)," ")</f>
        <v>0</v>
      </c>
      <c r="AH107" s="40">
        <f>IFERROR(Tabla1[[#This Row],[F]]*Tabla1[[#This Row],[COS.B+E]]," ")</f>
        <v>0</v>
      </c>
      <c r="AI107" s="40">
        <f>IFERROR(Tabla1[[#This Row],[COS.B+E]]*Tabla1[[#This Row],[D]]," ")</f>
        <v>0</v>
      </c>
      <c r="AJ107" s="40" t="str">
        <f>IFERROR(Tabla1[[#This Row],[F]]*#REF!," ")</f>
        <v xml:space="preserve"> </v>
      </c>
      <c r="AK107" s="40" t="str">
        <f>IFERROR(#REF!*Tabla1[[#This Row],[D]]," ")</f>
        <v xml:space="preserve"> </v>
      </c>
      <c r="AL107" s="103"/>
      <c r="AM107" s="103"/>
      <c r="AN107" s="103"/>
      <c r="AO107" s="38">
        <f>+Tabla1[[#This Row],[COS.B+E]]+Tabla1[[#This Row],[COS.F1]]+Tabla1[[#This Row],[COS.D1]]+Tabla1[[#This Row],[ALIMENTACION]]+Tabla1[[#This Row],[PRESTAMO]]+AN107</f>
        <v>94.35</v>
      </c>
      <c r="AP107" s="38" t="e">
        <f>+#REF!+Tabla1[[#This Row],[COS F2]]+Tabla1[[#This Row],[COS D2]]+Tabla1[[#This Row],[ALIMENTACION]]+Tabla1[[#This Row],[PRESTAMO]]+Tabla1[[#This Row],[PASAJES]]</f>
        <v>#REF!</v>
      </c>
    </row>
    <row r="108" spans="1:42" x14ac:dyDescent="0.25">
      <c r="A108" s="2" t="str">
        <f>TEXT(Tabla1[[#This Row],[FECHA ]],"DDDDD")</f>
        <v>sábado</v>
      </c>
      <c r="B108" s="2" t="str">
        <f>_xlfn.IFNA(VLOOKUP(Tabla1[[#This Row],[DESTINO]],RUBRO!$Q$1:$R$9996,2,FALSE)," ")</f>
        <v>OBRA</v>
      </c>
      <c r="C108" s="104">
        <f>WEEKNUM(Tabla1[[#This Row],[FECHA ]],2)</f>
        <v>19</v>
      </c>
      <c r="D108" s="104" t="str">
        <f>TEXT(Tabla1[[#This Row],[FECHA ]],"MMM-YY")</f>
        <v>may-YY</v>
      </c>
      <c r="E108" s="104" t="str">
        <f>VLOOKUP(Tabla1[[#This Row],[DNI ]],RUBRO!$F$1:$O$9996,7,FALSE)</f>
        <v>5ta</v>
      </c>
      <c r="F108" s="104" t="e">
        <f>VLOOKUP(Tabla1[[#This Row],[DNI ]],RUBRO!$F$1:$O$88,3,FALSE)</f>
        <v>#N/A</v>
      </c>
      <c r="G108" s="104" t="str">
        <f>VLOOKUP(Tabla1[[#This Row],[DNI ]],RUBRO!$F$1:$O$9996,5,FALSE)</f>
        <v>TECNICO MECANICO MONTAJISTA DE NAVE INDUSTRIAL</v>
      </c>
      <c r="H108" s="66" t="str">
        <f>VLOOKUP(Tabla1[[#This Row],[DNI ]],RUBRO!$F$1:$O$9996,6,FALSE)</f>
        <v>SOLANO SUELDO CARLOS</v>
      </c>
      <c r="I108" s="94">
        <v>44324</v>
      </c>
      <c r="J108" s="10">
        <v>2</v>
      </c>
      <c r="K108" s="2">
        <v>44676684</v>
      </c>
      <c r="L108" s="4">
        <f>VLOOKUP(Tabla1[[#This Row],[DNI ]],RUBRO!$F$2:$O$9996,8,FALSE)</f>
        <v>70</v>
      </c>
      <c r="M108" s="88">
        <v>0.29166666666666669</v>
      </c>
      <c r="N108" s="28"/>
      <c r="P108" s="28">
        <v>0.58333333333333337</v>
      </c>
      <c r="Q108" s="31">
        <f>(Tabla1[[#This Row],[SALIDA]]-Tabla1[[#This Row],[FIN ]])+(Tabla1[[#This Row],[INICIO]]-Tabla1[[#This Row],[INGRESO]])</f>
        <v>0.29166666666666669</v>
      </c>
      <c r="R108" s="13">
        <f t="shared" si="3"/>
        <v>0.29166666666666669</v>
      </c>
      <c r="S108" s="31">
        <f t="shared" si="4"/>
        <v>0</v>
      </c>
      <c r="T108" s="136"/>
      <c r="U108" s="136"/>
      <c r="V108" s="137">
        <f>(Tabla1[[#This Row],[COS.BASE 3]]*0.25+Tabla1[[#This Row],[COS.BASE 3]])*Tabla1[[#This Row],[HORAS 25 % ]]</f>
        <v>0</v>
      </c>
      <c r="W108" s="138">
        <f>(Tabla1[[#This Row],[COS.BASE 3]]*0.35+Tabla1[[#This Row],[COS.BASE 3]])*Tabla1[[#This Row],[HORAS 35% ]]</f>
        <v>0</v>
      </c>
      <c r="X108" s="138">
        <f>SUM(Tabla1[[#This Row],[C.HORA.35]],Tabla1[[#This Row],[C.HORA.25]])</f>
        <v>0</v>
      </c>
      <c r="Y108" s="4"/>
      <c r="Z108" s="10">
        <f>Tabla1[[#This Row],[T.HORAS]]*24</f>
        <v>7</v>
      </c>
      <c r="AA108" s="4">
        <f>Tabla1[[#This Row],[H.NORMALES]]*24</f>
        <v>7</v>
      </c>
      <c r="AB108" s="10">
        <f>Tabla1[[#This Row],[H.EXTRAS]]*24</f>
        <v>0</v>
      </c>
      <c r="AC108" s="105">
        <f t="shared" si="5"/>
        <v>61.25</v>
      </c>
      <c r="AD108" s="120">
        <f>Tabla1[[#This Row],[COS.BASE 2]]/8</f>
        <v>7.65625</v>
      </c>
      <c r="AE108" s="105">
        <f>Tabla1[[#This Row],[CST_H_E]]+Tabla1[[#This Row],[COS.BASE 2]]</f>
        <v>61.25</v>
      </c>
      <c r="AF108" s="106">
        <f>+_xlfn.IFNA(INDEX(RUBRO!$W$2:$AA$732,MATCH(Tabla1[[#This Row],[FECHA ]],RUBRO!$W$2:$W$732,0),5)," ")</f>
        <v>0</v>
      </c>
      <c r="AG108" s="10">
        <f>+_xlfn.IFNA(INDEX(RUBRO!$W$2:$AA$732,MATCH(Tabla1[[#This Row],[FECHA ]],RUBRO!$W$2:$W$732,0),2)," ")</f>
        <v>0</v>
      </c>
      <c r="AH108" s="40">
        <f>IFERROR(Tabla1[[#This Row],[F]]*Tabla1[[#This Row],[COS.B+E]]," ")</f>
        <v>0</v>
      </c>
      <c r="AI108" s="40">
        <f>IFERROR(Tabla1[[#This Row],[COS.B+E]]*Tabla1[[#This Row],[D]]," ")</f>
        <v>0</v>
      </c>
      <c r="AJ108" s="40" t="str">
        <f>IFERROR(Tabla1[[#This Row],[F]]*#REF!," ")</f>
        <v xml:space="preserve"> </v>
      </c>
      <c r="AK108" s="40" t="str">
        <f>IFERROR(#REF!*Tabla1[[#This Row],[D]]," ")</f>
        <v xml:space="preserve"> </v>
      </c>
      <c r="AL108" s="103"/>
      <c r="AM108" s="103"/>
      <c r="AN108" s="103"/>
      <c r="AO108" s="38">
        <f>+Tabla1[[#This Row],[COS.B+E]]+Tabla1[[#This Row],[COS.F1]]+Tabla1[[#This Row],[COS.D1]]+Tabla1[[#This Row],[ALIMENTACION]]+Tabla1[[#This Row],[PRESTAMO]]+AN108</f>
        <v>61.25</v>
      </c>
      <c r="AP108" s="38" t="e">
        <f>+#REF!+Tabla1[[#This Row],[COS F2]]+Tabla1[[#This Row],[COS D2]]+Tabla1[[#This Row],[ALIMENTACION]]+Tabla1[[#This Row],[PRESTAMO]]+Tabla1[[#This Row],[PASAJES]]</f>
        <v>#REF!</v>
      </c>
    </row>
    <row r="109" spans="1:42" x14ac:dyDescent="0.25">
      <c r="A109" s="2" t="str">
        <f>TEXT(Tabla1[[#This Row],[FECHA ]],"DDDDD")</f>
        <v>sábado</v>
      </c>
      <c r="B109" s="2" t="str">
        <f>_xlfn.IFNA(VLOOKUP(Tabla1[[#This Row],[DESTINO]],RUBRO!$Q$1:$R$9996,2,FALSE)," ")</f>
        <v xml:space="preserve"> </v>
      </c>
      <c r="C109" s="104">
        <f>WEEKNUM(Tabla1[[#This Row],[FECHA ]],2)</f>
        <v>19</v>
      </c>
      <c r="D109" s="104" t="str">
        <f>TEXT(Tabla1[[#This Row],[FECHA ]],"MMM-YY")</f>
        <v>may-YY</v>
      </c>
      <c r="E109" s="104" t="str">
        <f>VLOOKUP(Tabla1[[#This Row],[DNI ]],RUBRO!$F$1:$O$9996,7,FALSE)</f>
        <v>4ta</v>
      </c>
      <c r="F109" s="104" t="e">
        <f>VLOOKUP(Tabla1[[#This Row],[DNI ]],RUBRO!$F$1:$O$88,3,FALSE)</f>
        <v>#N/A</v>
      </c>
      <c r="G109" s="104">
        <f>VLOOKUP(Tabla1[[#This Row],[DNI ]],RUBRO!$F$1:$O$9996,5,FALSE)</f>
        <v>0</v>
      </c>
      <c r="H109" s="66" t="str">
        <f>VLOOKUP(Tabla1[[#This Row],[DNI ]],RUBRO!$F$1:$O$9996,6,FALSE)</f>
        <v>SOTO NIETO ALEXANDRO FABIO</v>
      </c>
      <c r="I109" s="94">
        <v>44324</v>
      </c>
      <c r="K109" s="2">
        <v>71214531</v>
      </c>
      <c r="L109" s="4">
        <f>VLOOKUP(Tabla1[[#This Row],[DNI ]],RUBRO!$F$2:$O$9996,8,FALSE)</f>
        <v>0</v>
      </c>
      <c r="M109" s="88"/>
      <c r="N109" s="28"/>
      <c r="P109" s="28"/>
      <c r="Q109" s="31">
        <f>(Tabla1[[#This Row],[SALIDA]]-Tabla1[[#This Row],[FIN ]])+(Tabla1[[#This Row],[INICIO]]-Tabla1[[#This Row],[INGRESO]])</f>
        <v>0</v>
      </c>
      <c r="R109" s="13">
        <f t="shared" si="3"/>
        <v>0</v>
      </c>
      <c r="S109" s="31">
        <f t="shared" si="4"/>
        <v>0</v>
      </c>
      <c r="T109" s="136"/>
      <c r="U109" s="136"/>
      <c r="V109" s="137">
        <f>(Tabla1[[#This Row],[COS.BASE 3]]*0.25+Tabla1[[#This Row],[COS.BASE 3]])*Tabla1[[#This Row],[HORAS 25 % ]]</f>
        <v>0</v>
      </c>
      <c r="W109" s="138">
        <f>(Tabla1[[#This Row],[COS.BASE 3]]*0.35+Tabla1[[#This Row],[COS.BASE 3]])*Tabla1[[#This Row],[HORAS 35% ]]</f>
        <v>0</v>
      </c>
      <c r="X109" s="138">
        <f>SUM(Tabla1[[#This Row],[C.HORA.35]],Tabla1[[#This Row],[C.HORA.25]])</f>
        <v>0</v>
      </c>
      <c r="Y109" s="4"/>
      <c r="Z109" s="10">
        <f>Tabla1[[#This Row],[T.HORAS]]*24</f>
        <v>0</v>
      </c>
      <c r="AA109" s="4">
        <f>Tabla1[[#This Row],[H.NORMALES]]*24</f>
        <v>0</v>
      </c>
      <c r="AB109" s="10">
        <f>Tabla1[[#This Row],[H.EXTRAS]]*24</f>
        <v>0</v>
      </c>
      <c r="AC109" s="105">
        <f t="shared" si="5"/>
        <v>0</v>
      </c>
      <c r="AD109" s="120">
        <f>Tabla1[[#This Row],[COS.BASE 2]]/8</f>
        <v>0</v>
      </c>
      <c r="AE109" s="105">
        <f>Tabla1[[#This Row],[CST_H_E]]+Tabla1[[#This Row],[COS.BASE 2]]</f>
        <v>0</v>
      </c>
      <c r="AF109" s="106">
        <f>+_xlfn.IFNA(INDEX(RUBRO!$W$2:$AA$732,MATCH(Tabla1[[#This Row],[FECHA ]],RUBRO!$W$2:$W$732,0),5)," ")</f>
        <v>0</v>
      </c>
      <c r="AG109" s="10">
        <f>+_xlfn.IFNA(INDEX(RUBRO!$W$2:$AA$732,MATCH(Tabla1[[#This Row],[FECHA ]],RUBRO!$W$2:$W$732,0),2)," ")</f>
        <v>0</v>
      </c>
      <c r="AH109" s="40">
        <f>IFERROR(Tabla1[[#This Row],[F]]*Tabla1[[#This Row],[COS.B+E]]," ")</f>
        <v>0</v>
      </c>
      <c r="AI109" s="40">
        <f>IFERROR(Tabla1[[#This Row],[COS.B+E]]*Tabla1[[#This Row],[D]]," ")</f>
        <v>0</v>
      </c>
      <c r="AJ109" s="40" t="str">
        <f>IFERROR(Tabla1[[#This Row],[F]]*#REF!," ")</f>
        <v xml:space="preserve"> </v>
      </c>
      <c r="AK109" s="40" t="str">
        <f>IFERROR(#REF!*Tabla1[[#This Row],[D]]," ")</f>
        <v xml:space="preserve"> </v>
      </c>
      <c r="AL109" s="103"/>
      <c r="AM109" s="103"/>
      <c r="AN109" s="103"/>
      <c r="AO109" s="38">
        <f>+Tabla1[[#This Row],[COS.B+E]]+Tabla1[[#This Row],[COS.F1]]+Tabla1[[#This Row],[COS.D1]]+Tabla1[[#This Row],[ALIMENTACION]]+Tabla1[[#This Row],[PRESTAMO]]+AN109</f>
        <v>0</v>
      </c>
      <c r="AP109" s="38" t="e">
        <f>+#REF!+Tabla1[[#This Row],[COS F2]]+Tabla1[[#This Row],[COS D2]]+Tabla1[[#This Row],[ALIMENTACION]]+Tabla1[[#This Row],[PRESTAMO]]+Tabla1[[#This Row],[PASAJES]]</f>
        <v>#REF!</v>
      </c>
    </row>
    <row r="110" spans="1:42" x14ac:dyDescent="0.25">
      <c r="A110" s="2" t="str">
        <f>TEXT(Tabla1[[#This Row],[FECHA ]],"DDDDD")</f>
        <v>sábado</v>
      </c>
      <c r="B110" s="2" t="str">
        <f>_xlfn.IFNA(VLOOKUP(Tabla1[[#This Row],[DESTINO]],RUBRO!$Q$1:$R$9996,2,FALSE)," ")</f>
        <v>PLANTA</v>
      </c>
      <c r="C110" s="104">
        <f>WEEKNUM(Tabla1[[#This Row],[FECHA ]],2)</f>
        <v>19</v>
      </c>
      <c r="D110" s="104" t="str">
        <f>TEXT(Tabla1[[#This Row],[FECHA ]],"MMM-YY")</f>
        <v>may-YY</v>
      </c>
      <c r="E110" s="104" t="str">
        <f>VLOOKUP(Tabla1[[#This Row],[DNI ]],RUBRO!$F$1:$O$9996,7,FALSE)</f>
        <v>5ta</v>
      </c>
      <c r="F110" s="104" t="str">
        <f>VLOOKUP(Tabla1[[#This Row],[DNI ]],RUBRO!$F$1:$O$88,3,FALSE)</f>
        <v>TEC-02</v>
      </c>
      <c r="G110" s="104" t="str">
        <f>VLOOKUP(Tabla1[[#This Row],[DNI ]],RUBRO!$F$1:$O$9996,5,FALSE)</f>
        <v>TECNICO MECANICO MONTAJISTA DE MAQUINARIA</v>
      </c>
      <c r="H110" s="66" t="str">
        <f>VLOOKUP(Tabla1[[#This Row],[DNI ]],RUBRO!$F$1:$O$9996,6,FALSE)</f>
        <v>TINOCO SANTISTEBAN JIMMY JOEL</v>
      </c>
      <c r="I110" s="94">
        <v>44324</v>
      </c>
      <c r="J110" s="10">
        <v>1</v>
      </c>
      <c r="K110" s="2">
        <v>47158079</v>
      </c>
      <c r="L110" s="4">
        <f>VLOOKUP(Tabla1[[#This Row],[DNI ]],RUBRO!$F$2:$O$9996,8,FALSE)</f>
        <v>56.55</v>
      </c>
      <c r="M110" s="88">
        <v>0.29166666666666669</v>
      </c>
      <c r="N110" s="28"/>
      <c r="P110" s="28">
        <v>0.58333333333333337</v>
      </c>
      <c r="Q110" s="31">
        <f>(Tabla1[[#This Row],[SALIDA]]-Tabla1[[#This Row],[FIN ]])+(Tabla1[[#This Row],[INICIO]]-Tabla1[[#This Row],[INGRESO]])</f>
        <v>0.29166666666666669</v>
      </c>
      <c r="R110" s="13">
        <f t="shared" si="3"/>
        <v>0.29166666666666669</v>
      </c>
      <c r="S110" s="31">
        <f t="shared" si="4"/>
        <v>0</v>
      </c>
      <c r="T110" s="136"/>
      <c r="U110" s="136"/>
      <c r="V110" s="137">
        <f>(Tabla1[[#This Row],[COS.BASE 3]]*0.25+Tabla1[[#This Row],[COS.BASE 3]])*Tabla1[[#This Row],[HORAS 25 % ]]</f>
        <v>0</v>
      </c>
      <c r="W110" s="138">
        <f>(Tabla1[[#This Row],[COS.BASE 3]]*0.35+Tabla1[[#This Row],[COS.BASE 3]])*Tabla1[[#This Row],[HORAS 35% ]]</f>
        <v>0</v>
      </c>
      <c r="X110" s="138">
        <f>SUM(Tabla1[[#This Row],[C.HORA.35]],Tabla1[[#This Row],[C.HORA.25]])</f>
        <v>0</v>
      </c>
      <c r="Y110" s="4"/>
      <c r="Z110" s="10">
        <f>Tabla1[[#This Row],[T.HORAS]]*24</f>
        <v>7</v>
      </c>
      <c r="AA110" s="4">
        <f>Tabla1[[#This Row],[H.NORMALES]]*24</f>
        <v>7</v>
      </c>
      <c r="AB110" s="10">
        <f>Tabla1[[#This Row],[H.EXTRAS]]*24</f>
        <v>0</v>
      </c>
      <c r="AC110" s="105">
        <f t="shared" si="5"/>
        <v>43.983333333333334</v>
      </c>
      <c r="AD110" s="120">
        <f>Tabla1[[#This Row],[COS.BASE 2]]/8</f>
        <v>5.4979166666666668</v>
      </c>
      <c r="AE110" s="105">
        <f>Tabla1[[#This Row],[CST_H_E]]+Tabla1[[#This Row],[COS.BASE 2]]</f>
        <v>43.983333333333334</v>
      </c>
      <c r="AF110" s="106">
        <f>+_xlfn.IFNA(INDEX(RUBRO!$W$2:$AA$732,MATCH(Tabla1[[#This Row],[FECHA ]],RUBRO!$W$2:$W$732,0),5)," ")</f>
        <v>0</v>
      </c>
      <c r="AG110" s="10">
        <f>+_xlfn.IFNA(INDEX(RUBRO!$W$2:$AA$732,MATCH(Tabla1[[#This Row],[FECHA ]],RUBRO!$W$2:$W$732,0),2)," ")</f>
        <v>0</v>
      </c>
      <c r="AH110" s="40">
        <f>IFERROR(Tabla1[[#This Row],[F]]*Tabla1[[#This Row],[COS.B+E]]," ")</f>
        <v>0</v>
      </c>
      <c r="AI110" s="40">
        <f>IFERROR(Tabla1[[#This Row],[COS.B+E]]*Tabla1[[#This Row],[D]]," ")</f>
        <v>0</v>
      </c>
      <c r="AJ110" s="40" t="str">
        <f>IFERROR(Tabla1[[#This Row],[F]]*#REF!," ")</f>
        <v xml:space="preserve"> </v>
      </c>
      <c r="AK110" s="40" t="str">
        <f>IFERROR(#REF!*Tabla1[[#This Row],[D]]," ")</f>
        <v xml:space="preserve"> </v>
      </c>
      <c r="AL110" s="103"/>
      <c r="AM110" s="103"/>
      <c r="AN110" s="103"/>
      <c r="AO110" s="38">
        <f>+Tabla1[[#This Row],[COS.B+E]]+Tabla1[[#This Row],[COS.F1]]+Tabla1[[#This Row],[COS.D1]]+Tabla1[[#This Row],[ALIMENTACION]]+Tabla1[[#This Row],[PRESTAMO]]+AN110</f>
        <v>43.983333333333334</v>
      </c>
      <c r="AP110" s="38" t="e">
        <f>+#REF!+Tabla1[[#This Row],[COS F2]]+Tabla1[[#This Row],[COS D2]]+Tabla1[[#This Row],[ALIMENTACION]]+Tabla1[[#This Row],[PRESTAMO]]+Tabla1[[#This Row],[PASAJES]]</f>
        <v>#REF!</v>
      </c>
    </row>
    <row r="111" spans="1:42" x14ac:dyDescent="0.25">
      <c r="A111" s="2" t="str">
        <f>TEXT(Tabla1[[#This Row],[FECHA ]],"DDDDD")</f>
        <v>sábado</v>
      </c>
      <c r="B111" s="2" t="str">
        <f>_xlfn.IFNA(VLOOKUP(Tabla1[[#This Row],[DESTINO]],RUBRO!$Q$1:$R$9996,2,FALSE)," ")</f>
        <v>FALTA</v>
      </c>
      <c r="C111" s="104">
        <f>WEEKNUM(Tabla1[[#This Row],[FECHA ]],2)</f>
        <v>19</v>
      </c>
      <c r="D111" s="104" t="str">
        <f>TEXT(Tabla1[[#This Row],[FECHA ]],"MMM-YY")</f>
        <v>may-YY</v>
      </c>
      <c r="E111" s="104" t="str">
        <f>VLOOKUP(Tabla1[[#This Row],[DNI ]],RUBRO!$F$1:$O$9996,7,FALSE)</f>
        <v>5ta</v>
      </c>
      <c r="F111" s="104" t="str">
        <f>VLOOKUP(Tabla1[[#This Row],[DNI ]],RUBRO!$F$1:$O$88,3,FALSE)</f>
        <v>TECME-03</v>
      </c>
      <c r="G111" s="104" t="str">
        <f>VLOOKUP(Tabla1[[#This Row],[DNI ]],RUBRO!$F$1:$O$9996,5,FALSE)</f>
        <v>TECNICO ELECTRICO MONTAJISTA DE MAQUINARIA EXTRANJERA</v>
      </c>
      <c r="H111" s="66" t="str">
        <f>VLOOKUP(Tabla1[[#This Row],[DNI ]],RUBRO!$F$1:$O$9996,6,FALSE)</f>
        <v>TORRES RAMOS ANGY ANDREINA</v>
      </c>
      <c r="I111" s="94">
        <v>44324</v>
      </c>
      <c r="J111" s="10">
        <v>4</v>
      </c>
      <c r="K111" s="2">
        <v>76449683</v>
      </c>
      <c r="L111" s="4">
        <f>VLOOKUP(Tabla1[[#This Row],[DNI ]],RUBRO!$F$2:$O$9996,8,FALSE)</f>
        <v>73.87</v>
      </c>
      <c r="M111" s="88"/>
      <c r="N111" s="28"/>
      <c r="P111" s="28"/>
      <c r="Q111" s="31">
        <f>(Tabla1[[#This Row],[SALIDA]]-Tabla1[[#This Row],[FIN ]])+(Tabla1[[#This Row],[INICIO]]-Tabla1[[#This Row],[INGRESO]])</f>
        <v>0</v>
      </c>
      <c r="R111" s="13">
        <f t="shared" si="3"/>
        <v>0</v>
      </c>
      <c r="S111" s="31">
        <f t="shared" si="4"/>
        <v>0</v>
      </c>
      <c r="T111" s="136">
        <v>0</v>
      </c>
      <c r="U111" s="136">
        <v>0</v>
      </c>
      <c r="V111" s="137">
        <f>(Tabla1[[#This Row],[COS.BASE 3]]*0.25+Tabla1[[#This Row],[COS.BASE 3]])*Tabla1[[#This Row],[HORAS 25 % ]]</f>
        <v>0</v>
      </c>
      <c r="W111" s="138">
        <f>(Tabla1[[#This Row],[COS.BASE 3]]*0.35+Tabla1[[#This Row],[COS.BASE 3]])*Tabla1[[#This Row],[HORAS 35% ]]</f>
        <v>0</v>
      </c>
      <c r="X111" s="138">
        <f>SUM(Tabla1[[#This Row],[C.HORA.35]],Tabla1[[#This Row],[C.HORA.25]])</f>
        <v>0</v>
      </c>
      <c r="Y111" s="4"/>
      <c r="Z111" s="10">
        <f>Tabla1[[#This Row],[T.HORAS]]*24</f>
        <v>0</v>
      </c>
      <c r="AA111" s="4">
        <f>Tabla1[[#This Row],[H.NORMALES]]*24</f>
        <v>0</v>
      </c>
      <c r="AB111" s="10">
        <f>Tabla1[[#This Row],[H.EXTRAS]]*24</f>
        <v>0</v>
      </c>
      <c r="AC111" s="105">
        <f t="shared" si="5"/>
        <v>0</v>
      </c>
      <c r="AD111" s="120">
        <f>Tabla1[[#This Row],[COS.BASE 2]]/8</f>
        <v>0</v>
      </c>
      <c r="AE111" s="134">
        <f>Tabla1[[#This Row],[CST_H_E]]+Tabla1[[#This Row],[COS.BASE 2]]</f>
        <v>0</v>
      </c>
      <c r="AF111" s="106">
        <f>+_xlfn.IFNA(INDEX(RUBRO!$W$2:$AA$732,MATCH(Tabla1[[#This Row],[FECHA ]],RUBRO!$W$2:$W$732,0),5)," ")</f>
        <v>0</v>
      </c>
      <c r="AG111" s="10">
        <f>+_xlfn.IFNA(INDEX(RUBRO!$W$2:$AA$732,MATCH(Tabla1[[#This Row],[FECHA ]],RUBRO!$W$2:$W$732,0),2)," ")</f>
        <v>0</v>
      </c>
      <c r="AH111" s="40">
        <f>IFERROR(Tabla1[[#This Row],[F]]*Tabla1[[#This Row],[COS.B+E]]," ")</f>
        <v>0</v>
      </c>
      <c r="AI111" s="40">
        <f>IFERROR(Tabla1[[#This Row],[COS.B+E]]*Tabla1[[#This Row],[D]]," ")</f>
        <v>0</v>
      </c>
      <c r="AJ111" s="40" t="str">
        <f>IFERROR(Tabla1[[#This Row],[F]]*#REF!," ")</f>
        <v xml:space="preserve"> </v>
      </c>
      <c r="AK111" s="40" t="str">
        <f>IFERROR(#REF!*Tabla1[[#This Row],[D]]," ")</f>
        <v xml:space="preserve"> </v>
      </c>
      <c r="AL111" s="103"/>
      <c r="AM111" s="103"/>
      <c r="AN111" s="103"/>
      <c r="AO111" s="38">
        <f>+Tabla1[[#This Row],[COS.B+E]]+Tabla1[[#This Row],[COS.F1]]+Tabla1[[#This Row],[COS.D1]]+Tabla1[[#This Row],[ALIMENTACION]]+Tabla1[[#This Row],[PRESTAMO]]+AN111</f>
        <v>0</v>
      </c>
      <c r="AP111" s="38" t="e">
        <f>+#REF!+Tabla1[[#This Row],[COS F2]]+Tabla1[[#This Row],[COS D2]]+Tabla1[[#This Row],[ALIMENTACION]]+Tabla1[[#This Row],[PRESTAMO]]+Tabla1[[#This Row],[PASAJES]]</f>
        <v>#REF!</v>
      </c>
    </row>
    <row r="112" spans="1:42" x14ac:dyDescent="0.25">
      <c r="A112" s="2" t="str">
        <f>TEXT(Tabla1[[#This Row],[FECHA ]],"DDDDD")</f>
        <v>sábado</v>
      </c>
      <c r="B112" s="2" t="str">
        <f>_xlfn.IFNA(VLOOKUP(Tabla1[[#This Row],[DESTINO]],RUBRO!$Q$1:$R$9996,2,FALSE)," ")</f>
        <v>OBRA</v>
      </c>
      <c r="C112" s="104">
        <f>WEEKNUM(Tabla1[[#This Row],[FECHA ]],2)</f>
        <v>19</v>
      </c>
      <c r="D112" s="104" t="str">
        <f>TEXT(Tabla1[[#This Row],[FECHA ]],"MMM-YY")</f>
        <v>may-YY</v>
      </c>
      <c r="E112" s="104" t="str">
        <f>VLOOKUP(Tabla1[[#This Row],[DNI ]],RUBRO!$F$1:$O$9996,7,FALSE)</f>
        <v>5ta</v>
      </c>
      <c r="F112" s="104" t="str">
        <f>VLOOKUP(Tabla1[[#This Row],[DNI ]],RUBRO!$F$1:$O$88,3,FALSE)</f>
        <v>MEC-04</v>
      </c>
      <c r="G112" s="104" t="str">
        <f>VLOOKUP(Tabla1[[#This Row],[DNI ]],RUBRO!$F$1:$O$9996,5,FALSE)</f>
        <v>MECANICO MONTAJISTA DE MAQUINARIA EXTRANJERA</v>
      </c>
      <c r="H112" s="66" t="str">
        <f>VLOOKUP(Tabla1[[#This Row],[DNI ]],RUBRO!$F$1:$O$9996,6,FALSE)</f>
        <v>VARGAS TARRILLO GLOBER</v>
      </c>
      <c r="I112" s="94">
        <v>44324</v>
      </c>
      <c r="J112" s="10">
        <v>2</v>
      </c>
      <c r="K112" s="2">
        <v>43878459</v>
      </c>
      <c r="L112" s="4">
        <f>VLOOKUP(Tabla1[[#This Row],[DNI ]],RUBRO!$F$2:$O$9996,8,FALSE)</f>
        <v>79.78</v>
      </c>
      <c r="M112" s="88">
        <v>0.625</v>
      </c>
      <c r="N112" s="28"/>
      <c r="P112" s="28">
        <v>0.95833333333333337</v>
      </c>
      <c r="Q112" s="31">
        <f>(Tabla1[[#This Row],[SALIDA]]-Tabla1[[#This Row],[FIN ]])+(Tabla1[[#This Row],[INICIO]]-Tabla1[[#This Row],[INGRESO]])</f>
        <v>0.33333333333333337</v>
      </c>
      <c r="R112" s="13">
        <f t="shared" si="3"/>
        <v>0.33333333333333337</v>
      </c>
      <c r="S112" s="31">
        <f t="shared" si="4"/>
        <v>0</v>
      </c>
      <c r="T112" s="136"/>
      <c r="U112" s="136"/>
      <c r="V112" s="137">
        <f>(Tabla1[[#This Row],[COS.BASE 3]]*0.25+Tabla1[[#This Row],[COS.BASE 3]])*Tabla1[[#This Row],[HORAS 25 % ]]</f>
        <v>0</v>
      </c>
      <c r="W112" s="138">
        <f>(Tabla1[[#This Row],[COS.BASE 3]]*0.35+Tabla1[[#This Row],[COS.BASE 3]])*Tabla1[[#This Row],[HORAS 35% ]]</f>
        <v>0</v>
      </c>
      <c r="X112" s="138">
        <f>SUM(Tabla1[[#This Row],[C.HORA.35]],Tabla1[[#This Row],[C.HORA.25]])</f>
        <v>0</v>
      </c>
      <c r="Y112" s="4"/>
      <c r="Z112" s="10">
        <f>Tabla1[[#This Row],[T.HORAS]]*24</f>
        <v>8</v>
      </c>
      <c r="AA112" s="4">
        <f>Tabla1[[#This Row],[H.NORMALES]]*24</f>
        <v>8</v>
      </c>
      <c r="AB112" s="10">
        <f>Tabla1[[#This Row],[H.EXTRAS]]*24</f>
        <v>0</v>
      </c>
      <c r="AC112" s="105">
        <f t="shared" si="5"/>
        <v>79.78</v>
      </c>
      <c r="AD112" s="120">
        <f>Tabla1[[#This Row],[COS.BASE 2]]/8</f>
        <v>9.9725000000000001</v>
      </c>
      <c r="AE112" s="105">
        <f>Tabla1[[#This Row],[CST_H_E]]+Tabla1[[#This Row],[COS.BASE 2]]</f>
        <v>79.78</v>
      </c>
      <c r="AF112" s="106">
        <f>+_xlfn.IFNA(INDEX(RUBRO!$W$2:$AA$732,MATCH(Tabla1[[#This Row],[FECHA ]],RUBRO!$W$2:$W$732,0),5)," ")</f>
        <v>0</v>
      </c>
      <c r="AG112" s="10">
        <f>+_xlfn.IFNA(INDEX(RUBRO!$W$2:$AA$732,MATCH(Tabla1[[#This Row],[FECHA ]],RUBRO!$W$2:$W$732,0),2)," ")</f>
        <v>0</v>
      </c>
      <c r="AH112" s="40">
        <f>IFERROR(Tabla1[[#This Row],[F]]*Tabla1[[#This Row],[COS.B+E]]," ")</f>
        <v>0</v>
      </c>
      <c r="AI112" s="40">
        <f>IFERROR(Tabla1[[#This Row],[COS.B+E]]*Tabla1[[#This Row],[D]]," ")</f>
        <v>0</v>
      </c>
      <c r="AJ112" s="40" t="str">
        <f>IFERROR(Tabla1[[#This Row],[F]]*#REF!," ")</f>
        <v xml:space="preserve"> </v>
      </c>
      <c r="AK112" s="40" t="str">
        <f>IFERROR(#REF!*Tabla1[[#This Row],[D]]," ")</f>
        <v xml:space="preserve"> </v>
      </c>
      <c r="AL112" s="103"/>
      <c r="AM112" s="103"/>
      <c r="AN112" s="103"/>
      <c r="AO112" s="38">
        <f>+Tabla1[[#This Row],[COS.B+E]]+Tabla1[[#This Row],[COS.F1]]+Tabla1[[#This Row],[COS.D1]]+Tabla1[[#This Row],[ALIMENTACION]]+Tabla1[[#This Row],[PRESTAMO]]+AN112</f>
        <v>79.78</v>
      </c>
      <c r="AP112" s="38" t="e">
        <f>+#REF!+Tabla1[[#This Row],[COS F2]]+Tabla1[[#This Row],[COS D2]]+Tabla1[[#This Row],[ALIMENTACION]]+Tabla1[[#This Row],[PRESTAMO]]+Tabla1[[#This Row],[PASAJES]]</f>
        <v>#REF!</v>
      </c>
    </row>
    <row r="113" spans="1:42" x14ac:dyDescent="0.25">
      <c r="A113" s="2" t="str">
        <f>TEXT(Tabla1[[#This Row],[FECHA ]],"DDDDD")</f>
        <v>sábado</v>
      </c>
      <c r="B113" s="2" t="str">
        <f>_xlfn.IFNA(VLOOKUP(Tabla1[[#This Row],[DESTINO]],RUBRO!$Q$1:$R$9996,2,FALSE)," ")</f>
        <v>FALTA</v>
      </c>
      <c r="C113" s="104">
        <f>WEEKNUM(Tabla1[[#This Row],[FECHA ]],2)</f>
        <v>19</v>
      </c>
      <c r="D113" s="104" t="str">
        <f>TEXT(Tabla1[[#This Row],[FECHA ]],"MMM-YY")</f>
        <v>may-YY</v>
      </c>
      <c r="E113" s="104" t="str">
        <f>VLOOKUP(Tabla1[[#This Row],[DNI ]],RUBRO!$F$1:$O$9996,7,FALSE)</f>
        <v>5ta</v>
      </c>
      <c r="F113" s="104" t="str">
        <f>VLOOKUP(Tabla1[[#This Row],[DNI ]],RUBRO!$F$1:$O$88,3,FALSE)</f>
        <v>MEC-04</v>
      </c>
      <c r="G113" s="104" t="str">
        <f>VLOOKUP(Tabla1[[#This Row],[DNI ]],RUBRO!$F$1:$O$9996,5,FALSE)</f>
        <v>MECANICO MONTAJISTA DE MAQUINARIA EXTRANJERA</v>
      </c>
      <c r="H113" s="66" t="str">
        <f>VLOOKUP(Tabla1[[#This Row],[DNI ]],RUBRO!$F$1:$O$9996,6,FALSE)</f>
        <v>VARGAS TARRILLO OMAR ALEXANDER</v>
      </c>
      <c r="I113" s="94">
        <v>44324</v>
      </c>
      <c r="J113" s="10">
        <v>4</v>
      </c>
      <c r="K113" s="2">
        <v>46578402</v>
      </c>
      <c r="L113" s="4">
        <f>VLOOKUP(Tabla1[[#This Row],[DNI ]],RUBRO!$F$2:$O$9996,8,FALSE)</f>
        <v>103.42</v>
      </c>
      <c r="M113" s="88"/>
      <c r="N113" s="28"/>
      <c r="P113" s="28"/>
      <c r="Q113" s="31">
        <f>(Tabla1[[#This Row],[SALIDA]]-Tabla1[[#This Row],[FIN ]])+(Tabla1[[#This Row],[INICIO]]-Tabla1[[#This Row],[INGRESO]])</f>
        <v>0</v>
      </c>
      <c r="R113" s="13">
        <f t="shared" si="3"/>
        <v>0</v>
      </c>
      <c r="S113" s="31">
        <f t="shared" si="4"/>
        <v>0</v>
      </c>
      <c r="T113" s="136"/>
      <c r="U113" s="136"/>
      <c r="V113" s="137">
        <f>(Tabla1[[#This Row],[COS.BASE 3]]*0.25+Tabla1[[#This Row],[COS.BASE 3]])*Tabla1[[#This Row],[HORAS 25 % ]]</f>
        <v>0</v>
      </c>
      <c r="W113" s="138">
        <f>(Tabla1[[#This Row],[COS.BASE 3]]*0.35+Tabla1[[#This Row],[COS.BASE 3]])*Tabla1[[#This Row],[HORAS 35% ]]</f>
        <v>0</v>
      </c>
      <c r="X113" s="138">
        <f>SUM(Tabla1[[#This Row],[C.HORA.35]],Tabla1[[#This Row],[C.HORA.25]])</f>
        <v>0</v>
      </c>
      <c r="Y113" s="4"/>
      <c r="Z113" s="10">
        <f>Tabla1[[#This Row],[T.HORAS]]*24</f>
        <v>0</v>
      </c>
      <c r="AA113" s="4">
        <f>Tabla1[[#This Row],[H.NORMALES]]*24</f>
        <v>0</v>
      </c>
      <c r="AB113" s="10">
        <f>Tabla1[[#This Row],[H.EXTRAS]]*24</f>
        <v>0</v>
      </c>
      <c r="AC113" s="105">
        <f t="shared" si="5"/>
        <v>0</v>
      </c>
      <c r="AD113" s="120">
        <f>Tabla1[[#This Row],[COS.BASE 2]]/8</f>
        <v>0</v>
      </c>
      <c r="AE113" s="105">
        <f>Tabla1[[#This Row],[CST_H_E]]+Tabla1[[#This Row],[COS.BASE 2]]</f>
        <v>0</v>
      </c>
      <c r="AF113" s="106">
        <f>+_xlfn.IFNA(INDEX(RUBRO!$W$2:$AA$732,MATCH(Tabla1[[#This Row],[FECHA ]],RUBRO!$W$2:$W$732,0),5)," ")</f>
        <v>0</v>
      </c>
      <c r="AG113" s="10">
        <f>+_xlfn.IFNA(INDEX(RUBRO!$W$2:$AA$732,MATCH(Tabla1[[#This Row],[FECHA ]],RUBRO!$W$2:$W$732,0),2)," ")</f>
        <v>0</v>
      </c>
      <c r="AH113" s="40">
        <f>IFERROR(Tabla1[[#This Row],[F]]*Tabla1[[#This Row],[COS.B+E]]," ")</f>
        <v>0</v>
      </c>
      <c r="AI113" s="40">
        <f>IFERROR(Tabla1[[#This Row],[COS.B+E]]*Tabla1[[#This Row],[D]]," ")</f>
        <v>0</v>
      </c>
      <c r="AJ113" s="40" t="str">
        <f>IFERROR(Tabla1[[#This Row],[F]]*#REF!," ")</f>
        <v xml:space="preserve"> </v>
      </c>
      <c r="AK113" s="40" t="str">
        <f>IFERROR(#REF!*Tabla1[[#This Row],[D]]," ")</f>
        <v xml:space="preserve"> </v>
      </c>
      <c r="AL113" s="103"/>
      <c r="AM113" s="103"/>
      <c r="AN113" s="103"/>
      <c r="AO113" s="38">
        <f>+Tabla1[[#This Row],[COS.B+E]]+Tabla1[[#This Row],[COS.F1]]+Tabla1[[#This Row],[COS.D1]]+Tabla1[[#This Row],[ALIMENTACION]]+Tabla1[[#This Row],[PRESTAMO]]+AN113</f>
        <v>0</v>
      </c>
      <c r="AP113" s="38" t="e">
        <f>+#REF!+Tabla1[[#This Row],[COS F2]]+Tabla1[[#This Row],[COS D2]]+Tabla1[[#This Row],[ALIMENTACION]]+Tabla1[[#This Row],[PRESTAMO]]+Tabla1[[#This Row],[PASAJES]]</f>
        <v>#REF!</v>
      </c>
    </row>
    <row r="114" spans="1:42" x14ac:dyDescent="0.25">
      <c r="A114" s="2" t="str">
        <f>TEXT(Tabla1[[#This Row],[FECHA ]],"DDDDD")</f>
        <v>sábado</v>
      </c>
      <c r="B114" s="2" t="str">
        <f>_xlfn.IFNA(VLOOKUP(Tabla1[[#This Row],[DESTINO]],RUBRO!$Q$1:$R$9996,2,FALSE)," ")</f>
        <v>OBRA</v>
      </c>
      <c r="C114" s="104">
        <f>WEEKNUM(Tabla1[[#This Row],[FECHA ]],2)</f>
        <v>19</v>
      </c>
      <c r="D114" s="104" t="str">
        <f>TEXT(Tabla1[[#This Row],[FECHA ]],"MMM-YY")</f>
        <v>may-YY</v>
      </c>
      <c r="E114" s="104" t="str">
        <f>VLOOKUP(Tabla1[[#This Row],[DNI ]],RUBRO!$F$1:$O$9996,7,FALSE)</f>
        <v>5ta</v>
      </c>
      <c r="F114" s="104" t="e">
        <f>VLOOKUP(Tabla1[[#This Row],[DNI ]],RUBRO!$F$1:$O$88,3,FALSE)</f>
        <v>#N/A</v>
      </c>
      <c r="G114" s="104" t="str">
        <f>VLOOKUP(Tabla1[[#This Row],[DNI ]],RUBRO!$F$1:$O$9996,5,FALSE)</f>
        <v xml:space="preserve">PRACTICANTE </v>
      </c>
      <c r="H114" s="66" t="str">
        <f>VLOOKUP(Tabla1[[#This Row],[DNI ]],RUBRO!$F$1:$O$9996,6,FALSE)</f>
        <v>VASQUEZ CHUPILLON KEVIN</v>
      </c>
      <c r="I114" s="94">
        <v>44324</v>
      </c>
      <c r="J114" s="10">
        <v>2</v>
      </c>
      <c r="K114" s="2">
        <v>72814417</v>
      </c>
      <c r="L114" s="4">
        <f>VLOOKUP(Tabla1[[#This Row],[DNI ]],RUBRO!$F$2:$O$9996,8,FALSE)</f>
        <v>35.76</v>
      </c>
      <c r="M114" s="88">
        <v>0.29166666666666669</v>
      </c>
      <c r="N114" s="28">
        <v>0.54166666666666663</v>
      </c>
      <c r="O114" s="28">
        <v>0.58333333333333337</v>
      </c>
      <c r="P114" s="28">
        <v>0.70833333333333337</v>
      </c>
      <c r="Q114" s="31">
        <f>(Tabla1[[#This Row],[SALIDA]]-Tabla1[[#This Row],[FIN ]])+(Tabla1[[#This Row],[INICIO]]-Tabla1[[#This Row],[INGRESO]])</f>
        <v>0.37499999999999994</v>
      </c>
      <c r="R114" s="13">
        <f t="shared" si="3"/>
        <v>0.33333333333333331</v>
      </c>
      <c r="S114" s="31">
        <f t="shared" si="4"/>
        <v>4.166666666666663E-2</v>
      </c>
      <c r="T114" s="136"/>
      <c r="U114" s="136"/>
      <c r="V114" s="137">
        <f>(Tabla1[[#This Row],[COS.BASE 3]]*0.25+Tabla1[[#This Row],[COS.BASE 3]])*Tabla1[[#This Row],[HORAS 25 % ]]</f>
        <v>0</v>
      </c>
      <c r="W114" s="138">
        <f>(Tabla1[[#This Row],[COS.BASE 3]]*0.35+Tabla1[[#This Row],[COS.BASE 3]])*Tabla1[[#This Row],[HORAS 35% ]]</f>
        <v>0</v>
      </c>
      <c r="X114" s="138">
        <f>SUM(Tabla1[[#This Row],[C.HORA.35]],Tabla1[[#This Row],[C.HORA.25]])</f>
        <v>0</v>
      </c>
      <c r="Y114" s="4"/>
      <c r="Z114" s="10">
        <f>Tabla1[[#This Row],[T.HORAS]]*24</f>
        <v>8.9999999999999982</v>
      </c>
      <c r="AA114" s="4">
        <f>Tabla1[[#This Row],[H.NORMALES]]*24</f>
        <v>8</v>
      </c>
      <c r="AB114" s="10">
        <f>Tabla1[[#This Row],[H.EXTRAS]]*24</f>
        <v>0.99999999999999911</v>
      </c>
      <c r="AC114" s="105">
        <f t="shared" si="5"/>
        <v>35.76</v>
      </c>
      <c r="AD114" s="120">
        <f>Tabla1[[#This Row],[COS.BASE 2]]/8</f>
        <v>4.47</v>
      </c>
      <c r="AE114" s="105">
        <f>Tabla1[[#This Row],[CST_H_E]]+Tabla1[[#This Row],[COS.BASE 2]]</f>
        <v>35.76</v>
      </c>
      <c r="AF114" s="106">
        <f>+_xlfn.IFNA(INDEX(RUBRO!$W$2:$AA$732,MATCH(Tabla1[[#This Row],[FECHA ]],RUBRO!$W$2:$W$732,0),5)," ")</f>
        <v>0</v>
      </c>
      <c r="AG114" s="10">
        <f>+_xlfn.IFNA(INDEX(RUBRO!$W$2:$AA$732,MATCH(Tabla1[[#This Row],[FECHA ]],RUBRO!$W$2:$W$732,0),2)," ")</f>
        <v>0</v>
      </c>
      <c r="AH114" s="40">
        <f>IFERROR(Tabla1[[#This Row],[F]]*Tabla1[[#This Row],[COS.B+E]]," ")</f>
        <v>0</v>
      </c>
      <c r="AI114" s="40">
        <f>IFERROR(Tabla1[[#This Row],[COS.B+E]]*Tabla1[[#This Row],[D]]," ")</f>
        <v>0</v>
      </c>
      <c r="AJ114" s="40" t="str">
        <f>IFERROR(Tabla1[[#This Row],[F]]*#REF!," ")</f>
        <v xml:space="preserve"> </v>
      </c>
      <c r="AK114" s="40" t="str">
        <f>IFERROR(#REF!*Tabla1[[#This Row],[D]]," ")</f>
        <v xml:space="preserve"> </v>
      </c>
      <c r="AL114" s="103"/>
      <c r="AM114" s="103"/>
      <c r="AN114" s="103"/>
      <c r="AO114" s="38">
        <f>+Tabla1[[#This Row],[COS.B+E]]+Tabla1[[#This Row],[COS.F1]]+Tabla1[[#This Row],[COS.D1]]+Tabla1[[#This Row],[ALIMENTACION]]+Tabla1[[#This Row],[PRESTAMO]]+AN114</f>
        <v>35.76</v>
      </c>
      <c r="AP114" s="38" t="e">
        <f>+#REF!+Tabla1[[#This Row],[COS F2]]+Tabla1[[#This Row],[COS D2]]+Tabla1[[#This Row],[ALIMENTACION]]+Tabla1[[#This Row],[PRESTAMO]]+Tabla1[[#This Row],[PASAJES]]</f>
        <v>#REF!</v>
      </c>
    </row>
    <row r="115" spans="1:42" x14ac:dyDescent="0.25">
      <c r="A115" s="2" t="str">
        <f>TEXT(Tabla1[[#This Row],[FECHA ]],"DDDDD")</f>
        <v>sábado</v>
      </c>
      <c r="B115" s="2" t="str">
        <f>_xlfn.IFNA(VLOOKUP(Tabla1[[#This Row],[DESTINO]],RUBRO!$Q$1:$R$9996,2,FALSE)," ")</f>
        <v>OBRA</v>
      </c>
      <c r="C115" s="104">
        <f>WEEKNUM(Tabla1[[#This Row],[FECHA ]],2)</f>
        <v>19</v>
      </c>
      <c r="D115" s="104" t="str">
        <f>TEXT(Tabla1[[#This Row],[FECHA ]],"MMM-YY")</f>
        <v>may-YY</v>
      </c>
      <c r="E115" s="104" t="str">
        <f>VLOOKUP(Tabla1[[#This Row],[DNI ]],RUBRO!$F$1:$O$9996,7,FALSE)</f>
        <v>5ta</v>
      </c>
      <c r="F115" s="104" t="str">
        <f>VLOOKUP(Tabla1[[#This Row],[DNI ]],RUBRO!$F$1:$O$88,3,FALSE)</f>
        <v>MEC-04</v>
      </c>
      <c r="G115" s="104" t="str">
        <f>VLOOKUP(Tabla1[[#This Row],[DNI ]],RUBRO!$F$1:$O$9996,5,FALSE)</f>
        <v>MECANICO MONTAJISTA DE MAQUINARIA EXTRANJERA</v>
      </c>
      <c r="H115" s="66" t="str">
        <f>VLOOKUP(Tabla1[[#This Row],[DNI ]],RUBRO!$F$1:$O$9996,6,FALSE)</f>
        <v>VASQUEZ GAMBOA JUAN JOSE</v>
      </c>
      <c r="I115" s="94">
        <v>44324</v>
      </c>
      <c r="J115" s="10">
        <v>2</v>
      </c>
      <c r="K115" s="2">
        <v>45416906</v>
      </c>
      <c r="L115" s="4">
        <f>VLOOKUP(Tabla1[[#This Row],[DNI ]],RUBRO!$F$2:$O$9996,8,FALSE)</f>
        <v>87</v>
      </c>
      <c r="M115" s="88">
        <v>0.29166666666666669</v>
      </c>
      <c r="N115" s="28">
        <v>0.54166666666666663</v>
      </c>
      <c r="O115" s="28">
        <v>0.58333333333333337</v>
      </c>
      <c r="P115" s="28">
        <v>0.75</v>
      </c>
      <c r="Q115" s="31">
        <f>(Tabla1[[#This Row],[SALIDA]]-Tabla1[[#This Row],[FIN ]])+(Tabla1[[#This Row],[INICIO]]-Tabla1[[#This Row],[INGRESO]])</f>
        <v>0.41666666666666657</v>
      </c>
      <c r="R115" s="13">
        <f t="shared" si="3"/>
        <v>0.33333333333333331</v>
      </c>
      <c r="S115" s="31">
        <f t="shared" si="4"/>
        <v>8.3333333333333259E-2</v>
      </c>
      <c r="T115" s="136"/>
      <c r="U115" s="136"/>
      <c r="V115" s="137">
        <f>(Tabla1[[#This Row],[COS.BASE 3]]*0.25+Tabla1[[#This Row],[COS.BASE 3]])*Tabla1[[#This Row],[HORAS 25 % ]]</f>
        <v>0</v>
      </c>
      <c r="W115" s="138">
        <f>(Tabla1[[#This Row],[COS.BASE 3]]*0.35+Tabla1[[#This Row],[COS.BASE 3]])*Tabla1[[#This Row],[HORAS 35% ]]</f>
        <v>0</v>
      </c>
      <c r="X115" s="138">
        <f>SUM(Tabla1[[#This Row],[C.HORA.35]],Tabla1[[#This Row],[C.HORA.25]])</f>
        <v>0</v>
      </c>
      <c r="Y115" s="4"/>
      <c r="Z115" s="10">
        <f>Tabla1[[#This Row],[T.HORAS]]*24</f>
        <v>9.9999999999999982</v>
      </c>
      <c r="AA115" s="4">
        <f>Tabla1[[#This Row],[H.NORMALES]]*24</f>
        <v>8</v>
      </c>
      <c r="AB115" s="10">
        <f>Tabla1[[#This Row],[H.EXTRAS]]*24</f>
        <v>1.9999999999999982</v>
      </c>
      <c r="AC115" s="105">
        <f t="shared" si="5"/>
        <v>87</v>
      </c>
      <c r="AD115" s="120">
        <f>Tabla1[[#This Row],[COS.BASE 2]]/8</f>
        <v>10.875</v>
      </c>
      <c r="AE115" s="105">
        <f>Tabla1[[#This Row],[CST_H_E]]+Tabla1[[#This Row],[COS.BASE 2]]</f>
        <v>87</v>
      </c>
      <c r="AF115" s="106">
        <f>+_xlfn.IFNA(INDEX(RUBRO!$W$2:$AA$732,MATCH(Tabla1[[#This Row],[FECHA ]],RUBRO!$W$2:$W$732,0),5)," ")</f>
        <v>0</v>
      </c>
      <c r="AG115" s="10">
        <f>+_xlfn.IFNA(INDEX(RUBRO!$W$2:$AA$732,MATCH(Tabla1[[#This Row],[FECHA ]],RUBRO!$W$2:$W$732,0),2)," ")</f>
        <v>0</v>
      </c>
      <c r="AH115" s="40">
        <f>IFERROR(Tabla1[[#This Row],[F]]*Tabla1[[#This Row],[COS.B+E]]," ")</f>
        <v>0</v>
      </c>
      <c r="AI115" s="40">
        <f>IFERROR(Tabla1[[#This Row],[COS.B+E]]*Tabla1[[#This Row],[D]]," ")</f>
        <v>0</v>
      </c>
      <c r="AJ115" s="40" t="str">
        <f>IFERROR(Tabla1[[#This Row],[F]]*#REF!," ")</f>
        <v xml:space="preserve"> </v>
      </c>
      <c r="AK115" s="40" t="str">
        <f>IFERROR(#REF!*Tabla1[[#This Row],[D]]," ")</f>
        <v xml:space="preserve"> </v>
      </c>
      <c r="AL115" s="103"/>
      <c r="AM115" s="103"/>
      <c r="AN115" s="103"/>
      <c r="AO115" s="38">
        <f>+Tabla1[[#This Row],[COS.B+E]]+Tabla1[[#This Row],[COS.F1]]+Tabla1[[#This Row],[COS.D1]]+Tabla1[[#This Row],[ALIMENTACION]]+Tabla1[[#This Row],[PRESTAMO]]+AN115</f>
        <v>87</v>
      </c>
      <c r="AP115" s="38" t="e">
        <f>+#REF!+Tabla1[[#This Row],[COS F2]]+Tabla1[[#This Row],[COS D2]]+Tabla1[[#This Row],[ALIMENTACION]]+Tabla1[[#This Row],[PRESTAMO]]+Tabla1[[#This Row],[PASAJES]]</f>
        <v>#REF!</v>
      </c>
    </row>
    <row r="116" spans="1:42" x14ac:dyDescent="0.25">
      <c r="A116" s="2" t="str">
        <f>TEXT(Tabla1[[#This Row],[FECHA ]],"DDDDD")</f>
        <v>sábado</v>
      </c>
      <c r="B116" s="2" t="str">
        <f>_xlfn.IFNA(VLOOKUP(Tabla1[[#This Row],[DESTINO]],RUBRO!$Q$1:$R$9996,2,FALSE)," ")</f>
        <v>OBRA</v>
      </c>
      <c r="C116" s="104">
        <f>WEEKNUM(Tabla1[[#This Row],[FECHA ]],2)</f>
        <v>19</v>
      </c>
      <c r="D116" s="104" t="str">
        <f>TEXT(Tabla1[[#This Row],[FECHA ]],"MMM-YY")</f>
        <v>may-YY</v>
      </c>
      <c r="E116" s="104" t="str">
        <f>VLOOKUP(Tabla1[[#This Row],[DNI ]],RUBRO!$F$1:$O$9996,7,FALSE)</f>
        <v>5ta</v>
      </c>
      <c r="F116" s="104" t="str">
        <f>VLOOKUP(Tabla1[[#This Row],[DNI ]],RUBRO!$F$1:$O$88,3,FALSE)</f>
        <v>TEC-04</v>
      </c>
      <c r="G116" s="104" t="str">
        <f>VLOOKUP(Tabla1[[#This Row],[DNI ]],RUBRO!$F$1:$O$9996,5,FALSE)</f>
        <v>TECNICO MECANICO MONTAJISTA DE MAQUINARIA EXTRANJERA</v>
      </c>
      <c r="H116" s="66" t="str">
        <f>VLOOKUP(Tabla1[[#This Row],[DNI ]],RUBRO!$F$1:$O$9996,6,FALSE)</f>
        <v>VASQUEZ TARRILLO LUIS</v>
      </c>
      <c r="I116" s="94">
        <v>44324</v>
      </c>
      <c r="J116" s="10">
        <v>2</v>
      </c>
      <c r="K116" s="2">
        <v>44044783</v>
      </c>
      <c r="L116" s="4">
        <f>VLOOKUP(Tabla1[[#This Row],[DNI ]],RUBRO!$F$2:$O$9996,8,FALSE)</f>
        <v>70.92</v>
      </c>
      <c r="M116" s="88">
        <v>0.29166666666666669</v>
      </c>
      <c r="N116" s="28">
        <v>0.54166666666666663</v>
      </c>
      <c r="O116" s="28">
        <v>0.58333333333333337</v>
      </c>
      <c r="P116" s="28">
        <v>0.70833333333333337</v>
      </c>
      <c r="Q116" s="31">
        <f>(Tabla1[[#This Row],[SALIDA]]-Tabla1[[#This Row],[FIN ]])+(Tabla1[[#This Row],[INICIO]]-Tabla1[[#This Row],[INGRESO]])</f>
        <v>0.37499999999999994</v>
      </c>
      <c r="R116" s="13">
        <f t="shared" si="3"/>
        <v>0.33333333333333331</v>
      </c>
      <c r="S116" s="31">
        <f t="shared" si="4"/>
        <v>4.166666666666663E-2</v>
      </c>
      <c r="T116" s="136"/>
      <c r="U116" s="136"/>
      <c r="V116" s="137">
        <f>(Tabla1[[#This Row],[COS.BASE 3]]*0.25+Tabla1[[#This Row],[COS.BASE 3]])*Tabla1[[#This Row],[HORAS 25 % ]]</f>
        <v>0</v>
      </c>
      <c r="W116" s="138">
        <f>(Tabla1[[#This Row],[COS.BASE 3]]*0.35+Tabla1[[#This Row],[COS.BASE 3]])*Tabla1[[#This Row],[HORAS 35% ]]</f>
        <v>0</v>
      </c>
      <c r="X116" s="138">
        <f>SUM(Tabla1[[#This Row],[C.HORA.35]],Tabla1[[#This Row],[C.HORA.25]])</f>
        <v>0</v>
      </c>
      <c r="Y116" s="4"/>
      <c r="Z116" s="10">
        <f>Tabla1[[#This Row],[T.HORAS]]*24</f>
        <v>8.9999999999999982</v>
      </c>
      <c r="AA116" s="4">
        <f>Tabla1[[#This Row],[H.NORMALES]]*24</f>
        <v>8</v>
      </c>
      <c r="AB116" s="10">
        <f>Tabla1[[#This Row],[H.EXTRAS]]*24</f>
        <v>0.99999999999999911</v>
      </c>
      <c r="AC116" s="105">
        <f t="shared" si="5"/>
        <v>70.92</v>
      </c>
      <c r="AD116" s="120">
        <f>Tabla1[[#This Row],[COS.BASE 2]]/8</f>
        <v>8.8650000000000002</v>
      </c>
      <c r="AE116" s="105">
        <f>Tabla1[[#This Row],[CST_H_E]]+Tabla1[[#This Row],[COS.BASE 2]]</f>
        <v>70.92</v>
      </c>
      <c r="AF116" s="106">
        <f>+_xlfn.IFNA(INDEX(RUBRO!$W$2:$AA$732,MATCH(Tabla1[[#This Row],[FECHA ]],RUBRO!$W$2:$W$732,0),5)," ")</f>
        <v>0</v>
      </c>
      <c r="AG116" s="10">
        <f>+_xlfn.IFNA(INDEX(RUBRO!$W$2:$AA$732,MATCH(Tabla1[[#This Row],[FECHA ]],RUBRO!$W$2:$W$732,0),2)," ")</f>
        <v>0</v>
      </c>
      <c r="AH116" s="40">
        <f>IFERROR(Tabla1[[#This Row],[F]]*Tabla1[[#This Row],[COS.B+E]]," ")</f>
        <v>0</v>
      </c>
      <c r="AI116" s="40">
        <f>IFERROR(Tabla1[[#This Row],[COS.B+E]]*Tabla1[[#This Row],[D]]," ")</f>
        <v>0</v>
      </c>
      <c r="AJ116" s="40" t="str">
        <f>IFERROR(Tabla1[[#This Row],[F]]*#REF!," ")</f>
        <v xml:space="preserve"> </v>
      </c>
      <c r="AK116" s="40" t="str">
        <f>IFERROR(#REF!*Tabla1[[#This Row],[D]]," ")</f>
        <v xml:space="preserve"> </v>
      </c>
      <c r="AL116" s="103"/>
      <c r="AM116" s="103"/>
      <c r="AN116" s="103"/>
      <c r="AO116" s="38">
        <f>+Tabla1[[#This Row],[COS.B+E]]+Tabla1[[#This Row],[COS.F1]]+Tabla1[[#This Row],[COS.D1]]+Tabla1[[#This Row],[ALIMENTACION]]+Tabla1[[#This Row],[PRESTAMO]]+AN116</f>
        <v>70.92</v>
      </c>
      <c r="AP116" s="38" t="e">
        <f>+#REF!+Tabla1[[#This Row],[COS F2]]+Tabla1[[#This Row],[COS D2]]+Tabla1[[#This Row],[ALIMENTACION]]+Tabla1[[#This Row],[PRESTAMO]]+Tabla1[[#This Row],[PASAJES]]</f>
        <v>#REF!</v>
      </c>
    </row>
    <row r="117" spans="1:42" x14ac:dyDescent="0.25">
      <c r="A117" s="2" t="str">
        <f>TEXT(Tabla1[[#This Row],[FECHA ]],"DDDDD")</f>
        <v>sábado</v>
      </c>
      <c r="B117" s="2" t="str">
        <f>_xlfn.IFNA(VLOOKUP(Tabla1[[#This Row],[DESTINO]],RUBRO!$Q$1:$R$9996,2,FALSE)," ")</f>
        <v>OBRA</v>
      </c>
      <c r="C117" s="104">
        <f>WEEKNUM(Tabla1[[#This Row],[FECHA ]],2)</f>
        <v>19</v>
      </c>
      <c r="D117" s="104" t="str">
        <f>TEXT(Tabla1[[#This Row],[FECHA ]],"MMM-YY")</f>
        <v>may-YY</v>
      </c>
      <c r="E117" s="104" t="str">
        <f>VLOOKUP(Tabla1[[#This Row],[DNI ]],RUBRO!$F$1:$O$9996,7,FALSE)</f>
        <v>5ta</v>
      </c>
      <c r="F117" s="104" t="str">
        <f>VLOOKUP(Tabla1[[#This Row],[DNI ]],RUBRO!$F$1:$O$88,3,FALSE)</f>
        <v>MAEME-03</v>
      </c>
      <c r="G117" s="104" t="str">
        <f>VLOOKUP(Tabla1[[#This Row],[DNI ]],RUBRO!$F$1:$O$9996,5,FALSE)</f>
        <v>MAESTRO ELECTRICO MONTAJISTA DE MAQUINARIA EXTRANJERA</v>
      </c>
      <c r="H117" s="66" t="str">
        <f>VLOOKUP(Tabla1[[#This Row],[DNI ]],RUBRO!$F$1:$O$9996,6,FALSE)</f>
        <v xml:space="preserve">VELASQUEZ LIZA JOSE ROGELIO </v>
      </c>
      <c r="I117" s="94">
        <v>44324</v>
      </c>
      <c r="J117" s="10">
        <v>2</v>
      </c>
      <c r="K117" s="2">
        <v>44685832</v>
      </c>
      <c r="L117" s="4">
        <f>VLOOKUP(Tabla1[[#This Row],[DNI ]],RUBRO!$F$2:$O$9996,8,FALSE)</f>
        <v>88.47</v>
      </c>
      <c r="M117" s="88">
        <v>0.29166666666666669</v>
      </c>
      <c r="N117" s="28">
        <v>0.54166666666666663</v>
      </c>
      <c r="O117" s="28">
        <v>0.58333333333333337</v>
      </c>
      <c r="P117" s="28">
        <v>0.75</v>
      </c>
      <c r="Q117" s="31">
        <f>(Tabla1[[#This Row],[SALIDA]]-Tabla1[[#This Row],[FIN ]])+(Tabla1[[#This Row],[INICIO]]-Tabla1[[#This Row],[INGRESO]])</f>
        <v>0.41666666666666657</v>
      </c>
      <c r="R117" s="13">
        <f t="shared" si="3"/>
        <v>0.33333333333333331</v>
      </c>
      <c r="S117" s="31">
        <f t="shared" si="4"/>
        <v>8.3333333333333259E-2</v>
      </c>
      <c r="T117" s="136"/>
      <c r="U117" s="136"/>
      <c r="V117" s="137">
        <f>(Tabla1[[#This Row],[COS.BASE 3]]*0.25+Tabla1[[#This Row],[COS.BASE 3]])*Tabla1[[#This Row],[HORAS 25 % ]]</f>
        <v>0</v>
      </c>
      <c r="W117" s="138">
        <f>(Tabla1[[#This Row],[COS.BASE 3]]*0.35+Tabla1[[#This Row],[COS.BASE 3]])*Tabla1[[#This Row],[HORAS 35% ]]</f>
        <v>0</v>
      </c>
      <c r="X117" s="138">
        <f>SUM(Tabla1[[#This Row],[C.HORA.35]],Tabla1[[#This Row],[C.HORA.25]])</f>
        <v>0</v>
      </c>
      <c r="Y117" s="4"/>
      <c r="Z117" s="10">
        <f>Tabla1[[#This Row],[T.HORAS]]*24</f>
        <v>9.9999999999999982</v>
      </c>
      <c r="AA117" s="4">
        <f>Tabla1[[#This Row],[H.NORMALES]]*24</f>
        <v>8</v>
      </c>
      <c r="AB117" s="10">
        <f>Tabla1[[#This Row],[H.EXTRAS]]*24</f>
        <v>1.9999999999999982</v>
      </c>
      <c r="AC117" s="105">
        <f t="shared" si="5"/>
        <v>88.47</v>
      </c>
      <c r="AD117" s="120">
        <f>Tabla1[[#This Row],[COS.BASE 2]]/8</f>
        <v>11.05875</v>
      </c>
      <c r="AE117" s="105">
        <f>Tabla1[[#This Row],[CST_H_E]]+Tabla1[[#This Row],[COS.BASE 2]]</f>
        <v>88.47</v>
      </c>
      <c r="AF117" s="106">
        <f>+_xlfn.IFNA(INDEX(RUBRO!$W$2:$AA$732,MATCH(Tabla1[[#This Row],[FECHA ]],RUBRO!$W$2:$W$732,0),5)," ")</f>
        <v>0</v>
      </c>
      <c r="AG117" s="10">
        <f>+_xlfn.IFNA(INDEX(RUBRO!$W$2:$AA$732,MATCH(Tabla1[[#This Row],[FECHA ]],RUBRO!$W$2:$W$732,0),2)," ")</f>
        <v>0</v>
      </c>
      <c r="AH117" s="40">
        <f>IFERROR(Tabla1[[#This Row],[F]]*Tabla1[[#This Row],[COS.B+E]]," ")</f>
        <v>0</v>
      </c>
      <c r="AI117" s="40">
        <f>IFERROR(Tabla1[[#This Row],[COS.B+E]]*Tabla1[[#This Row],[D]]," ")</f>
        <v>0</v>
      </c>
      <c r="AJ117" s="40" t="str">
        <f>IFERROR(Tabla1[[#This Row],[F]]*#REF!," ")</f>
        <v xml:space="preserve"> </v>
      </c>
      <c r="AK117" s="40" t="str">
        <f>IFERROR(#REF!*Tabla1[[#This Row],[D]]," ")</f>
        <v xml:space="preserve"> </v>
      </c>
      <c r="AL117" s="103"/>
      <c r="AM117" s="103"/>
      <c r="AN117" s="103"/>
      <c r="AO117" s="38">
        <f>+Tabla1[[#This Row],[COS.B+E]]+Tabla1[[#This Row],[COS.F1]]+Tabla1[[#This Row],[COS.D1]]+Tabla1[[#This Row],[ALIMENTACION]]+Tabla1[[#This Row],[PRESTAMO]]+AN117</f>
        <v>88.47</v>
      </c>
      <c r="AP117" s="38" t="e">
        <f>+#REF!+Tabla1[[#This Row],[COS F2]]+Tabla1[[#This Row],[COS D2]]+Tabla1[[#This Row],[ALIMENTACION]]+Tabla1[[#This Row],[PRESTAMO]]+Tabla1[[#This Row],[PASAJES]]</f>
        <v>#REF!</v>
      </c>
    </row>
    <row r="118" spans="1:42" x14ac:dyDescent="0.25">
      <c r="A118" s="2" t="str">
        <f>TEXT(Tabla1[[#This Row],[FECHA ]],"DDDDD")</f>
        <v>sábado</v>
      </c>
      <c r="B118" s="2" t="str">
        <f>_xlfn.IFNA(VLOOKUP(Tabla1[[#This Row],[DESTINO]],RUBRO!$Q$1:$R$9996,2,FALSE)," ")</f>
        <v>PLANTA</v>
      </c>
      <c r="C118" s="104">
        <f>WEEKNUM(Tabla1[[#This Row],[FECHA ]],2)</f>
        <v>19</v>
      </c>
      <c r="D118" s="104" t="str">
        <f>TEXT(Tabla1[[#This Row],[FECHA ]],"MMM-YY")</f>
        <v>may-YY</v>
      </c>
      <c r="E118" s="104" t="str">
        <f>VLOOKUP(Tabla1[[#This Row],[DNI ]],RUBRO!$F$1:$O$9996,7,FALSE)</f>
        <v>5ta</v>
      </c>
      <c r="F118" s="104" t="str">
        <f>VLOOKUP(Tabla1[[#This Row],[DNI ]],RUBRO!$F$1:$O$88,3,FALSE)</f>
        <v>TEC-05</v>
      </c>
      <c r="G118" s="104" t="str">
        <f>VLOOKUP(Tabla1[[#This Row],[DNI ]],RUBRO!$F$1:$O$9996,5,FALSE)</f>
        <v>TECNICO MECANICO MONTAJISTA DE NAVE INDUSTRIAL</v>
      </c>
      <c r="H118" s="66" t="str">
        <f>VLOOKUP(Tabla1[[#This Row],[DNI ]],RUBRO!$F$1:$O$9996,6,FALSE)</f>
        <v>VENTURA CUBAS ALEXANDER JOHAN</v>
      </c>
      <c r="I118" s="94">
        <v>44324</v>
      </c>
      <c r="J118" s="10">
        <v>1</v>
      </c>
      <c r="K118" s="2">
        <v>47749907</v>
      </c>
      <c r="L118" s="4">
        <f>VLOOKUP(Tabla1[[#This Row],[DNI ]],RUBRO!$F$2:$O$9996,8,FALSE)</f>
        <v>80</v>
      </c>
      <c r="M118" s="88">
        <v>0.29166666666666669</v>
      </c>
      <c r="N118" s="28"/>
      <c r="P118" s="28">
        <v>0.58333333333333337</v>
      </c>
      <c r="Q118" s="31">
        <f>(Tabla1[[#This Row],[SALIDA]]-Tabla1[[#This Row],[FIN ]])+(Tabla1[[#This Row],[INICIO]]-Tabla1[[#This Row],[INGRESO]])</f>
        <v>0.29166666666666669</v>
      </c>
      <c r="R118" s="13">
        <f t="shared" si="3"/>
        <v>0.29166666666666669</v>
      </c>
      <c r="S118" s="31">
        <f t="shared" si="4"/>
        <v>0</v>
      </c>
      <c r="T118" s="136"/>
      <c r="U118" s="136"/>
      <c r="V118" s="137">
        <f>(Tabla1[[#This Row],[COS.BASE 3]]*0.25+Tabla1[[#This Row],[COS.BASE 3]])*Tabla1[[#This Row],[HORAS 25 % ]]</f>
        <v>0</v>
      </c>
      <c r="W118" s="138">
        <f>(Tabla1[[#This Row],[COS.BASE 3]]*0.35+Tabla1[[#This Row],[COS.BASE 3]])*Tabla1[[#This Row],[HORAS 35% ]]</f>
        <v>0</v>
      </c>
      <c r="X118" s="138">
        <f>SUM(Tabla1[[#This Row],[C.HORA.35]],Tabla1[[#This Row],[C.HORA.25]])</f>
        <v>0</v>
      </c>
      <c r="Y118" s="4"/>
      <c r="Z118" s="10">
        <f>Tabla1[[#This Row],[T.HORAS]]*24</f>
        <v>7</v>
      </c>
      <c r="AA118" s="4">
        <f>Tabla1[[#This Row],[H.NORMALES]]*24</f>
        <v>7</v>
      </c>
      <c r="AB118" s="10">
        <f>Tabla1[[#This Row],[H.EXTRAS]]*24</f>
        <v>0</v>
      </c>
      <c r="AC118" s="105">
        <f t="shared" si="5"/>
        <v>62.222222222222229</v>
      </c>
      <c r="AD118" s="120">
        <f>Tabla1[[#This Row],[COS.BASE 2]]/8</f>
        <v>7.7777777777777786</v>
      </c>
      <c r="AE118" s="105">
        <f>Tabla1[[#This Row],[CST_H_E]]+Tabla1[[#This Row],[COS.BASE 2]]</f>
        <v>62.222222222222229</v>
      </c>
      <c r="AF118" s="106">
        <f>+_xlfn.IFNA(INDEX(RUBRO!$W$2:$AA$732,MATCH(Tabla1[[#This Row],[FECHA ]],RUBRO!$W$2:$W$732,0),5)," ")</f>
        <v>0</v>
      </c>
      <c r="AG118" s="10">
        <f>+_xlfn.IFNA(INDEX(RUBRO!$W$2:$AA$732,MATCH(Tabla1[[#This Row],[FECHA ]],RUBRO!$W$2:$W$732,0),2)," ")</f>
        <v>0</v>
      </c>
      <c r="AH118" s="40">
        <f>IFERROR(Tabla1[[#This Row],[F]]*Tabla1[[#This Row],[COS.B+E]]," ")</f>
        <v>0</v>
      </c>
      <c r="AI118" s="40">
        <f>IFERROR(Tabla1[[#This Row],[COS.B+E]]*Tabla1[[#This Row],[D]]," ")</f>
        <v>0</v>
      </c>
      <c r="AJ118" s="40" t="str">
        <f>IFERROR(Tabla1[[#This Row],[F]]*#REF!," ")</f>
        <v xml:space="preserve"> </v>
      </c>
      <c r="AK118" s="40" t="str">
        <f>IFERROR(#REF!*Tabla1[[#This Row],[D]]," ")</f>
        <v xml:space="preserve"> </v>
      </c>
      <c r="AL118" s="103"/>
      <c r="AM118" s="103"/>
      <c r="AN118" s="103"/>
      <c r="AO118" s="38">
        <f>+Tabla1[[#This Row],[COS.B+E]]+Tabla1[[#This Row],[COS.F1]]+Tabla1[[#This Row],[COS.D1]]+Tabla1[[#This Row],[ALIMENTACION]]+Tabla1[[#This Row],[PRESTAMO]]+AN118</f>
        <v>62.222222222222229</v>
      </c>
      <c r="AP118" s="38" t="e">
        <f>+#REF!+Tabla1[[#This Row],[COS F2]]+Tabla1[[#This Row],[COS D2]]+Tabla1[[#This Row],[ALIMENTACION]]+Tabla1[[#This Row],[PRESTAMO]]+Tabla1[[#This Row],[PASAJES]]</f>
        <v>#REF!</v>
      </c>
    </row>
    <row r="119" spans="1:42" x14ac:dyDescent="0.25">
      <c r="A119" s="2" t="str">
        <f>TEXT(Tabla1[[#This Row],[FECHA ]],"DDDDD")</f>
        <v>sábado</v>
      </c>
      <c r="B119" s="2" t="str">
        <f>_xlfn.IFNA(VLOOKUP(Tabla1[[#This Row],[DESTINO]],RUBRO!$Q$1:$R$9996,2,FALSE)," ")</f>
        <v>OBRA</v>
      </c>
      <c r="C119" s="104">
        <f>WEEKNUM(Tabla1[[#This Row],[FECHA ]],2)</f>
        <v>19</v>
      </c>
      <c r="D119" s="104" t="str">
        <f>TEXT(Tabla1[[#This Row],[FECHA ]],"MMM-YY")</f>
        <v>may-YY</v>
      </c>
      <c r="E119" s="104" t="str">
        <f>VLOOKUP(Tabla1[[#This Row],[DNI ]],RUBRO!$F$1:$O$9996,7,FALSE)</f>
        <v>5ta</v>
      </c>
      <c r="F119" s="104" t="str">
        <f>VLOOKUP(Tabla1[[#This Row],[DNI ]],RUBRO!$F$1:$O$88,3,FALSE)</f>
        <v>MAE-08</v>
      </c>
      <c r="G119" s="104" t="str">
        <f>VLOOKUP(Tabla1[[#This Row],[DNI ]],RUBRO!$F$1:$O$9996,5,FALSE)</f>
        <v>MAESTRO PINTOR</v>
      </c>
      <c r="H119" s="66" t="str">
        <f>VLOOKUP(Tabla1[[#This Row],[DNI ]],RUBRO!$F$1:$O$9996,6,FALSE)</f>
        <v>ZETA DELGADO DERWIS YENNER</v>
      </c>
      <c r="I119" s="94">
        <v>44324</v>
      </c>
      <c r="J119" s="10">
        <v>2</v>
      </c>
      <c r="K119" s="2">
        <v>46859101</v>
      </c>
      <c r="L119" s="4">
        <f>VLOOKUP(Tabla1[[#This Row],[DNI ]],RUBRO!$F$2:$O$9996,8,FALSE)</f>
        <v>70</v>
      </c>
      <c r="M119" s="88">
        <v>0.29166666666666669</v>
      </c>
      <c r="N119" s="28"/>
      <c r="P119" s="28">
        <v>0.5</v>
      </c>
      <c r="Q119" s="31">
        <f>(Tabla1[[#This Row],[SALIDA]]-Tabla1[[#This Row],[FIN ]])+(Tabla1[[#This Row],[INICIO]]-Tabla1[[#This Row],[INGRESO]])</f>
        <v>0.20833333333333331</v>
      </c>
      <c r="R119" s="13">
        <f t="shared" si="3"/>
        <v>0.20833333333333331</v>
      </c>
      <c r="S119" s="31">
        <f t="shared" si="4"/>
        <v>0</v>
      </c>
      <c r="T119" s="136"/>
      <c r="U119" s="136"/>
      <c r="V119" s="137">
        <f>(Tabla1[[#This Row],[COS.BASE 3]]*0.25+Tabla1[[#This Row],[COS.BASE 3]])*Tabla1[[#This Row],[HORAS 25 % ]]</f>
        <v>0</v>
      </c>
      <c r="W119" s="138">
        <f>(Tabla1[[#This Row],[COS.BASE 3]]*0.35+Tabla1[[#This Row],[COS.BASE 3]])*Tabla1[[#This Row],[HORAS 35% ]]</f>
        <v>0</v>
      </c>
      <c r="X119" s="138">
        <f>SUM(Tabla1[[#This Row],[C.HORA.35]],Tabla1[[#This Row],[C.HORA.25]])</f>
        <v>0</v>
      </c>
      <c r="Y119" s="4"/>
      <c r="Z119" s="10">
        <f>Tabla1[[#This Row],[T.HORAS]]*24</f>
        <v>5</v>
      </c>
      <c r="AA119" s="4">
        <f>Tabla1[[#This Row],[H.NORMALES]]*24</f>
        <v>5</v>
      </c>
      <c r="AB119" s="10">
        <f>Tabla1[[#This Row],[H.EXTRAS]]*24</f>
        <v>0</v>
      </c>
      <c r="AC119" s="105">
        <f t="shared" si="5"/>
        <v>43.75</v>
      </c>
      <c r="AD119" s="120">
        <f>Tabla1[[#This Row],[COS.BASE 2]]/8</f>
        <v>5.46875</v>
      </c>
      <c r="AE119" s="105">
        <f>Tabla1[[#This Row],[CST_H_E]]+Tabla1[[#This Row],[COS.BASE 2]]</f>
        <v>43.75</v>
      </c>
      <c r="AF119" s="106">
        <f>+_xlfn.IFNA(INDEX(RUBRO!$W$2:$AA$732,MATCH(Tabla1[[#This Row],[FECHA ]],RUBRO!$W$2:$W$732,0),5)," ")</f>
        <v>0</v>
      </c>
      <c r="AG119" s="10">
        <f>+_xlfn.IFNA(INDEX(RUBRO!$W$2:$AA$732,MATCH(Tabla1[[#This Row],[FECHA ]],RUBRO!$W$2:$W$732,0),2)," ")</f>
        <v>0</v>
      </c>
      <c r="AH119" s="40">
        <f>IFERROR(Tabla1[[#This Row],[F]]*Tabla1[[#This Row],[COS.B+E]]," ")</f>
        <v>0</v>
      </c>
      <c r="AI119" s="40">
        <f>IFERROR(Tabla1[[#This Row],[COS.B+E]]*Tabla1[[#This Row],[D]]," ")</f>
        <v>0</v>
      </c>
      <c r="AJ119" s="40" t="str">
        <f>IFERROR(Tabla1[[#This Row],[F]]*#REF!," ")</f>
        <v xml:space="preserve"> </v>
      </c>
      <c r="AK119" s="40" t="str">
        <f>IFERROR(#REF!*Tabla1[[#This Row],[D]]," ")</f>
        <v xml:space="preserve"> </v>
      </c>
      <c r="AL119" s="103"/>
      <c r="AM119" s="103"/>
      <c r="AN119" s="103"/>
      <c r="AO119" s="38">
        <f>+Tabla1[[#This Row],[COS.B+E]]+Tabla1[[#This Row],[COS.F1]]+Tabla1[[#This Row],[COS.D1]]+Tabla1[[#This Row],[ALIMENTACION]]+Tabla1[[#This Row],[PRESTAMO]]+AN119</f>
        <v>43.75</v>
      </c>
      <c r="AP119" s="38" t="e">
        <f>+#REF!+Tabla1[[#This Row],[COS F2]]+Tabla1[[#This Row],[COS D2]]+Tabla1[[#This Row],[ALIMENTACION]]+Tabla1[[#This Row],[PRESTAMO]]+Tabla1[[#This Row],[PASAJES]]</f>
        <v>#REF!</v>
      </c>
    </row>
    <row r="120" spans="1:42" x14ac:dyDescent="0.25">
      <c r="A120" s="2" t="str">
        <f>TEXT(Tabla1[[#This Row],[FECHA ]],"DDDDD")</f>
        <v>domingo</v>
      </c>
      <c r="B120" s="2" t="str">
        <f>_xlfn.IFNA(VLOOKUP(Tabla1[[#This Row],[DESTINO]],RUBRO!$Q$1:$R$9996,2,FALSE)," ")</f>
        <v>DESCANSO</v>
      </c>
      <c r="C120" s="104">
        <f>WEEKNUM(Tabla1[[#This Row],[FECHA ]],2)</f>
        <v>19</v>
      </c>
      <c r="D120" s="104" t="str">
        <f>TEXT(Tabla1[[#This Row],[FECHA ]],"MMM-YY")</f>
        <v>may-YY</v>
      </c>
      <c r="E120" s="104" t="str">
        <f>VLOOKUP(Tabla1[[#This Row],[DNI ]],RUBRO!$F$1:$O$9996,7,FALSE)</f>
        <v>5ta</v>
      </c>
      <c r="F120" s="104" t="str">
        <f>VLOOKUP(Tabla1[[#This Row],[DNI ]],RUBRO!$F$1:$O$88,3,FALSE)</f>
        <v>TEC-02</v>
      </c>
      <c r="G120" s="104" t="str">
        <f>VLOOKUP(Tabla1[[#This Row],[DNI ]],RUBRO!$F$1:$O$9996,5,FALSE)</f>
        <v>TECNICO MECANICO MONTAJISTA DE MAQUINARIA</v>
      </c>
      <c r="H120" s="66" t="str">
        <f>VLOOKUP(Tabla1[[#This Row],[DNI ]],RUBRO!$F$1:$O$9996,6,FALSE)</f>
        <v>ALVAREZ ALVINES JUAN MANUEL</v>
      </c>
      <c r="I120" s="94">
        <v>44325</v>
      </c>
      <c r="J120" s="10">
        <v>3</v>
      </c>
      <c r="K120" s="2">
        <v>46108491</v>
      </c>
      <c r="L120" s="4">
        <f>VLOOKUP(Tabla1[[#This Row],[DNI ]],RUBRO!$F$2:$O$9996,8,FALSE)</f>
        <v>50</v>
      </c>
      <c r="M120" s="88"/>
      <c r="N120" s="28"/>
      <c r="P120" s="28"/>
      <c r="Q120" s="31">
        <f>(Tabla1[[#This Row],[SALIDA]]-Tabla1[[#This Row],[FIN ]])+(Tabla1[[#This Row],[INICIO]]-Tabla1[[#This Row],[INGRESO]])</f>
        <v>0</v>
      </c>
      <c r="R120" s="13">
        <f t="shared" si="3"/>
        <v>0</v>
      </c>
      <c r="S120" s="31">
        <f t="shared" si="4"/>
        <v>0</v>
      </c>
      <c r="T120" s="136"/>
      <c r="U120" s="136"/>
      <c r="V120" s="137">
        <f>(Tabla1[[#This Row],[COS.BASE 3]]*0.25+Tabla1[[#This Row],[COS.BASE 3]])*Tabla1[[#This Row],[HORAS 25 % ]]</f>
        <v>0</v>
      </c>
      <c r="W120" s="138">
        <f>(Tabla1[[#This Row],[COS.BASE 3]]*0.35+Tabla1[[#This Row],[COS.BASE 3]])*Tabla1[[#This Row],[HORAS 35% ]]</f>
        <v>0</v>
      </c>
      <c r="X120" s="138">
        <f>SUM(Tabla1[[#This Row],[C.HORA.35]],Tabla1[[#This Row],[C.HORA.25]])</f>
        <v>0</v>
      </c>
      <c r="Y120" s="4"/>
      <c r="Z120" s="10">
        <f>Tabla1[[#This Row],[T.HORAS]]*24</f>
        <v>0</v>
      </c>
      <c r="AA120" s="4">
        <f>Tabla1[[#This Row],[H.NORMALES]]*24</f>
        <v>0</v>
      </c>
      <c r="AB120" s="10">
        <f>Tabla1[[#This Row],[H.EXTRAS]]*24</f>
        <v>0</v>
      </c>
      <c r="AC120" s="105">
        <f t="shared" si="5"/>
        <v>0</v>
      </c>
      <c r="AD120" s="120">
        <f>Tabla1[[#This Row],[COS.BASE 2]]/8</f>
        <v>0</v>
      </c>
      <c r="AE120" s="105">
        <f>Tabla1[[#This Row],[CST_H_E]]+Tabla1[[#This Row],[COS.BASE 2]]</f>
        <v>0</v>
      </c>
      <c r="AF120" s="106">
        <f>+_xlfn.IFNA(INDEX(RUBRO!$W$2:$AA$732,MATCH(Tabla1[[#This Row],[FECHA ]],RUBRO!$W$2:$W$732,0),5)," ")</f>
        <v>0</v>
      </c>
      <c r="AG120" s="10">
        <f>+_xlfn.IFNA(INDEX(RUBRO!$W$2:$AA$732,MATCH(Tabla1[[#This Row],[FECHA ]],RUBRO!$W$2:$W$732,0),2)," ")</f>
        <v>1</v>
      </c>
      <c r="AH120" s="40">
        <f>IFERROR(Tabla1[[#This Row],[F]]*Tabla1[[#This Row],[COS.B+E]]," ")</f>
        <v>0</v>
      </c>
      <c r="AI120" s="40">
        <f>IFERROR(Tabla1[[#This Row],[COS.B+E]]*Tabla1[[#This Row],[D]]," ")</f>
        <v>0</v>
      </c>
      <c r="AJ120" s="40" t="str">
        <f>IFERROR(Tabla1[[#This Row],[F]]*#REF!," ")</f>
        <v xml:space="preserve"> </v>
      </c>
      <c r="AK120" s="40" t="str">
        <f>IFERROR(#REF!*Tabla1[[#This Row],[D]]," ")</f>
        <v xml:space="preserve"> </v>
      </c>
      <c r="AL120" s="103"/>
      <c r="AM120" s="103"/>
      <c r="AN120" s="103"/>
      <c r="AO120" s="38">
        <f>+Tabla1[[#This Row],[COS.B+E]]+Tabla1[[#This Row],[COS.F1]]+Tabla1[[#This Row],[COS.D1]]+Tabla1[[#This Row],[ALIMENTACION]]+Tabla1[[#This Row],[PRESTAMO]]+AN120</f>
        <v>0</v>
      </c>
      <c r="AP120" s="38" t="e">
        <f>+#REF!+Tabla1[[#This Row],[COS F2]]+Tabla1[[#This Row],[COS D2]]+Tabla1[[#This Row],[ALIMENTACION]]+Tabla1[[#This Row],[PRESTAMO]]+Tabla1[[#This Row],[PASAJES]]</f>
        <v>#REF!</v>
      </c>
    </row>
    <row r="121" spans="1:42" x14ac:dyDescent="0.25">
      <c r="A121" s="2" t="str">
        <f>TEXT(Tabla1[[#This Row],[FECHA ]],"DDDDD")</f>
        <v>domingo</v>
      </c>
      <c r="B121" s="2" t="str">
        <f>_xlfn.IFNA(VLOOKUP(Tabla1[[#This Row],[DESTINO]],RUBRO!$Q$1:$R$9996,2,FALSE)," ")</f>
        <v>DESCANSO</v>
      </c>
      <c r="C121" s="104">
        <f>WEEKNUM(Tabla1[[#This Row],[FECHA ]],2)</f>
        <v>19</v>
      </c>
      <c r="D121" s="104" t="str">
        <f>TEXT(Tabla1[[#This Row],[FECHA ]],"MMM-YY")</f>
        <v>may-YY</v>
      </c>
      <c r="E121" s="104" t="str">
        <f>VLOOKUP(Tabla1[[#This Row],[DNI ]],RUBRO!$F$1:$O$9996,7,FALSE)</f>
        <v>4ta</v>
      </c>
      <c r="F121" s="104" t="str">
        <f>VLOOKUP(Tabla1[[#This Row],[DNI ]],RUBRO!$F$1:$O$88,3,FALSE)</f>
        <v>OPE-03</v>
      </c>
      <c r="G121" s="104" t="str">
        <f>VLOOKUP(Tabla1[[#This Row],[DNI ]],RUBRO!$F$1:$O$9996,5,FALSE)</f>
        <v>OPERARIO ELECTRICO</v>
      </c>
      <c r="H121" s="66" t="str">
        <f>VLOOKUP(Tabla1[[#This Row],[DNI ]],RUBRO!$F$1:$O$9996,6,FALSE)</f>
        <v>AYALA RAMIREZ RUBEN ISAI</v>
      </c>
      <c r="I121" s="94">
        <v>44325</v>
      </c>
      <c r="J121" s="10">
        <v>3</v>
      </c>
      <c r="K121" s="2">
        <v>75557820</v>
      </c>
      <c r="L121" s="4">
        <f>VLOOKUP(Tabla1[[#This Row],[DNI ]],RUBRO!$F$2:$O$9996,8,FALSE)</f>
        <v>50</v>
      </c>
      <c r="M121" s="88"/>
      <c r="N121" s="28"/>
      <c r="P121" s="28"/>
      <c r="Q121" s="31">
        <f>(Tabla1[[#This Row],[SALIDA]]-Tabla1[[#This Row],[FIN ]])+(Tabla1[[#This Row],[INICIO]]-Tabla1[[#This Row],[INGRESO]])</f>
        <v>0</v>
      </c>
      <c r="R121" s="13">
        <f t="shared" si="3"/>
        <v>0</v>
      </c>
      <c r="S121" s="31">
        <f t="shared" si="4"/>
        <v>0</v>
      </c>
      <c r="T121" s="136"/>
      <c r="U121" s="136"/>
      <c r="V121" s="137">
        <f>(Tabla1[[#This Row],[COS.BASE 3]]*0.25+Tabla1[[#This Row],[COS.BASE 3]])*Tabla1[[#This Row],[HORAS 25 % ]]</f>
        <v>0</v>
      </c>
      <c r="W121" s="138">
        <f>(Tabla1[[#This Row],[COS.BASE 3]]*0.35+Tabla1[[#This Row],[COS.BASE 3]])*Tabla1[[#This Row],[HORAS 35% ]]</f>
        <v>0</v>
      </c>
      <c r="X121" s="138">
        <f>SUM(Tabla1[[#This Row],[C.HORA.35]],Tabla1[[#This Row],[C.HORA.25]])</f>
        <v>0</v>
      </c>
      <c r="Y121" s="4"/>
      <c r="Z121" s="10">
        <f>Tabla1[[#This Row],[T.HORAS]]*24</f>
        <v>0</v>
      </c>
      <c r="AA121" s="4">
        <f>Tabla1[[#This Row],[H.NORMALES]]*24</f>
        <v>0</v>
      </c>
      <c r="AB121" s="10">
        <f>Tabla1[[#This Row],[H.EXTRAS]]*24</f>
        <v>0</v>
      </c>
      <c r="AC121" s="105">
        <f t="shared" si="5"/>
        <v>0</v>
      </c>
      <c r="AD121" s="120">
        <f>Tabla1[[#This Row],[COS.BASE 2]]/8</f>
        <v>0</v>
      </c>
      <c r="AE121" s="105">
        <f>Tabla1[[#This Row],[CST_H_E]]+Tabla1[[#This Row],[COS.BASE 2]]</f>
        <v>0</v>
      </c>
      <c r="AF121" s="106">
        <f>+_xlfn.IFNA(INDEX(RUBRO!$W$2:$AA$732,MATCH(Tabla1[[#This Row],[FECHA ]],RUBRO!$W$2:$W$732,0),5)," ")</f>
        <v>0</v>
      </c>
      <c r="AG121" s="10">
        <f>+_xlfn.IFNA(INDEX(RUBRO!$W$2:$AA$732,MATCH(Tabla1[[#This Row],[FECHA ]],RUBRO!$W$2:$W$732,0),2)," ")</f>
        <v>1</v>
      </c>
      <c r="AH121" s="40">
        <f>IFERROR(Tabla1[[#This Row],[F]]*Tabla1[[#This Row],[COS.B+E]]," ")</f>
        <v>0</v>
      </c>
      <c r="AI121" s="40">
        <f>IFERROR(Tabla1[[#This Row],[COS.B+E]]*Tabla1[[#This Row],[D]]," ")</f>
        <v>0</v>
      </c>
      <c r="AJ121" s="40" t="str">
        <f>IFERROR(Tabla1[[#This Row],[F]]*#REF!," ")</f>
        <v xml:space="preserve"> </v>
      </c>
      <c r="AK121" s="40" t="str">
        <f>IFERROR(#REF!*Tabla1[[#This Row],[D]]," ")</f>
        <v xml:space="preserve"> </v>
      </c>
      <c r="AL121" s="103"/>
      <c r="AM121" s="103"/>
      <c r="AN121" s="103"/>
      <c r="AO121" s="38">
        <f>+Tabla1[[#This Row],[COS.B+E]]+Tabla1[[#This Row],[COS.F1]]+Tabla1[[#This Row],[COS.D1]]+Tabla1[[#This Row],[ALIMENTACION]]+Tabla1[[#This Row],[PRESTAMO]]+AN121</f>
        <v>0</v>
      </c>
      <c r="AP121" s="38" t="e">
        <f>+#REF!+Tabla1[[#This Row],[COS F2]]+Tabla1[[#This Row],[COS D2]]+Tabla1[[#This Row],[ALIMENTACION]]+Tabla1[[#This Row],[PRESTAMO]]+Tabla1[[#This Row],[PASAJES]]</f>
        <v>#REF!</v>
      </c>
    </row>
    <row r="122" spans="1:42" x14ac:dyDescent="0.25">
      <c r="A122" s="2" t="str">
        <f>TEXT(Tabla1[[#This Row],[FECHA ]],"DDDDD")</f>
        <v>domingo</v>
      </c>
      <c r="B122" s="2" t="str">
        <f>_xlfn.IFNA(VLOOKUP(Tabla1[[#This Row],[DESTINO]],RUBRO!$Q$1:$R$9996,2,FALSE)," ")</f>
        <v>DESCANSO</v>
      </c>
      <c r="C122" s="104">
        <f>WEEKNUM(Tabla1[[#This Row],[FECHA ]],2)</f>
        <v>19</v>
      </c>
      <c r="D122" s="104" t="str">
        <f>TEXT(Tabla1[[#This Row],[FECHA ]],"MMM-YY")</f>
        <v>may-YY</v>
      </c>
      <c r="E122" s="104" t="str">
        <f>VLOOKUP(Tabla1[[#This Row],[DNI ]],RUBRO!$F$1:$O$9996,7,FALSE)</f>
        <v>5ta</v>
      </c>
      <c r="F122" s="104" t="str">
        <f>VLOOKUP(Tabla1[[#This Row],[DNI ]],RUBRO!$F$1:$O$88,3,FALSE)</f>
        <v>OPE-03</v>
      </c>
      <c r="G122" s="104" t="str">
        <f>VLOOKUP(Tabla1[[#This Row],[DNI ]],RUBRO!$F$1:$O$9996,5,FALSE)</f>
        <v>OPERARIO ELECTRICO</v>
      </c>
      <c r="H122" s="66" t="str">
        <f>VLOOKUP(Tabla1[[#This Row],[DNI ]],RUBRO!$F$1:$O$9996,6,FALSE)</f>
        <v>BARRAGAN SALAZAR JHONATAN PEDRO</v>
      </c>
      <c r="I122" s="94">
        <v>44325</v>
      </c>
      <c r="J122" s="10">
        <v>3</v>
      </c>
      <c r="K122" s="2">
        <v>46801821</v>
      </c>
      <c r="L122" s="4">
        <f>VLOOKUP(Tabla1[[#This Row],[DNI ]],RUBRO!$F$2:$O$9996,8,FALSE)</f>
        <v>43.5</v>
      </c>
      <c r="M122" s="88"/>
      <c r="N122" s="28"/>
      <c r="P122" s="28"/>
      <c r="Q122" s="31">
        <f>(Tabla1[[#This Row],[SALIDA]]-Tabla1[[#This Row],[FIN ]])+(Tabla1[[#This Row],[INICIO]]-Tabla1[[#This Row],[INGRESO]])</f>
        <v>0</v>
      </c>
      <c r="R122" s="13">
        <f t="shared" si="3"/>
        <v>0</v>
      </c>
      <c r="S122" s="31">
        <f t="shared" si="4"/>
        <v>0</v>
      </c>
      <c r="T122" s="136"/>
      <c r="U122" s="136"/>
      <c r="V122" s="137">
        <f>(Tabla1[[#This Row],[COS.BASE 3]]*0.25+Tabla1[[#This Row],[COS.BASE 3]])*Tabla1[[#This Row],[HORAS 25 % ]]</f>
        <v>0</v>
      </c>
      <c r="W122" s="138">
        <f>(Tabla1[[#This Row],[COS.BASE 3]]*0.35+Tabla1[[#This Row],[COS.BASE 3]])*Tabla1[[#This Row],[HORAS 35% ]]</f>
        <v>0</v>
      </c>
      <c r="X122" s="138">
        <f>SUM(Tabla1[[#This Row],[C.HORA.35]],Tabla1[[#This Row],[C.HORA.25]])</f>
        <v>0</v>
      </c>
      <c r="Y122" s="4"/>
      <c r="Z122" s="10">
        <f>Tabla1[[#This Row],[T.HORAS]]*24</f>
        <v>0</v>
      </c>
      <c r="AA122" s="4">
        <f>Tabla1[[#This Row],[H.NORMALES]]*24</f>
        <v>0</v>
      </c>
      <c r="AB122" s="10">
        <f>Tabla1[[#This Row],[H.EXTRAS]]*24</f>
        <v>0</v>
      </c>
      <c r="AC122" s="105">
        <f t="shared" si="5"/>
        <v>0</v>
      </c>
      <c r="AD122" s="120">
        <f>Tabla1[[#This Row],[COS.BASE 2]]/8</f>
        <v>0</v>
      </c>
      <c r="AE122" s="105">
        <f>Tabla1[[#This Row],[CST_H_E]]+Tabla1[[#This Row],[COS.BASE 2]]</f>
        <v>0</v>
      </c>
      <c r="AF122" s="106">
        <f>+_xlfn.IFNA(INDEX(RUBRO!$W$2:$AA$732,MATCH(Tabla1[[#This Row],[FECHA ]],RUBRO!$W$2:$W$732,0),5)," ")</f>
        <v>0</v>
      </c>
      <c r="AG122" s="10">
        <f>+_xlfn.IFNA(INDEX(RUBRO!$W$2:$AA$732,MATCH(Tabla1[[#This Row],[FECHA ]],RUBRO!$W$2:$W$732,0),2)," ")</f>
        <v>1</v>
      </c>
      <c r="AH122" s="40">
        <f>IFERROR(Tabla1[[#This Row],[F]]*Tabla1[[#This Row],[COS.B+E]]," ")</f>
        <v>0</v>
      </c>
      <c r="AI122" s="40">
        <f>IFERROR(Tabla1[[#This Row],[COS.B+E]]*Tabla1[[#This Row],[D]]," ")</f>
        <v>0</v>
      </c>
      <c r="AJ122" s="40" t="str">
        <f>IFERROR(Tabla1[[#This Row],[F]]*#REF!," ")</f>
        <v xml:space="preserve"> </v>
      </c>
      <c r="AK122" s="40" t="str">
        <f>IFERROR(#REF!*Tabla1[[#This Row],[D]]," ")</f>
        <v xml:space="preserve"> </v>
      </c>
      <c r="AL122" s="103"/>
      <c r="AM122" s="103"/>
      <c r="AN122" s="103"/>
      <c r="AO122" s="38">
        <f>+Tabla1[[#This Row],[COS.B+E]]+Tabla1[[#This Row],[COS.F1]]+Tabla1[[#This Row],[COS.D1]]+Tabla1[[#This Row],[ALIMENTACION]]+Tabla1[[#This Row],[PRESTAMO]]+AN122</f>
        <v>0</v>
      </c>
      <c r="AP122" s="38" t="e">
        <f>+#REF!+Tabla1[[#This Row],[COS F2]]+Tabla1[[#This Row],[COS D2]]+Tabla1[[#This Row],[ALIMENTACION]]+Tabla1[[#This Row],[PRESTAMO]]+Tabla1[[#This Row],[PASAJES]]</f>
        <v>#REF!</v>
      </c>
    </row>
    <row r="123" spans="1:42" x14ac:dyDescent="0.25">
      <c r="A123" s="2" t="str">
        <f>TEXT(Tabla1[[#This Row],[FECHA ]],"DDDDD")</f>
        <v>domingo</v>
      </c>
      <c r="B123" s="2" t="str">
        <f>_xlfn.IFNA(VLOOKUP(Tabla1[[#This Row],[DESTINO]],RUBRO!$Q$1:$R$9996,2,FALSE)," ")</f>
        <v>DESCANSO</v>
      </c>
      <c r="C123" s="104">
        <f>WEEKNUM(Tabla1[[#This Row],[FECHA ]],2)</f>
        <v>19</v>
      </c>
      <c r="D123" s="104" t="str">
        <f>TEXT(Tabla1[[#This Row],[FECHA ]],"MMM-YY")</f>
        <v>may-YY</v>
      </c>
      <c r="E123" s="104" t="str">
        <f>VLOOKUP(Tabla1[[#This Row],[DNI ]],RUBRO!$F$1:$O$9996,7,FALSE)</f>
        <v>5ta</v>
      </c>
      <c r="F123" s="104" t="str">
        <f>VLOOKUP(Tabla1[[#This Row],[DNI ]],RUBRO!$F$1:$O$88,3,FALSE)</f>
        <v>OPE-01</v>
      </c>
      <c r="G123" s="104" t="str">
        <f>VLOOKUP(Tabla1[[#This Row],[DNI ]],RUBRO!$F$1:$O$9996,5,FALSE)</f>
        <v>OPERARIO SOLDADOR</v>
      </c>
      <c r="H123" s="66" t="str">
        <f>VLOOKUP(Tabla1[[#This Row],[DNI ]],RUBRO!$F$1:$O$9996,6,FALSE)</f>
        <v>BENDEZU PISCO JORGE GUILLERMO</v>
      </c>
      <c r="I123" s="94">
        <v>44325</v>
      </c>
      <c r="J123" s="10">
        <v>3</v>
      </c>
      <c r="K123" s="2">
        <v>10664396</v>
      </c>
      <c r="L123" s="4">
        <f>VLOOKUP(Tabla1[[#This Row],[DNI ]],RUBRO!$F$2:$O$9996,8,FALSE)</f>
        <v>60</v>
      </c>
      <c r="M123" s="88"/>
      <c r="N123" s="28"/>
      <c r="P123" s="28"/>
      <c r="Q123" s="31">
        <f>(Tabla1[[#This Row],[SALIDA]]-Tabla1[[#This Row],[FIN ]])+(Tabla1[[#This Row],[INICIO]]-Tabla1[[#This Row],[INGRESO]])</f>
        <v>0</v>
      </c>
      <c r="R123" s="13">
        <f t="shared" si="3"/>
        <v>0</v>
      </c>
      <c r="S123" s="31">
        <f t="shared" si="4"/>
        <v>0</v>
      </c>
      <c r="T123" s="136"/>
      <c r="U123" s="136"/>
      <c r="V123" s="137">
        <f>(Tabla1[[#This Row],[COS.BASE 3]]*0.25+Tabla1[[#This Row],[COS.BASE 3]])*Tabla1[[#This Row],[HORAS 25 % ]]</f>
        <v>0</v>
      </c>
      <c r="W123" s="138">
        <f>(Tabla1[[#This Row],[COS.BASE 3]]*0.35+Tabla1[[#This Row],[COS.BASE 3]])*Tabla1[[#This Row],[HORAS 35% ]]</f>
        <v>0</v>
      </c>
      <c r="X123" s="138">
        <f>SUM(Tabla1[[#This Row],[C.HORA.35]],Tabla1[[#This Row],[C.HORA.25]])</f>
        <v>0</v>
      </c>
      <c r="Y123" s="4"/>
      <c r="Z123" s="10">
        <f>Tabla1[[#This Row],[T.HORAS]]*24</f>
        <v>0</v>
      </c>
      <c r="AA123" s="4">
        <f>Tabla1[[#This Row],[H.NORMALES]]*24</f>
        <v>0</v>
      </c>
      <c r="AB123" s="10">
        <f>Tabla1[[#This Row],[H.EXTRAS]]*24</f>
        <v>0</v>
      </c>
      <c r="AC123" s="105">
        <f t="shared" si="5"/>
        <v>0</v>
      </c>
      <c r="AD123" s="120">
        <f>Tabla1[[#This Row],[COS.BASE 2]]/8</f>
        <v>0</v>
      </c>
      <c r="AE123" s="105">
        <f>Tabla1[[#This Row],[CST_H_E]]+Tabla1[[#This Row],[COS.BASE 2]]</f>
        <v>0</v>
      </c>
      <c r="AF123" s="106">
        <f>+_xlfn.IFNA(INDEX(RUBRO!$W$2:$AA$732,MATCH(Tabla1[[#This Row],[FECHA ]],RUBRO!$W$2:$W$732,0),5)," ")</f>
        <v>0</v>
      </c>
      <c r="AG123" s="10">
        <f>+_xlfn.IFNA(INDEX(RUBRO!$W$2:$AA$732,MATCH(Tabla1[[#This Row],[FECHA ]],RUBRO!$W$2:$W$732,0),2)," ")</f>
        <v>1</v>
      </c>
      <c r="AH123" s="40">
        <f>IFERROR(Tabla1[[#This Row],[F]]*Tabla1[[#This Row],[COS.B+E]]," ")</f>
        <v>0</v>
      </c>
      <c r="AI123" s="40">
        <f>IFERROR(Tabla1[[#This Row],[COS.B+E]]*Tabla1[[#This Row],[D]]," ")</f>
        <v>0</v>
      </c>
      <c r="AJ123" s="40" t="str">
        <f>IFERROR(Tabla1[[#This Row],[F]]*#REF!," ")</f>
        <v xml:space="preserve"> </v>
      </c>
      <c r="AK123" s="40" t="str">
        <f>IFERROR(#REF!*Tabla1[[#This Row],[D]]," ")</f>
        <v xml:space="preserve"> </v>
      </c>
      <c r="AL123" s="103"/>
      <c r="AM123" s="103"/>
      <c r="AN123" s="103"/>
      <c r="AO123" s="38">
        <f>+Tabla1[[#This Row],[COS.B+E]]+Tabla1[[#This Row],[COS.F1]]+Tabla1[[#This Row],[COS.D1]]+Tabla1[[#This Row],[ALIMENTACION]]+Tabla1[[#This Row],[PRESTAMO]]+AN123</f>
        <v>0</v>
      </c>
      <c r="AP123" s="38" t="e">
        <f>+#REF!+Tabla1[[#This Row],[COS F2]]+Tabla1[[#This Row],[COS D2]]+Tabla1[[#This Row],[ALIMENTACION]]+Tabla1[[#This Row],[PRESTAMO]]+Tabla1[[#This Row],[PASAJES]]</f>
        <v>#REF!</v>
      </c>
    </row>
    <row r="124" spans="1:42" x14ac:dyDescent="0.25">
      <c r="A124" s="2" t="str">
        <f>TEXT(Tabla1[[#This Row],[FECHA ]],"DDDDD")</f>
        <v>domingo</v>
      </c>
      <c r="B124" s="2" t="str">
        <f>_xlfn.IFNA(VLOOKUP(Tabla1[[#This Row],[DESTINO]],RUBRO!$Q$1:$R$9996,2,FALSE)," ")</f>
        <v>DESCANSO</v>
      </c>
      <c r="C124" s="104">
        <f>WEEKNUM(Tabla1[[#This Row],[FECHA ]],2)</f>
        <v>19</v>
      </c>
      <c r="D124" s="104" t="str">
        <f>TEXT(Tabla1[[#This Row],[FECHA ]],"MMM-YY")</f>
        <v>may-YY</v>
      </c>
      <c r="E124" s="104" t="str">
        <f>VLOOKUP(Tabla1[[#This Row],[DNI ]],RUBRO!$F$1:$O$9996,7,FALSE)</f>
        <v>4ta</v>
      </c>
      <c r="F124" s="104" t="str">
        <f>VLOOKUP(Tabla1[[#This Row],[DNI ]],RUBRO!$F$1:$O$88,3,FALSE)</f>
        <v>OPE-01</v>
      </c>
      <c r="G124" s="104" t="str">
        <f>VLOOKUP(Tabla1[[#This Row],[DNI ]],RUBRO!$F$1:$O$9996,5,FALSE)</f>
        <v>OPERARIO SOLDADOR</v>
      </c>
      <c r="H124" s="66" t="str">
        <f>VLOOKUP(Tabla1[[#This Row],[DNI ]],RUBRO!$F$1:$O$9996,6,FALSE)</f>
        <v>BONILLA CHAVEZ LUIS DANIEL</v>
      </c>
      <c r="I124" s="94">
        <v>44325</v>
      </c>
      <c r="J124" s="10">
        <v>3</v>
      </c>
      <c r="K124" s="2">
        <v>71995358</v>
      </c>
      <c r="L124" s="4">
        <f>VLOOKUP(Tabla1[[#This Row],[DNI ]],RUBRO!$F$2:$O$9996,8,FALSE)</f>
        <v>45</v>
      </c>
      <c r="M124" s="88"/>
      <c r="N124" s="28"/>
      <c r="P124" s="28"/>
      <c r="Q124" s="31">
        <f>(Tabla1[[#This Row],[SALIDA]]-Tabla1[[#This Row],[FIN ]])+(Tabla1[[#This Row],[INICIO]]-Tabla1[[#This Row],[INGRESO]])</f>
        <v>0</v>
      </c>
      <c r="R124" s="13">
        <f t="shared" si="3"/>
        <v>0</v>
      </c>
      <c r="S124" s="31">
        <f t="shared" si="4"/>
        <v>0</v>
      </c>
      <c r="T124" s="136"/>
      <c r="U124" s="136"/>
      <c r="V124" s="137">
        <f>(Tabla1[[#This Row],[COS.BASE 3]]*0.25+Tabla1[[#This Row],[COS.BASE 3]])*Tabla1[[#This Row],[HORAS 25 % ]]</f>
        <v>0</v>
      </c>
      <c r="W124" s="138">
        <f>(Tabla1[[#This Row],[COS.BASE 3]]*0.35+Tabla1[[#This Row],[COS.BASE 3]])*Tabla1[[#This Row],[HORAS 35% ]]</f>
        <v>0</v>
      </c>
      <c r="X124" s="138">
        <f>SUM(Tabla1[[#This Row],[C.HORA.35]],Tabla1[[#This Row],[C.HORA.25]])</f>
        <v>0</v>
      </c>
      <c r="Y124" s="4"/>
      <c r="Z124" s="10">
        <f>Tabla1[[#This Row],[T.HORAS]]*24</f>
        <v>0</v>
      </c>
      <c r="AA124" s="4">
        <f>Tabla1[[#This Row],[H.NORMALES]]*24</f>
        <v>0</v>
      </c>
      <c r="AB124" s="10">
        <f>Tabla1[[#This Row],[H.EXTRAS]]*24</f>
        <v>0</v>
      </c>
      <c r="AC124" s="105">
        <f t="shared" si="5"/>
        <v>0</v>
      </c>
      <c r="AD124" s="120">
        <f>Tabla1[[#This Row],[COS.BASE 2]]/8</f>
        <v>0</v>
      </c>
      <c r="AE124" s="105">
        <f>Tabla1[[#This Row],[CST_H_E]]+Tabla1[[#This Row],[COS.BASE 2]]</f>
        <v>0</v>
      </c>
      <c r="AF124" s="106">
        <f>+_xlfn.IFNA(INDEX(RUBRO!$W$2:$AA$732,MATCH(Tabla1[[#This Row],[FECHA ]],RUBRO!$W$2:$W$732,0),5)," ")</f>
        <v>0</v>
      </c>
      <c r="AG124" s="10">
        <f>+_xlfn.IFNA(INDEX(RUBRO!$W$2:$AA$732,MATCH(Tabla1[[#This Row],[FECHA ]],RUBRO!$W$2:$W$732,0),2)," ")</f>
        <v>1</v>
      </c>
      <c r="AH124" s="40">
        <f>IFERROR(Tabla1[[#This Row],[F]]*Tabla1[[#This Row],[COS.B+E]]," ")</f>
        <v>0</v>
      </c>
      <c r="AI124" s="40">
        <f>IFERROR(Tabla1[[#This Row],[COS.B+E]]*Tabla1[[#This Row],[D]]," ")</f>
        <v>0</v>
      </c>
      <c r="AJ124" s="40" t="str">
        <f>IFERROR(Tabla1[[#This Row],[F]]*#REF!," ")</f>
        <v xml:space="preserve"> </v>
      </c>
      <c r="AK124" s="40" t="str">
        <f>IFERROR(#REF!*Tabla1[[#This Row],[D]]," ")</f>
        <v xml:space="preserve"> </v>
      </c>
      <c r="AL124" s="103"/>
      <c r="AM124" s="103"/>
      <c r="AN124" s="103"/>
      <c r="AO124" s="38">
        <f>+Tabla1[[#This Row],[COS.B+E]]+Tabla1[[#This Row],[COS.F1]]+Tabla1[[#This Row],[COS.D1]]+Tabla1[[#This Row],[ALIMENTACION]]+Tabla1[[#This Row],[PRESTAMO]]+AN124</f>
        <v>0</v>
      </c>
      <c r="AP124" s="38" t="e">
        <f>+#REF!+Tabla1[[#This Row],[COS F2]]+Tabla1[[#This Row],[COS D2]]+Tabla1[[#This Row],[ALIMENTACION]]+Tabla1[[#This Row],[PRESTAMO]]+Tabla1[[#This Row],[PASAJES]]</f>
        <v>#REF!</v>
      </c>
    </row>
    <row r="125" spans="1:42" x14ac:dyDescent="0.25">
      <c r="A125" s="2" t="str">
        <f>TEXT(Tabla1[[#This Row],[FECHA ]],"DDDDD")</f>
        <v>domingo</v>
      </c>
      <c r="B125" s="2" t="str">
        <f>_xlfn.IFNA(VLOOKUP(Tabla1[[#This Row],[DESTINO]],RUBRO!$Q$1:$R$9996,2,FALSE)," ")</f>
        <v>DESCANSO</v>
      </c>
      <c r="C125" s="104">
        <f>WEEKNUM(Tabla1[[#This Row],[FECHA ]],2)</f>
        <v>19</v>
      </c>
      <c r="D125" s="104" t="str">
        <f>TEXT(Tabla1[[#This Row],[FECHA ]],"MMM-YY")</f>
        <v>may-YY</v>
      </c>
      <c r="E125" s="104" t="str">
        <f>VLOOKUP(Tabla1[[#This Row],[DNI ]],RUBRO!$F$1:$O$9996,7,FALSE)</f>
        <v>5ta</v>
      </c>
      <c r="F125" s="104" t="str">
        <f>VLOOKUP(Tabla1[[#This Row],[DNI ]],RUBRO!$F$1:$O$88,3,FALSE)</f>
        <v>MEC-04</v>
      </c>
      <c r="G125" s="104" t="str">
        <f>VLOOKUP(Tabla1[[#This Row],[DNI ]],RUBRO!$F$1:$O$9996,5,FALSE)</f>
        <v>MECANICO MONTAJISTA DE MAQUINARIA EXTRANJERA</v>
      </c>
      <c r="H125" s="66" t="str">
        <f>VLOOKUP(Tabla1[[#This Row],[DNI ]],RUBRO!$F$1:$O$9996,6,FALSE)</f>
        <v>BUSTAMANTE GONZALES CARLOS</v>
      </c>
      <c r="I125" s="94">
        <v>44325</v>
      </c>
      <c r="J125" s="10">
        <v>3</v>
      </c>
      <c r="K125" s="2">
        <v>27291529</v>
      </c>
      <c r="L125" s="4">
        <f>VLOOKUP(Tabla1[[#This Row],[DNI ]],RUBRO!$F$2:$O$9996,8,FALSE)</f>
        <v>72.540000000000006</v>
      </c>
      <c r="M125" s="88"/>
      <c r="N125" s="28"/>
      <c r="P125" s="28"/>
      <c r="Q125" s="31">
        <f>(Tabla1[[#This Row],[SALIDA]]-Tabla1[[#This Row],[FIN ]])+(Tabla1[[#This Row],[INICIO]]-Tabla1[[#This Row],[INGRESO]])</f>
        <v>0</v>
      </c>
      <c r="R125" s="13">
        <f t="shared" si="3"/>
        <v>0</v>
      </c>
      <c r="S125" s="31">
        <f t="shared" si="4"/>
        <v>0</v>
      </c>
      <c r="T125" s="136"/>
      <c r="U125" s="136"/>
      <c r="V125" s="137">
        <f>(Tabla1[[#This Row],[COS.BASE 3]]*0.25+Tabla1[[#This Row],[COS.BASE 3]])*Tabla1[[#This Row],[HORAS 25 % ]]</f>
        <v>0</v>
      </c>
      <c r="W125" s="138">
        <f>(Tabla1[[#This Row],[COS.BASE 3]]*0.35+Tabla1[[#This Row],[COS.BASE 3]])*Tabla1[[#This Row],[HORAS 35% ]]</f>
        <v>0</v>
      </c>
      <c r="X125" s="138">
        <f>SUM(Tabla1[[#This Row],[C.HORA.35]],Tabla1[[#This Row],[C.HORA.25]])</f>
        <v>0</v>
      </c>
      <c r="Y125" s="4"/>
      <c r="Z125" s="10">
        <f>Tabla1[[#This Row],[T.HORAS]]*24</f>
        <v>0</v>
      </c>
      <c r="AA125" s="4">
        <f>Tabla1[[#This Row],[H.NORMALES]]*24</f>
        <v>0</v>
      </c>
      <c r="AB125" s="10">
        <f>Tabla1[[#This Row],[H.EXTRAS]]*24</f>
        <v>0</v>
      </c>
      <c r="AC125" s="105">
        <f t="shared" si="5"/>
        <v>0</v>
      </c>
      <c r="AD125" s="120">
        <f>Tabla1[[#This Row],[COS.BASE 2]]/8</f>
        <v>0</v>
      </c>
      <c r="AE125" s="105">
        <f>Tabla1[[#This Row],[CST_H_E]]+Tabla1[[#This Row],[COS.BASE 2]]</f>
        <v>0</v>
      </c>
      <c r="AF125" s="106">
        <f>+_xlfn.IFNA(INDEX(RUBRO!$W$2:$AA$732,MATCH(Tabla1[[#This Row],[FECHA ]],RUBRO!$W$2:$W$732,0),5)," ")</f>
        <v>0</v>
      </c>
      <c r="AG125" s="10">
        <f>+_xlfn.IFNA(INDEX(RUBRO!$W$2:$AA$732,MATCH(Tabla1[[#This Row],[FECHA ]],RUBRO!$W$2:$W$732,0),2)," ")</f>
        <v>1</v>
      </c>
      <c r="AH125" s="40">
        <f>IFERROR(Tabla1[[#This Row],[F]]*Tabla1[[#This Row],[COS.B+E]]," ")</f>
        <v>0</v>
      </c>
      <c r="AI125" s="40">
        <f>IFERROR(Tabla1[[#This Row],[COS.B+E]]*Tabla1[[#This Row],[D]]," ")</f>
        <v>0</v>
      </c>
      <c r="AJ125" s="40" t="str">
        <f>IFERROR(Tabla1[[#This Row],[F]]*#REF!," ")</f>
        <v xml:space="preserve"> </v>
      </c>
      <c r="AK125" s="40" t="str">
        <f>IFERROR(#REF!*Tabla1[[#This Row],[D]]," ")</f>
        <v xml:space="preserve"> </v>
      </c>
      <c r="AL125" s="103"/>
      <c r="AM125" s="103"/>
      <c r="AN125" s="103"/>
      <c r="AO125" s="38">
        <f>+Tabla1[[#This Row],[COS.B+E]]+Tabla1[[#This Row],[COS.F1]]+Tabla1[[#This Row],[COS.D1]]+Tabla1[[#This Row],[ALIMENTACION]]+Tabla1[[#This Row],[PRESTAMO]]+AN125</f>
        <v>0</v>
      </c>
      <c r="AP125" s="38" t="e">
        <f>+#REF!+Tabla1[[#This Row],[COS F2]]+Tabla1[[#This Row],[COS D2]]+Tabla1[[#This Row],[ALIMENTACION]]+Tabla1[[#This Row],[PRESTAMO]]+Tabla1[[#This Row],[PASAJES]]</f>
        <v>#REF!</v>
      </c>
    </row>
    <row r="126" spans="1:42" x14ac:dyDescent="0.25">
      <c r="A126" s="2" t="str">
        <f>TEXT(Tabla1[[#This Row],[FECHA ]],"DDDDD")</f>
        <v>domingo</v>
      </c>
      <c r="B126" s="2" t="str">
        <f>_xlfn.IFNA(VLOOKUP(Tabla1[[#This Row],[DESTINO]],RUBRO!$Q$1:$R$9996,2,FALSE)," ")</f>
        <v>DESCANSO</v>
      </c>
      <c r="C126" s="104">
        <f>WEEKNUM(Tabla1[[#This Row],[FECHA ]],2)</f>
        <v>19</v>
      </c>
      <c r="D126" s="104" t="str">
        <f>TEXT(Tabla1[[#This Row],[FECHA ]],"MMM-YY")</f>
        <v>may-YY</v>
      </c>
      <c r="E126" s="104" t="str">
        <f>VLOOKUP(Tabla1[[#This Row],[DNI ]],RUBRO!$F$1:$O$9996,7,FALSE)</f>
        <v>5ta</v>
      </c>
      <c r="F126" s="104" t="str">
        <f>VLOOKUP(Tabla1[[#This Row],[DNI ]],RUBRO!$F$1:$O$88,3,FALSE)</f>
        <v>TECMN-03</v>
      </c>
      <c r="G126" s="104" t="str">
        <f>VLOOKUP(Tabla1[[#This Row],[DNI ]],RUBRO!$F$1:$O$9996,5,FALSE)</f>
        <v>TECNICO ELECTRICO MONTAJISTA DE MAQUINARIA</v>
      </c>
      <c r="H126" s="66" t="str">
        <f>VLOOKUP(Tabla1[[#This Row],[DNI ]],RUBRO!$F$1:$O$9996,6,FALSE)</f>
        <v>CAMIZAN CUNIAS LENDER NEYDEN</v>
      </c>
      <c r="I126" s="94">
        <v>44325</v>
      </c>
      <c r="J126" s="10">
        <v>3</v>
      </c>
      <c r="K126" s="2">
        <v>47711616</v>
      </c>
      <c r="L126" s="4">
        <f>VLOOKUP(Tabla1[[#This Row],[DNI ]],RUBRO!$F$2:$O$9996,8,FALSE)</f>
        <v>47.73</v>
      </c>
      <c r="M126" s="88"/>
      <c r="N126" s="28"/>
      <c r="P126" s="28"/>
      <c r="Q126" s="31">
        <f>(Tabla1[[#This Row],[SALIDA]]-Tabla1[[#This Row],[FIN ]])+(Tabla1[[#This Row],[INICIO]]-Tabla1[[#This Row],[INGRESO]])</f>
        <v>0</v>
      </c>
      <c r="R126" s="13">
        <f t="shared" si="3"/>
        <v>0</v>
      </c>
      <c r="S126" s="31">
        <f t="shared" si="4"/>
        <v>0</v>
      </c>
      <c r="T126" s="136"/>
      <c r="U126" s="136"/>
      <c r="V126" s="137">
        <f>(Tabla1[[#This Row],[COS.BASE 3]]*0.25+Tabla1[[#This Row],[COS.BASE 3]])*Tabla1[[#This Row],[HORAS 25 % ]]</f>
        <v>0</v>
      </c>
      <c r="W126" s="138">
        <f>(Tabla1[[#This Row],[COS.BASE 3]]*0.35+Tabla1[[#This Row],[COS.BASE 3]])*Tabla1[[#This Row],[HORAS 35% ]]</f>
        <v>0</v>
      </c>
      <c r="X126" s="138">
        <f>SUM(Tabla1[[#This Row],[C.HORA.35]],Tabla1[[#This Row],[C.HORA.25]])</f>
        <v>0</v>
      </c>
      <c r="Y126" s="4"/>
      <c r="Z126" s="10">
        <f>Tabla1[[#This Row],[T.HORAS]]*24</f>
        <v>0</v>
      </c>
      <c r="AA126" s="4">
        <f>Tabla1[[#This Row],[H.NORMALES]]*24</f>
        <v>0</v>
      </c>
      <c r="AB126" s="10">
        <f>Tabla1[[#This Row],[H.EXTRAS]]*24</f>
        <v>0</v>
      </c>
      <c r="AC126" s="105">
        <f t="shared" si="5"/>
        <v>0</v>
      </c>
      <c r="AD126" s="120">
        <f>Tabla1[[#This Row],[COS.BASE 2]]/8</f>
        <v>0</v>
      </c>
      <c r="AE126" s="105">
        <f>Tabla1[[#This Row],[CST_H_E]]+Tabla1[[#This Row],[COS.BASE 2]]</f>
        <v>0</v>
      </c>
      <c r="AF126" s="106">
        <f>+_xlfn.IFNA(INDEX(RUBRO!$W$2:$AA$732,MATCH(Tabla1[[#This Row],[FECHA ]],RUBRO!$W$2:$W$732,0),5)," ")</f>
        <v>0</v>
      </c>
      <c r="AG126" s="10">
        <f>+_xlfn.IFNA(INDEX(RUBRO!$W$2:$AA$732,MATCH(Tabla1[[#This Row],[FECHA ]],RUBRO!$W$2:$W$732,0),2)," ")</f>
        <v>1</v>
      </c>
      <c r="AH126" s="40">
        <f>IFERROR(Tabla1[[#This Row],[F]]*Tabla1[[#This Row],[COS.B+E]]," ")</f>
        <v>0</v>
      </c>
      <c r="AI126" s="40">
        <f>IFERROR(Tabla1[[#This Row],[COS.B+E]]*Tabla1[[#This Row],[D]]," ")</f>
        <v>0</v>
      </c>
      <c r="AJ126" s="40" t="str">
        <f>IFERROR(Tabla1[[#This Row],[F]]*#REF!," ")</f>
        <v xml:space="preserve"> </v>
      </c>
      <c r="AK126" s="40" t="str">
        <f>IFERROR(#REF!*Tabla1[[#This Row],[D]]," ")</f>
        <v xml:space="preserve"> </v>
      </c>
      <c r="AL126" s="103"/>
      <c r="AM126" s="103"/>
      <c r="AN126" s="103"/>
      <c r="AO126" s="38">
        <f>+Tabla1[[#This Row],[COS.B+E]]+Tabla1[[#This Row],[COS.F1]]+Tabla1[[#This Row],[COS.D1]]+Tabla1[[#This Row],[ALIMENTACION]]+Tabla1[[#This Row],[PRESTAMO]]+AN126</f>
        <v>0</v>
      </c>
      <c r="AP126" s="38" t="e">
        <f>+#REF!+Tabla1[[#This Row],[COS F2]]+Tabla1[[#This Row],[COS D2]]+Tabla1[[#This Row],[ALIMENTACION]]+Tabla1[[#This Row],[PRESTAMO]]+Tabla1[[#This Row],[PASAJES]]</f>
        <v>#REF!</v>
      </c>
    </row>
    <row r="127" spans="1:42" x14ac:dyDescent="0.25">
      <c r="A127" s="2" t="str">
        <f>TEXT(Tabla1[[#This Row],[FECHA ]],"DDDDD")</f>
        <v>domingo</v>
      </c>
      <c r="B127" s="2" t="str">
        <f>_xlfn.IFNA(VLOOKUP(Tabla1[[#This Row],[DESTINO]],RUBRO!$Q$1:$R$9996,2,FALSE)," ")</f>
        <v>DESCANSO</v>
      </c>
      <c r="C127" s="104">
        <f>WEEKNUM(Tabla1[[#This Row],[FECHA ]],2)</f>
        <v>19</v>
      </c>
      <c r="D127" s="104" t="str">
        <f>TEXT(Tabla1[[#This Row],[FECHA ]],"MMM-YY")</f>
        <v>may-YY</v>
      </c>
      <c r="E127" s="104" t="str">
        <f>VLOOKUP(Tabla1[[#This Row],[DNI ]],RUBRO!$F$1:$O$9996,7,FALSE)</f>
        <v>5ta</v>
      </c>
      <c r="F127" s="104" t="str">
        <f>VLOOKUP(Tabla1[[#This Row],[DNI ]],RUBRO!$F$1:$O$88,3,FALSE)</f>
        <v>TEC-05</v>
      </c>
      <c r="G127" s="104" t="str">
        <f>VLOOKUP(Tabla1[[#This Row],[DNI ]],RUBRO!$F$1:$O$9996,5,FALSE)</f>
        <v>TECNICO MECANICO MONTAJISTA DE NAVE INDUSTRIAL</v>
      </c>
      <c r="H127" s="66" t="str">
        <f>VLOOKUP(Tabla1[[#This Row],[DNI ]],RUBRO!$F$1:$O$9996,6,FALSE)</f>
        <v>CAVERO ANCAJIMA JHONATAN</v>
      </c>
      <c r="I127" s="94">
        <v>44325</v>
      </c>
      <c r="J127" s="10">
        <v>3</v>
      </c>
      <c r="K127" s="2">
        <v>48237026</v>
      </c>
      <c r="L127" s="4">
        <f>VLOOKUP(Tabla1[[#This Row],[DNI ]],RUBRO!$F$2:$O$9996,8,FALSE)</f>
        <v>52.2</v>
      </c>
      <c r="M127" s="88"/>
      <c r="N127" s="28"/>
      <c r="P127" s="28"/>
      <c r="Q127" s="31">
        <f>(Tabla1[[#This Row],[SALIDA]]-Tabla1[[#This Row],[FIN ]])+(Tabla1[[#This Row],[INICIO]]-Tabla1[[#This Row],[INGRESO]])</f>
        <v>0</v>
      </c>
      <c r="R127" s="13">
        <f t="shared" si="3"/>
        <v>0</v>
      </c>
      <c r="S127" s="31">
        <f t="shared" si="4"/>
        <v>0</v>
      </c>
      <c r="T127" s="136"/>
      <c r="U127" s="136"/>
      <c r="V127" s="137">
        <f>(Tabla1[[#This Row],[COS.BASE 3]]*0.25+Tabla1[[#This Row],[COS.BASE 3]])*Tabla1[[#This Row],[HORAS 25 % ]]</f>
        <v>0</v>
      </c>
      <c r="W127" s="138">
        <f>(Tabla1[[#This Row],[COS.BASE 3]]*0.35+Tabla1[[#This Row],[COS.BASE 3]])*Tabla1[[#This Row],[HORAS 35% ]]</f>
        <v>0</v>
      </c>
      <c r="X127" s="138">
        <f>SUM(Tabla1[[#This Row],[C.HORA.35]],Tabla1[[#This Row],[C.HORA.25]])</f>
        <v>0</v>
      </c>
      <c r="Y127" s="4"/>
      <c r="Z127" s="10">
        <f>Tabla1[[#This Row],[T.HORAS]]*24</f>
        <v>0</v>
      </c>
      <c r="AA127" s="4">
        <f>Tabla1[[#This Row],[H.NORMALES]]*24</f>
        <v>0</v>
      </c>
      <c r="AB127" s="10">
        <f>Tabla1[[#This Row],[H.EXTRAS]]*24</f>
        <v>0</v>
      </c>
      <c r="AC127" s="105">
        <f t="shared" si="5"/>
        <v>0</v>
      </c>
      <c r="AD127" s="120">
        <f>Tabla1[[#This Row],[COS.BASE 2]]/8</f>
        <v>0</v>
      </c>
      <c r="AE127" s="105">
        <f>Tabla1[[#This Row],[CST_H_E]]+Tabla1[[#This Row],[COS.BASE 2]]</f>
        <v>0</v>
      </c>
      <c r="AF127" s="106">
        <f>+_xlfn.IFNA(INDEX(RUBRO!$W$2:$AA$732,MATCH(Tabla1[[#This Row],[FECHA ]],RUBRO!$W$2:$W$732,0),5)," ")</f>
        <v>0</v>
      </c>
      <c r="AG127" s="10">
        <f>+_xlfn.IFNA(INDEX(RUBRO!$W$2:$AA$732,MATCH(Tabla1[[#This Row],[FECHA ]],RUBRO!$W$2:$W$732,0),2)," ")</f>
        <v>1</v>
      </c>
      <c r="AH127" s="40">
        <f>IFERROR(Tabla1[[#This Row],[F]]*Tabla1[[#This Row],[COS.B+E]]," ")</f>
        <v>0</v>
      </c>
      <c r="AI127" s="40">
        <f>IFERROR(Tabla1[[#This Row],[COS.B+E]]*Tabla1[[#This Row],[D]]," ")</f>
        <v>0</v>
      </c>
      <c r="AJ127" s="40" t="str">
        <f>IFERROR(Tabla1[[#This Row],[F]]*#REF!," ")</f>
        <v xml:space="preserve"> </v>
      </c>
      <c r="AK127" s="40" t="str">
        <f>IFERROR(#REF!*Tabla1[[#This Row],[D]]," ")</f>
        <v xml:space="preserve"> </v>
      </c>
      <c r="AL127" s="103"/>
      <c r="AM127" s="103"/>
      <c r="AN127" s="103"/>
      <c r="AO127" s="38">
        <f>+Tabla1[[#This Row],[COS.B+E]]+Tabla1[[#This Row],[COS.F1]]+Tabla1[[#This Row],[COS.D1]]+Tabla1[[#This Row],[ALIMENTACION]]+Tabla1[[#This Row],[PRESTAMO]]+AN127</f>
        <v>0</v>
      </c>
      <c r="AP127" s="38" t="e">
        <f>+#REF!+Tabla1[[#This Row],[COS F2]]+Tabla1[[#This Row],[COS D2]]+Tabla1[[#This Row],[ALIMENTACION]]+Tabla1[[#This Row],[PRESTAMO]]+Tabla1[[#This Row],[PASAJES]]</f>
        <v>#REF!</v>
      </c>
    </row>
    <row r="128" spans="1:42" x14ac:dyDescent="0.25">
      <c r="A128" s="2" t="str">
        <f>TEXT(Tabla1[[#This Row],[FECHA ]],"DDDDD")</f>
        <v>domingo</v>
      </c>
      <c r="B128" s="2" t="str">
        <f>_xlfn.IFNA(VLOOKUP(Tabla1[[#This Row],[DESTINO]],RUBRO!$Q$1:$R$9996,2,FALSE)," ")</f>
        <v>OBRA</v>
      </c>
      <c r="C128" s="104">
        <f>WEEKNUM(Tabla1[[#This Row],[FECHA ]],2)</f>
        <v>19</v>
      </c>
      <c r="D128" s="104" t="str">
        <f>TEXT(Tabla1[[#This Row],[FECHA ]],"MMM-YY")</f>
        <v>may-YY</v>
      </c>
      <c r="E128" s="104" t="str">
        <f>VLOOKUP(Tabla1[[#This Row],[DNI ]],RUBRO!$F$1:$O$9996,7,FALSE)</f>
        <v>5ta</v>
      </c>
      <c r="F128" s="104" t="str">
        <f>VLOOKUP(Tabla1[[#This Row],[DNI ]],RUBRO!$F$1:$O$88,3,FALSE)</f>
        <v>TECME-03</v>
      </c>
      <c r="G128" s="104" t="str">
        <f>VLOOKUP(Tabla1[[#This Row],[DNI ]],RUBRO!$F$1:$O$9996,5,FALSE)</f>
        <v>TECNICO ELECTRICO MONTAJISTA DE MAQUINARIA EXTRANJERA</v>
      </c>
      <c r="H128" s="66" t="str">
        <f>VLOOKUP(Tabla1[[#This Row],[DNI ]],RUBRO!$F$1:$O$9996,6,FALSE)</f>
        <v>CHAQUILA JIMENEZ VICTOR JHEYNER</v>
      </c>
      <c r="I128" s="94">
        <v>44325</v>
      </c>
      <c r="J128" s="10">
        <v>2</v>
      </c>
      <c r="K128" s="2">
        <v>47055982</v>
      </c>
      <c r="L128" s="4">
        <f>VLOOKUP(Tabla1[[#This Row],[DNI ]],RUBRO!$F$2:$O$9996,8,FALSE)</f>
        <v>73.72</v>
      </c>
      <c r="M128" s="88">
        <v>0</v>
      </c>
      <c r="N128" s="28"/>
      <c r="P128" s="28">
        <v>0.41666666666666669</v>
      </c>
      <c r="Q128" s="31">
        <f>(Tabla1[[#This Row],[SALIDA]]-Tabla1[[#This Row],[FIN ]])+(Tabla1[[#This Row],[INICIO]]-Tabla1[[#This Row],[INGRESO]])</f>
        <v>0.41666666666666669</v>
      </c>
      <c r="R128" s="13">
        <f t="shared" si="3"/>
        <v>0.33333333333333331</v>
      </c>
      <c r="S128" s="31">
        <f t="shared" si="4"/>
        <v>8.333333333333337E-2</v>
      </c>
      <c r="T128" s="136"/>
      <c r="U128" s="136"/>
      <c r="V128" s="137">
        <f>(Tabla1[[#This Row],[COS.BASE 3]]*0.25+Tabla1[[#This Row],[COS.BASE 3]])*Tabla1[[#This Row],[HORAS 25 % ]]</f>
        <v>0</v>
      </c>
      <c r="W128" s="138">
        <f>(Tabla1[[#This Row],[COS.BASE 3]]*0.35+Tabla1[[#This Row],[COS.BASE 3]])*Tabla1[[#This Row],[HORAS 35% ]]</f>
        <v>0</v>
      </c>
      <c r="X128" s="138">
        <f>SUM(Tabla1[[#This Row],[C.HORA.35]],Tabla1[[#This Row],[C.HORA.25]])</f>
        <v>0</v>
      </c>
      <c r="Y128" s="4"/>
      <c r="Z128" s="10">
        <f>Tabla1[[#This Row],[T.HORAS]]*24</f>
        <v>10</v>
      </c>
      <c r="AA128" s="4">
        <f>Tabla1[[#This Row],[H.NORMALES]]*24</f>
        <v>8</v>
      </c>
      <c r="AB128" s="10">
        <f>Tabla1[[#This Row],[H.EXTRAS]]*24</f>
        <v>2.0000000000000009</v>
      </c>
      <c r="AC128" s="105">
        <f t="shared" si="5"/>
        <v>73.72</v>
      </c>
      <c r="AD128" s="120">
        <f>Tabla1[[#This Row],[COS.BASE 2]]/8</f>
        <v>9.2149999999999999</v>
      </c>
      <c r="AE128" s="105">
        <f>Tabla1[[#This Row],[CST_H_E]]+Tabla1[[#This Row],[COS.BASE 2]]</f>
        <v>73.72</v>
      </c>
      <c r="AF128" s="106">
        <f>+_xlfn.IFNA(INDEX(RUBRO!$W$2:$AA$732,MATCH(Tabla1[[#This Row],[FECHA ]],RUBRO!$W$2:$W$732,0),5)," ")</f>
        <v>0</v>
      </c>
      <c r="AG128" s="10">
        <f>+_xlfn.IFNA(INDEX(RUBRO!$W$2:$AA$732,MATCH(Tabla1[[#This Row],[FECHA ]],RUBRO!$W$2:$W$732,0),2)," ")</f>
        <v>1</v>
      </c>
      <c r="AH128" s="40">
        <f>IFERROR(Tabla1[[#This Row],[F]]*Tabla1[[#This Row],[COS.B+E]]," ")</f>
        <v>0</v>
      </c>
      <c r="AI128" s="40">
        <f>IFERROR(Tabla1[[#This Row],[COS.B+E]]*Tabla1[[#This Row],[D]]," ")</f>
        <v>73.72</v>
      </c>
      <c r="AJ128" s="40" t="str">
        <f>IFERROR(Tabla1[[#This Row],[F]]*#REF!," ")</f>
        <v xml:space="preserve"> </v>
      </c>
      <c r="AK128" s="40" t="str">
        <f>IFERROR(#REF!*Tabla1[[#This Row],[D]]," ")</f>
        <v xml:space="preserve"> </v>
      </c>
      <c r="AL128" s="103"/>
      <c r="AM128" s="103"/>
      <c r="AN128" s="103"/>
      <c r="AO128" s="38">
        <f>+Tabla1[[#This Row],[COS.B+E]]+Tabla1[[#This Row],[COS.F1]]+Tabla1[[#This Row],[COS.D1]]+Tabla1[[#This Row],[ALIMENTACION]]+Tabla1[[#This Row],[PRESTAMO]]+AN128</f>
        <v>147.44</v>
      </c>
      <c r="AP128" s="38" t="e">
        <f>+#REF!+Tabla1[[#This Row],[COS F2]]+Tabla1[[#This Row],[COS D2]]+Tabla1[[#This Row],[ALIMENTACION]]+Tabla1[[#This Row],[PRESTAMO]]+Tabla1[[#This Row],[PASAJES]]</f>
        <v>#REF!</v>
      </c>
    </row>
    <row r="129" spans="1:42" x14ac:dyDescent="0.25">
      <c r="A129" s="2" t="str">
        <f>TEXT(Tabla1[[#This Row],[FECHA ]],"DDDDD")</f>
        <v>domingo</v>
      </c>
      <c r="B129" s="2" t="str">
        <f>_xlfn.IFNA(VLOOKUP(Tabla1[[#This Row],[DESTINO]],RUBRO!$Q$1:$R$9996,2,FALSE)," ")</f>
        <v>DESCANSO</v>
      </c>
      <c r="C129" s="104">
        <f>WEEKNUM(Tabla1[[#This Row],[FECHA ]],2)</f>
        <v>19</v>
      </c>
      <c r="D129" s="104" t="str">
        <f>TEXT(Tabla1[[#This Row],[FECHA ]],"MMM-YY")</f>
        <v>may-YY</v>
      </c>
      <c r="E129" s="104" t="str">
        <f>VLOOKUP(Tabla1[[#This Row],[DNI ]],RUBRO!$F$1:$O$9996,7,FALSE)</f>
        <v>5ta</v>
      </c>
      <c r="F129" s="104" t="e">
        <f>VLOOKUP(Tabla1[[#This Row],[DNI ]],RUBRO!$F$1:$O$88,3,FALSE)</f>
        <v>#N/A</v>
      </c>
      <c r="G129" s="104" t="str">
        <f>VLOOKUP(Tabla1[[#This Row],[DNI ]],RUBRO!$F$1:$O$9996,5,FALSE)</f>
        <v>AYUDANTE DE PRODUCCION</v>
      </c>
      <c r="H129" s="66" t="str">
        <f>VLOOKUP(Tabla1[[#This Row],[DNI ]],RUBRO!$F$1:$O$9996,6,FALSE)</f>
        <v>COPIA BALDERA NILSON</v>
      </c>
      <c r="I129" s="94">
        <v>44325</v>
      </c>
      <c r="J129" s="10">
        <v>3</v>
      </c>
      <c r="K129" s="2">
        <v>48359730</v>
      </c>
      <c r="L129" s="4">
        <f>VLOOKUP(Tabla1[[#This Row],[DNI ]],RUBRO!$F$2:$O$9996,8,FALSE)</f>
        <v>55</v>
      </c>
      <c r="M129" s="88"/>
      <c r="N129" s="28"/>
      <c r="P129" s="28"/>
      <c r="Q129" s="31">
        <f>(Tabla1[[#This Row],[SALIDA]]-Tabla1[[#This Row],[FIN ]])+(Tabla1[[#This Row],[INICIO]]-Tabla1[[#This Row],[INGRESO]])</f>
        <v>0</v>
      </c>
      <c r="R129" s="13">
        <f t="shared" si="3"/>
        <v>0</v>
      </c>
      <c r="S129" s="31">
        <f t="shared" si="4"/>
        <v>0</v>
      </c>
      <c r="T129" s="136"/>
      <c r="U129" s="136"/>
      <c r="V129" s="137">
        <f>(Tabla1[[#This Row],[COS.BASE 3]]*0.25+Tabla1[[#This Row],[COS.BASE 3]])*Tabla1[[#This Row],[HORAS 25 % ]]</f>
        <v>0</v>
      </c>
      <c r="W129" s="138">
        <f>(Tabla1[[#This Row],[COS.BASE 3]]*0.35+Tabla1[[#This Row],[COS.BASE 3]])*Tabla1[[#This Row],[HORAS 35% ]]</f>
        <v>0</v>
      </c>
      <c r="X129" s="138">
        <f>SUM(Tabla1[[#This Row],[C.HORA.35]],Tabla1[[#This Row],[C.HORA.25]])</f>
        <v>0</v>
      </c>
      <c r="Y129" s="4"/>
      <c r="Z129" s="10">
        <f>Tabla1[[#This Row],[T.HORAS]]*24</f>
        <v>0</v>
      </c>
      <c r="AA129" s="4">
        <f>Tabla1[[#This Row],[H.NORMALES]]*24</f>
        <v>0</v>
      </c>
      <c r="AB129" s="10">
        <f>Tabla1[[#This Row],[H.EXTRAS]]*24</f>
        <v>0</v>
      </c>
      <c r="AC129" s="105">
        <f t="shared" si="5"/>
        <v>0</v>
      </c>
      <c r="AD129" s="120">
        <f>Tabla1[[#This Row],[COS.BASE 2]]/8</f>
        <v>0</v>
      </c>
      <c r="AE129" s="105">
        <f>Tabla1[[#This Row],[CST_H_E]]+Tabla1[[#This Row],[COS.BASE 2]]</f>
        <v>0</v>
      </c>
      <c r="AF129" s="106">
        <f>+_xlfn.IFNA(INDEX(RUBRO!$W$2:$AA$732,MATCH(Tabla1[[#This Row],[FECHA ]],RUBRO!$W$2:$W$732,0),5)," ")</f>
        <v>0</v>
      </c>
      <c r="AG129" s="10">
        <f>+_xlfn.IFNA(INDEX(RUBRO!$W$2:$AA$732,MATCH(Tabla1[[#This Row],[FECHA ]],RUBRO!$W$2:$W$732,0),2)," ")</f>
        <v>1</v>
      </c>
      <c r="AH129" s="40">
        <f>IFERROR(Tabla1[[#This Row],[F]]*Tabla1[[#This Row],[COS.B+E]]," ")</f>
        <v>0</v>
      </c>
      <c r="AI129" s="40">
        <f>IFERROR(Tabla1[[#This Row],[COS.B+E]]*Tabla1[[#This Row],[D]]," ")</f>
        <v>0</v>
      </c>
      <c r="AJ129" s="40" t="str">
        <f>IFERROR(Tabla1[[#This Row],[F]]*#REF!," ")</f>
        <v xml:space="preserve"> </v>
      </c>
      <c r="AK129" s="40" t="str">
        <f>IFERROR(#REF!*Tabla1[[#This Row],[D]]," ")</f>
        <v xml:space="preserve"> </v>
      </c>
      <c r="AL129" s="103"/>
      <c r="AM129" s="103"/>
      <c r="AN129" s="103"/>
      <c r="AO129" s="38">
        <f>+Tabla1[[#This Row],[COS.B+E]]+Tabla1[[#This Row],[COS.F1]]+Tabla1[[#This Row],[COS.D1]]+Tabla1[[#This Row],[ALIMENTACION]]+Tabla1[[#This Row],[PRESTAMO]]+AN129</f>
        <v>0</v>
      </c>
      <c r="AP129" s="38" t="e">
        <f>+#REF!+Tabla1[[#This Row],[COS F2]]+Tabla1[[#This Row],[COS D2]]+Tabla1[[#This Row],[ALIMENTACION]]+Tabla1[[#This Row],[PRESTAMO]]+Tabla1[[#This Row],[PASAJES]]</f>
        <v>#REF!</v>
      </c>
    </row>
    <row r="130" spans="1:42" x14ac:dyDescent="0.25">
      <c r="A130" s="2" t="str">
        <f>TEXT(Tabla1[[#This Row],[FECHA ]],"DDDDD")</f>
        <v>domingo</v>
      </c>
      <c r="B130" s="2" t="str">
        <f>_xlfn.IFNA(VLOOKUP(Tabla1[[#This Row],[DESTINO]],RUBRO!$Q$1:$R$9996,2,FALSE)," ")</f>
        <v>DESCANSO</v>
      </c>
      <c r="C130" s="104">
        <f>WEEKNUM(Tabla1[[#This Row],[FECHA ]],2)</f>
        <v>19</v>
      </c>
      <c r="D130" s="104" t="str">
        <f>TEXT(Tabla1[[#This Row],[FECHA ]],"MMM-YY")</f>
        <v>may-YY</v>
      </c>
      <c r="E130" s="104" t="str">
        <f>VLOOKUP(Tabla1[[#This Row],[DNI ]],RUBRO!$F$1:$O$9996,7,FALSE)</f>
        <v>5ta</v>
      </c>
      <c r="F130" s="104" t="str">
        <f>VLOOKUP(Tabla1[[#This Row],[DNI ]],RUBRO!$F$1:$O$88,3,FALSE)</f>
        <v>OPE-01</v>
      </c>
      <c r="G130" s="104" t="str">
        <f>VLOOKUP(Tabla1[[#This Row],[DNI ]],RUBRO!$F$1:$O$9996,5,FALSE)</f>
        <v>OPERARIO SOLDADOR</v>
      </c>
      <c r="H130" s="66" t="str">
        <f>VLOOKUP(Tabla1[[#This Row],[DNI ]],RUBRO!$F$1:$O$9996,6,FALSE)</f>
        <v>CORDOVA OJEDA JHON GIAMPIERRE</v>
      </c>
      <c r="I130" s="94">
        <v>44325</v>
      </c>
      <c r="J130" s="10">
        <v>3</v>
      </c>
      <c r="K130" s="2">
        <v>74359947</v>
      </c>
      <c r="L130" s="4">
        <f>VLOOKUP(Tabla1[[#This Row],[DNI ]],RUBRO!$F$2:$O$9996,8,FALSE)</f>
        <v>57.62</v>
      </c>
      <c r="M130" s="88"/>
      <c r="N130" s="28"/>
      <c r="P130" s="28"/>
      <c r="Q130" s="31">
        <f>(Tabla1[[#This Row],[SALIDA]]-Tabla1[[#This Row],[FIN ]])+(Tabla1[[#This Row],[INICIO]]-Tabla1[[#This Row],[INGRESO]])</f>
        <v>0</v>
      </c>
      <c r="R130" s="13">
        <f t="shared" si="3"/>
        <v>0</v>
      </c>
      <c r="S130" s="31">
        <f t="shared" si="4"/>
        <v>0</v>
      </c>
      <c r="T130" s="136"/>
      <c r="U130" s="136"/>
      <c r="V130" s="137">
        <f>(Tabla1[[#This Row],[COS.BASE 3]]*0.25+Tabla1[[#This Row],[COS.BASE 3]])*Tabla1[[#This Row],[HORAS 25 % ]]</f>
        <v>0</v>
      </c>
      <c r="W130" s="138">
        <f>(Tabla1[[#This Row],[COS.BASE 3]]*0.35+Tabla1[[#This Row],[COS.BASE 3]])*Tabla1[[#This Row],[HORAS 35% ]]</f>
        <v>0</v>
      </c>
      <c r="X130" s="138">
        <f>SUM(Tabla1[[#This Row],[C.HORA.35]],Tabla1[[#This Row],[C.HORA.25]])</f>
        <v>0</v>
      </c>
      <c r="Y130" s="4"/>
      <c r="Z130" s="10">
        <f>Tabla1[[#This Row],[T.HORAS]]*24</f>
        <v>0</v>
      </c>
      <c r="AA130" s="4">
        <f>Tabla1[[#This Row],[H.NORMALES]]*24</f>
        <v>0</v>
      </c>
      <c r="AB130" s="10">
        <f>Tabla1[[#This Row],[H.EXTRAS]]*24</f>
        <v>0</v>
      </c>
      <c r="AC130" s="105">
        <f t="shared" si="5"/>
        <v>0</v>
      </c>
      <c r="AD130" s="120">
        <f>Tabla1[[#This Row],[COS.BASE 2]]/8</f>
        <v>0</v>
      </c>
      <c r="AE130" s="105">
        <f>Tabla1[[#This Row],[CST_H_E]]+Tabla1[[#This Row],[COS.BASE 2]]</f>
        <v>0</v>
      </c>
      <c r="AF130" s="106">
        <f>+_xlfn.IFNA(INDEX(RUBRO!$W$2:$AA$732,MATCH(Tabla1[[#This Row],[FECHA ]],RUBRO!$W$2:$W$732,0),5)," ")</f>
        <v>0</v>
      </c>
      <c r="AG130" s="10">
        <f>+_xlfn.IFNA(INDEX(RUBRO!$W$2:$AA$732,MATCH(Tabla1[[#This Row],[FECHA ]],RUBRO!$W$2:$W$732,0),2)," ")</f>
        <v>1</v>
      </c>
      <c r="AH130" s="40">
        <f>IFERROR(Tabla1[[#This Row],[F]]*Tabla1[[#This Row],[COS.B+E]]," ")</f>
        <v>0</v>
      </c>
      <c r="AI130" s="40">
        <f>IFERROR(Tabla1[[#This Row],[COS.B+E]]*Tabla1[[#This Row],[D]]," ")</f>
        <v>0</v>
      </c>
      <c r="AJ130" s="40" t="str">
        <f>IFERROR(Tabla1[[#This Row],[F]]*#REF!," ")</f>
        <v xml:space="preserve"> </v>
      </c>
      <c r="AK130" s="40" t="str">
        <f>IFERROR(#REF!*Tabla1[[#This Row],[D]]," ")</f>
        <v xml:space="preserve"> </v>
      </c>
      <c r="AL130" s="103"/>
      <c r="AM130" s="103"/>
      <c r="AN130" s="103"/>
      <c r="AO130" s="38">
        <f>+Tabla1[[#This Row],[COS.B+E]]+Tabla1[[#This Row],[COS.F1]]+Tabla1[[#This Row],[COS.D1]]+Tabla1[[#This Row],[ALIMENTACION]]+Tabla1[[#This Row],[PRESTAMO]]+AN130</f>
        <v>0</v>
      </c>
      <c r="AP130" s="38" t="e">
        <f>+#REF!+Tabla1[[#This Row],[COS F2]]+Tabla1[[#This Row],[COS D2]]+Tabla1[[#This Row],[ALIMENTACION]]+Tabla1[[#This Row],[PRESTAMO]]+Tabla1[[#This Row],[PASAJES]]</f>
        <v>#REF!</v>
      </c>
    </row>
    <row r="131" spans="1:42" x14ac:dyDescent="0.25">
      <c r="A131" s="2" t="str">
        <f>TEXT(Tabla1[[#This Row],[FECHA ]],"DDDDD")</f>
        <v>domingo</v>
      </c>
      <c r="B131" s="2" t="str">
        <f>_xlfn.IFNA(VLOOKUP(Tabla1[[#This Row],[DESTINO]],RUBRO!$Q$1:$R$9996,2,FALSE)," ")</f>
        <v>DESCANSO</v>
      </c>
      <c r="C131" s="104">
        <f>WEEKNUM(Tabla1[[#This Row],[FECHA ]],2)</f>
        <v>19</v>
      </c>
      <c r="D131" s="104" t="str">
        <f>TEXT(Tabla1[[#This Row],[FECHA ]],"MMM-YY")</f>
        <v>may-YY</v>
      </c>
      <c r="E131" s="104" t="str">
        <f>VLOOKUP(Tabla1[[#This Row],[DNI ]],RUBRO!$F$1:$O$9996,7,FALSE)</f>
        <v>5ta</v>
      </c>
      <c r="F131" s="104" t="str">
        <f>VLOOKUP(Tabla1[[#This Row],[DNI ]],RUBRO!$F$1:$O$88,3,FALSE)</f>
        <v>TEC-02</v>
      </c>
      <c r="G131" s="104" t="str">
        <f>VLOOKUP(Tabla1[[#This Row],[DNI ]],RUBRO!$F$1:$O$9996,5,FALSE)</f>
        <v>TECNICO MECANICO MONTAJISTA DE MAQUINARIA</v>
      </c>
      <c r="H131" s="66" t="str">
        <f>VLOOKUP(Tabla1[[#This Row],[DNI ]],RUBRO!$F$1:$O$9996,6,FALSE)</f>
        <v>CORREA TORRES NOYLER</v>
      </c>
      <c r="I131" s="94">
        <v>44325</v>
      </c>
      <c r="J131" s="10">
        <v>3</v>
      </c>
      <c r="K131" s="2">
        <v>47321409</v>
      </c>
      <c r="L131" s="4">
        <f>VLOOKUP(Tabla1[[#This Row],[DNI ]],RUBRO!$F$2:$O$9996,8,FALSE)</f>
        <v>65</v>
      </c>
      <c r="M131" s="88"/>
      <c r="N131" s="28"/>
      <c r="P131" s="28"/>
      <c r="Q131" s="31">
        <f>(Tabla1[[#This Row],[SALIDA]]-Tabla1[[#This Row],[FIN ]])+(Tabla1[[#This Row],[INICIO]]-Tabla1[[#This Row],[INGRESO]])</f>
        <v>0</v>
      </c>
      <c r="R131" s="13">
        <f t="shared" si="3"/>
        <v>0</v>
      </c>
      <c r="S131" s="31">
        <f t="shared" si="4"/>
        <v>0</v>
      </c>
      <c r="T131" s="136"/>
      <c r="U131" s="136"/>
      <c r="V131" s="137">
        <f>(Tabla1[[#This Row],[COS.BASE 3]]*0.25+Tabla1[[#This Row],[COS.BASE 3]])*Tabla1[[#This Row],[HORAS 25 % ]]</f>
        <v>0</v>
      </c>
      <c r="W131" s="138">
        <f>(Tabla1[[#This Row],[COS.BASE 3]]*0.35+Tabla1[[#This Row],[COS.BASE 3]])*Tabla1[[#This Row],[HORAS 35% ]]</f>
        <v>0</v>
      </c>
      <c r="X131" s="138">
        <f>SUM(Tabla1[[#This Row],[C.HORA.35]],Tabla1[[#This Row],[C.HORA.25]])</f>
        <v>0</v>
      </c>
      <c r="Y131" s="4"/>
      <c r="Z131" s="10">
        <f>Tabla1[[#This Row],[T.HORAS]]*24</f>
        <v>0</v>
      </c>
      <c r="AA131" s="4">
        <f>Tabla1[[#This Row],[H.NORMALES]]*24</f>
        <v>0</v>
      </c>
      <c r="AB131" s="10">
        <f>Tabla1[[#This Row],[H.EXTRAS]]*24</f>
        <v>0</v>
      </c>
      <c r="AC131" s="105">
        <f t="shared" si="5"/>
        <v>0</v>
      </c>
      <c r="AD131" s="120">
        <f>Tabla1[[#This Row],[COS.BASE 2]]/8</f>
        <v>0</v>
      </c>
      <c r="AE131" s="105">
        <f>Tabla1[[#This Row],[CST_H_E]]+Tabla1[[#This Row],[COS.BASE 2]]</f>
        <v>0</v>
      </c>
      <c r="AF131" s="106">
        <f>+_xlfn.IFNA(INDEX(RUBRO!$W$2:$AA$732,MATCH(Tabla1[[#This Row],[FECHA ]],RUBRO!$W$2:$W$732,0),5)," ")</f>
        <v>0</v>
      </c>
      <c r="AG131" s="10">
        <f>+_xlfn.IFNA(INDEX(RUBRO!$W$2:$AA$732,MATCH(Tabla1[[#This Row],[FECHA ]],RUBRO!$W$2:$W$732,0),2)," ")</f>
        <v>1</v>
      </c>
      <c r="AH131" s="40">
        <f>IFERROR(Tabla1[[#This Row],[F]]*Tabla1[[#This Row],[COS.B+E]]," ")</f>
        <v>0</v>
      </c>
      <c r="AI131" s="40">
        <f>IFERROR(Tabla1[[#This Row],[COS.B+E]]*Tabla1[[#This Row],[D]]," ")</f>
        <v>0</v>
      </c>
      <c r="AJ131" s="40" t="str">
        <f>IFERROR(Tabla1[[#This Row],[F]]*#REF!," ")</f>
        <v xml:space="preserve"> </v>
      </c>
      <c r="AK131" s="40" t="str">
        <f>IFERROR(#REF!*Tabla1[[#This Row],[D]]," ")</f>
        <v xml:space="preserve"> </v>
      </c>
      <c r="AL131" s="103"/>
      <c r="AM131" s="103"/>
      <c r="AN131" s="103"/>
      <c r="AO131" s="38">
        <f>+Tabla1[[#This Row],[COS.B+E]]+Tabla1[[#This Row],[COS.F1]]+Tabla1[[#This Row],[COS.D1]]+Tabla1[[#This Row],[ALIMENTACION]]+Tabla1[[#This Row],[PRESTAMO]]+AN131</f>
        <v>0</v>
      </c>
      <c r="AP131" s="38" t="e">
        <f>+#REF!+Tabla1[[#This Row],[COS F2]]+Tabla1[[#This Row],[COS D2]]+Tabla1[[#This Row],[ALIMENTACION]]+Tabla1[[#This Row],[PRESTAMO]]+Tabla1[[#This Row],[PASAJES]]</f>
        <v>#REF!</v>
      </c>
    </row>
    <row r="132" spans="1:42" x14ac:dyDescent="0.25">
      <c r="A132" s="2" t="str">
        <f>TEXT(Tabla1[[#This Row],[FECHA ]],"DDDDD")</f>
        <v>domingo</v>
      </c>
      <c r="B132" s="2" t="str">
        <f>_xlfn.IFNA(VLOOKUP(Tabla1[[#This Row],[DESTINO]],RUBRO!$Q$1:$R$9996,2,FALSE)," ")</f>
        <v>DESCANSO</v>
      </c>
      <c r="C132" s="104">
        <f>WEEKNUM(Tabla1[[#This Row],[FECHA ]],2)</f>
        <v>19</v>
      </c>
      <c r="D132" s="104" t="str">
        <f>TEXT(Tabla1[[#This Row],[FECHA ]],"MMM-YY")</f>
        <v>may-YY</v>
      </c>
      <c r="E132" s="104" t="str">
        <f>VLOOKUP(Tabla1[[#This Row],[DNI ]],RUBRO!$F$1:$O$9996,7,FALSE)</f>
        <v>5ta</v>
      </c>
      <c r="F132" s="104" t="str">
        <f>VLOOKUP(Tabla1[[#This Row],[DNI ]],RUBRO!$F$1:$O$88,3,FALSE)</f>
        <v>TEC-04</v>
      </c>
      <c r="G132" s="104" t="str">
        <f>VLOOKUP(Tabla1[[#This Row],[DNI ]],RUBRO!$F$1:$O$9996,5,FALSE)</f>
        <v>TECNICO MECANICO MONTAJISTA DE MAQUINARIA EXTRANJERA</v>
      </c>
      <c r="H132" s="66" t="str">
        <f>VLOOKUP(Tabla1[[#This Row],[DNI ]],RUBRO!$F$1:$O$9996,6,FALSE)</f>
        <v>CUYA CAYCHO DANIEL LORENZO</v>
      </c>
      <c r="I132" s="94">
        <v>44325</v>
      </c>
      <c r="J132" s="10">
        <v>3</v>
      </c>
      <c r="K132" s="2">
        <v>70133802</v>
      </c>
      <c r="L132" s="4">
        <f>VLOOKUP(Tabla1[[#This Row],[DNI ]],RUBRO!$F$2:$O$9996,8,FALSE)</f>
        <v>66.92</v>
      </c>
      <c r="M132" s="88"/>
      <c r="N132" s="28"/>
      <c r="P132" s="28"/>
      <c r="Q132" s="31">
        <f>(Tabla1[[#This Row],[SALIDA]]-Tabla1[[#This Row],[FIN ]])+(Tabla1[[#This Row],[INICIO]]-Tabla1[[#This Row],[INGRESO]])</f>
        <v>0</v>
      </c>
      <c r="R132" s="13">
        <f t="shared" si="3"/>
        <v>0</v>
      </c>
      <c r="S132" s="31">
        <f t="shared" si="4"/>
        <v>0</v>
      </c>
      <c r="T132" s="136"/>
      <c r="U132" s="136"/>
      <c r="V132" s="137">
        <f>(Tabla1[[#This Row],[COS.BASE 3]]*0.25+Tabla1[[#This Row],[COS.BASE 3]])*Tabla1[[#This Row],[HORAS 25 % ]]</f>
        <v>0</v>
      </c>
      <c r="W132" s="138">
        <f>(Tabla1[[#This Row],[COS.BASE 3]]*0.35+Tabla1[[#This Row],[COS.BASE 3]])*Tabla1[[#This Row],[HORAS 35% ]]</f>
        <v>0</v>
      </c>
      <c r="X132" s="138">
        <f>SUM(Tabla1[[#This Row],[C.HORA.35]],Tabla1[[#This Row],[C.HORA.25]])</f>
        <v>0</v>
      </c>
      <c r="Y132" s="4"/>
      <c r="Z132" s="10">
        <f>Tabla1[[#This Row],[T.HORAS]]*24</f>
        <v>0</v>
      </c>
      <c r="AA132" s="4">
        <f>Tabla1[[#This Row],[H.NORMALES]]*24</f>
        <v>0</v>
      </c>
      <c r="AB132" s="10">
        <f>Tabla1[[#This Row],[H.EXTRAS]]*24</f>
        <v>0</v>
      </c>
      <c r="AC132" s="105">
        <f t="shared" si="5"/>
        <v>0</v>
      </c>
      <c r="AD132" s="120">
        <f>Tabla1[[#This Row],[COS.BASE 2]]/8</f>
        <v>0</v>
      </c>
      <c r="AE132" s="105">
        <f>Tabla1[[#This Row],[CST_H_E]]+Tabla1[[#This Row],[COS.BASE 2]]</f>
        <v>0</v>
      </c>
      <c r="AF132" s="106">
        <f>+_xlfn.IFNA(INDEX(RUBRO!$W$2:$AA$732,MATCH(Tabla1[[#This Row],[FECHA ]],RUBRO!$W$2:$W$732,0),5)," ")</f>
        <v>0</v>
      </c>
      <c r="AG132" s="10">
        <f>+_xlfn.IFNA(INDEX(RUBRO!$W$2:$AA$732,MATCH(Tabla1[[#This Row],[FECHA ]],RUBRO!$W$2:$W$732,0),2)," ")</f>
        <v>1</v>
      </c>
      <c r="AH132" s="40">
        <f>IFERROR(Tabla1[[#This Row],[F]]*Tabla1[[#This Row],[COS.B+E]]," ")</f>
        <v>0</v>
      </c>
      <c r="AI132" s="40">
        <f>IFERROR(Tabla1[[#This Row],[COS.B+E]]*Tabla1[[#This Row],[D]]," ")</f>
        <v>0</v>
      </c>
      <c r="AJ132" s="40" t="str">
        <f>IFERROR(Tabla1[[#This Row],[F]]*#REF!," ")</f>
        <v xml:space="preserve"> </v>
      </c>
      <c r="AK132" s="40" t="str">
        <f>IFERROR(#REF!*Tabla1[[#This Row],[D]]," ")</f>
        <v xml:space="preserve"> </v>
      </c>
      <c r="AL132" s="103"/>
      <c r="AM132" s="103"/>
      <c r="AN132" s="103"/>
      <c r="AO132" s="38">
        <f>+Tabla1[[#This Row],[COS.B+E]]+Tabla1[[#This Row],[COS.F1]]+Tabla1[[#This Row],[COS.D1]]+Tabla1[[#This Row],[ALIMENTACION]]+Tabla1[[#This Row],[PRESTAMO]]+AN132</f>
        <v>0</v>
      </c>
      <c r="AP132" s="38" t="e">
        <f>+#REF!+Tabla1[[#This Row],[COS F2]]+Tabla1[[#This Row],[COS D2]]+Tabla1[[#This Row],[ALIMENTACION]]+Tabla1[[#This Row],[PRESTAMO]]+Tabla1[[#This Row],[PASAJES]]</f>
        <v>#REF!</v>
      </c>
    </row>
    <row r="133" spans="1:42" x14ac:dyDescent="0.25">
      <c r="A133" s="2" t="str">
        <f>TEXT(Tabla1[[#This Row],[FECHA ]],"DDDDD")</f>
        <v>domingo</v>
      </c>
      <c r="B133" s="2" t="str">
        <f>_xlfn.IFNA(VLOOKUP(Tabla1[[#This Row],[DESTINO]],RUBRO!$Q$1:$R$9996,2,FALSE)," ")</f>
        <v>DESCANSO</v>
      </c>
      <c r="C133" s="104">
        <f>WEEKNUM(Tabla1[[#This Row],[FECHA ]],2)</f>
        <v>19</v>
      </c>
      <c r="D133" s="104" t="str">
        <f>TEXT(Tabla1[[#This Row],[FECHA ]],"MMM-YY")</f>
        <v>may-YY</v>
      </c>
      <c r="E133" s="104" t="str">
        <f>VLOOKUP(Tabla1[[#This Row],[DNI ]],RUBRO!$F$1:$O$9996,7,FALSE)</f>
        <v>4ta</v>
      </c>
      <c r="F133" s="104" t="e">
        <f>VLOOKUP(Tabla1[[#This Row],[DNI ]],RUBRO!$F$1:$O$88,3,FALSE)</f>
        <v>#N/A</v>
      </c>
      <c r="G133" s="104" t="str">
        <f>VLOOKUP(Tabla1[[#This Row],[DNI ]],RUBRO!$F$1:$O$9996,5,FALSE)</f>
        <v>TECNICO SOLDADOR</v>
      </c>
      <c r="H133" s="66" t="str">
        <f>VLOOKUP(Tabla1[[#This Row],[DNI ]],RUBRO!$F$1:$O$9996,6,FALSE)</f>
        <v>DAMIAN DAMIAN MIGUEL ANGEL</v>
      </c>
      <c r="I133" s="94">
        <v>44325</v>
      </c>
      <c r="J133" s="10">
        <v>3</v>
      </c>
      <c r="K133" s="2">
        <v>75494335</v>
      </c>
      <c r="L133" s="4">
        <f>VLOOKUP(Tabla1[[#This Row],[DNI ]],RUBRO!$F$2:$O$9996,8,FALSE)</f>
        <v>90</v>
      </c>
      <c r="M133" s="88"/>
      <c r="N133" s="28"/>
      <c r="P133" s="28"/>
      <c r="Q133" s="31">
        <f>(Tabla1[[#This Row],[SALIDA]]-Tabla1[[#This Row],[FIN ]])+(Tabla1[[#This Row],[INICIO]]-Tabla1[[#This Row],[INGRESO]])</f>
        <v>0</v>
      </c>
      <c r="R133" s="13">
        <f t="shared" si="3"/>
        <v>0</v>
      </c>
      <c r="S133" s="31">
        <f t="shared" si="4"/>
        <v>0</v>
      </c>
      <c r="T133" s="136"/>
      <c r="U133" s="136"/>
      <c r="V133" s="137">
        <f>(Tabla1[[#This Row],[COS.BASE 3]]*0.25+Tabla1[[#This Row],[COS.BASE 3]])*Tabla1[[#This Row],[HORAS 25 % ]]</f>
        <v>0</v>
      </c>
      <c r="W133" s="138">
        <f>(Tabla1[[#This Row],[COS.BASE 3]]*0.35+Tabla1[[#This Row],[COS.BASE 3]])*Tabla1[[#This Row],[HORAS 35% ]]</f>
        <v>0</v>
      </c>
      <c r="X133" s="138">
        <f>SUM(Tabla1[[#This Row],[C.HORA.35]],Tabla1[[#This Row],[C.HORA.25]])</f>
        <v>0</v>
      </c>
      <c r="Y133" s="4"/>
      <c r="Z133" s="10">
        <f>Tabla1[[#This Row],[T.HORAS]]*24</f>
        <v>0</v>
      </c>
      <c r="AA133" s="4">
        <f>Tabla1[[#This Row],[H.NORMALES]]*24</f>
        <v>0</v>
      </c>
      <c r="AB133" s="10">
        <f>Tabla1[[#This Row],[H.EXTRAS]]*24</f>
        <v>0</v>
      </c>
      <c r="AC133" s="105">
        <f t="shared" si="5"/>
        <v>0</v>
      </c>
      <c r="AD133" s="120">
        <f>Tabla1[[#This Row],[COS.BASE 2]]/8</f>
        <v>0</v>
      </c>
      <c r="AE133" s="105">
        <f>Tabla1[[#This Row],[CST_H_E]]+Tabla1[[#This Row],[COS.BASE 2]]</f>
        <v>0</v>
      </c>
      <c r="AF133" s="106">
        <f>+_xlfn.IFNA(INDEX(RUBRO!$W$2:$AA$732,MATCH(Tabla1[[#This Row],[FECHA ]],RUBRO!$W$2:$W$732,0),5)," ")</f>
        <v>0</v>
      </c>
      <c r="AG133" s="10">
        <f>+_xlfn.IFNA(INDEX(RUBRO!$W$2:$AA$732,MATCH(Tabla1[[#This Row],[FECHA ]],RUBRO!$W$2:$W$732,0),2)," ")</f>
        <v>1</v>
      </c>
      <c r="AH133" s="40">
        <f>IFERROR(Tabla1[[#This Row],[F]]*Tabla1[[#This Row],[COS.B+E]]," ")</f>
        <v>0</v>
      </c>
      <c r="AI133" s="40">
        <f>IFERROR(Tabla1[[#This Row],[COS.B+E]]*Tabla1[[#This Row],[D]]," ")</f>
        <v>0</v>
      </c>
      <c r="AJ133" s="40" t="str">
        <f>IFERROR(Tabla1[[#This Row],[F]]*#REF!," ")</f>
        <v xml:space="preserve"> </v>
      </c>
      <c r="AK133" s="40" t="str">
        <f>IFERROR(#REF!*Tabla1[[#This Row],[D]]," ")</f>
        <v xml:space="preserve"> </v>
      </c>
      <c r="AL133" s="103"/>
      <c r="AM133" s="103"/>
      <c r="AN133" s="103"/>
      <c r="AO133" s="38">
        <f>+Tabla1[[#This Row],[COS.B+E]]+Tabla1[[#This Row],[COS.F1]]+Tabla1[[#This Row],[COS.D1]]+Tabla1[[#This Row],[ALIMENTACION]]+Tabla1[[#This Row],[PRESTAMO]]+AN133</f>
        <v>0</v>
      </c>
      <c r="AP133" s="38" t="e">
        <f>+#REF!+Tabla1[[#This Row],[COS F2]]+Tabla1[[#This Row],[COS D2]]+Tabla1[[#This Row],[ALIMENTACION]]+Tabla1[[#This Row],[PRESTAMO]]+Tabla1[[#This Row],[PASAJES]]</f>
        <v>#REF!</v>
      </c>
    </row>
    <row r="134" spans="1:42" x14ac:dyDescent="0.25">
      <c r="A134" s="2" t="str">
        <f>TEXT(Tabla1[[#This Row],[FECHA ]],"DDDDD")</f>
        <v>domingo</v>
      </c>
      <c r="B134" s="2" t="str">
        <f>_xlfn.IFNA(VLOOKUP(Tabla1[[#This Row],[DESTINO]],RUBRO!$Q$1:$R$9996,2,FALSE)," ")</f>
        <v>DESCANSO</v>
      </c>
      <c r="C134" s="104">
        <f>WEEKNUM(Tabla1[[#This Row],[FECHA ]],2)</f>
        <v>19</v>
      </c>
      <c r="D134" s="104" t="str">
        <f>TEXT(Tabla1[[#This Row],[FECHA ]],"MMM-YY")</f>
        <v>may-YY</v>
      </c>
      <c r="E134" s="104" t="str">
        <f>VLOOKUP(Tabla1[[#This Row],[DNI ]],RUBRO!$F$1:$O$9996,7,FALSE)</f>
        <v>5ta</v>
      </c>
      <c r="F134" s="104" t="e">
        <f>VLOOKUP(Tabla1[[#This Row],[DNI ]],RUBRO!$F$1:$O$88,3,FALSE)</f>
        <v>#N/A</v>
      </c>
      <c r="G134" s="104" t="str">
        <f>VLOOKUP(Tabla1[[#This Row],[DNI ]],RUBRO!$F$1:$O$9996,5,FALSE)</f>
        <v>AYUDANTE DE PRODUCCION</v>
      </c>
      <c r="H134" s="66" t="str">
        <f>VLOOKUP(Tabla1[[#This Row],[DNI ]],RUBRO!$F$1:$O$9996,6,FALSE)</f>
        <v xml:space="preserve">DELGADO CORONADO ROBERTO </v>
      </c>
      <c r="I134" s="94">
        <v>44325</v>
      </c>
      <c r="J134" s="10">
        <v>3</v>
      </c>
      <c r="K134" s="2">
        <v>76288149</v>
      </c>
      <c r="L134" s="4">
        <f>VLOOKUP(Tabla1[[#This Row],[DNI ]],RUBRO!$F$2:$O$9996,8,FALSE)</f>
        <v>44.32</v>
      </c>
      <c r="M134" s="88"/>
      <c r="N134" s="28"/>
      <c r="P134" s="28"/>
      <c r="Q134" s="31">
        <f>(Tabla1[[#This Row],[SALIDA]]-Tabla1[[#This Row],[FIN ]])+(Tabla1[[#This Row],[INICIO]]-Tabla1[[#This Row],[INGRESO]])</f>
        <v>0</v>
      </c>
      <c r="R134" s="13">
        <f t="shared" ref="R134:R197" si="6">IF(J134=1,IF(Q134&gt;$AU$1,$AU$1,Q134),0)+IF(J134=2,IF(Q134&gt;$AU$3,$AU$3,Q134),0)+IF(J134=8,IF(Q134&gt;$AU$5,$AU$5,Q134),0)</f>
        <v>0</v>
      </c>
      <c r="S134" s="31">
        <f t="shared" ref="S134:S197" si="7">IF(J134=1,IF(Q134&gt;$AU$1,(Q134-R134),0),0)+IF(J134=2,IF(Q134&gt;$AU$3,(Q134-R134),0),0)+IF(J134=8,IF(Q134&gt;$AU$5,(Q134-R134),0),0)</f>
        <v>0</v>
      </c>
      <c r="T134" s="136"/>
      <c r="U134" s="136"/>
      <c r="V134" s="137">
        <f>(Tabla1[[#This Row],[COS.BASE 3]]*0.25+Tabla1[[#This Row],[COS.BASE 3]])*Tabla1[[#This Row],[HORAS 25 % ]]</f>
        <v>0</v>
      </c>
      <c r="W134" s="138">
        <f>(Tabla1[[#This Row],[COS.BASE 3]]*0.35+Tabla1[[#This Row],[COS.BASE 3]])*Tabla1[[#This Row],[HORAS 35% ]]</f>
        <v>0</v>
      </c>
      <c r="X134" s="138">
        <f>SUM(Tabla1[[#This Row],[C.HORA.35]],Tabla1[[#This Row],[C.HORA.25]])</f>
        <v>0</v>
      </c>
      <c r="Y134" s="4"/>
      <c r="Z134" s="10">
        <f>Tabla1[[#This Row],[T.HORAS]]*24</f>
        <v>0</v>
      </c>
      <c r="AA134" s="4">
        <f>Tabla1[[#This Row],[H.NORMALES]]*24</f>
        <v>0</v>
      </c>
      <c r="AB134" s="10">
        <f>Tabla1[[#This Row],[H.EXTRAS]]*24</f>
        <v>0</v>
      </c>
      <c r="AC134" s="105">
        <f t="shared" ref="AC134:AC197" si="8">IF(J134=1,(((R134*24)*(L134/9))),0)+IF(J134=2,(((R134*24)*(L134/8))),0)+IF(J134=8,(((R134*24)*(L134/8))),0)</f>
        <v>0</v>
      </c>
      <c r="AD134" s="120">
        <f>Tabla1[[#This Row],[COS.BASE 2]]/8</f>
        <v>0</v>
      </c>
      <c r="AE134" s="105">
        <f>Tabla1[[#This Row],[CST_H_E]]+Tabla1[[#This Row],[COS.BASE 2]]</f>
        <v>0</v>
      </c>
      <c r="AF134" s="106">
        <f>+_xlfn.IFNA(INDEX(RUBRO!$W$2:$AA$732,MATCH(Tabla1[[#This Row],[FECHA ]],RUBRO!$W$2:$W$732,0),5)," ")</f>
        <v>0</v>
      </c>
      <c r="AG134" s="10">
        <f>+_xlfn.IFNA(INDEX(RUBRO!$W$2:$AA$732,MATCH(Tabla1[[#This Row],[FECHA ]],RUBRO!$W$2:$W$732,0),2)," ")</f>
        <v>1</v>
      </c>
      <c r="AH134" s="40">
        <f>IFERROR(Tabla1[[#This Row],[F]]*Tabla1[[#This Row],[COS.B+E]]," ")</f>
        <v>0</v>
      </c>
      <c r="AI134" s="40">
        <f>IFERROR(Tabla1[[#This Row],[COS.B+E]]*Tabla1[[#This Row],[D]]," ")</f>
        <v>0</v>
      </c>
      <c r="AJ134" s="40" t="str">
        <f>IFERROR(Tabla1[[#This Row],[F]]*#REF!," ")</f>
        <v xml:space="preserve"> </v>
      </c>
      <c r="AK134" s="40" t="str">
        <f>IFERROR(#REF!*Tabla1[[#This Row],[D]]," ")</f>
        <v xml:space="preserve"> </v>
      </c>
      <c r="AL134" s="103"/>
      <c r="AM134" s="103"/>
      <c r="AN134" s="103"/>
      <c r="AO134" s="38">
        <f>+Tabla1[[#This Row],[COS.B+E]]+Tabla1[[#This Row],[COS.F1]]+Tabla1[[#This Row],[COS.D1]]+Tabla1[[#This Row],[ALIMENTACION]]+Tabla1[[#This Row],[PRESTAMO]]+AN134</f>
        <v>0</v>
      </c>
      <c r="AP134" s="38" t="e">
        <f>+#REF!+Tabla1[[#This Row],[COS F2]]+Tabla1[[#This Row],[COS D2]]+Tabla1[[#This Row],[ALIMENTACION]]+Tabla1[[#This Row],[PRESTAMO]]+Tabla1[[#This Row],[PASAJES]]</f>
        <v>#REF!</v>
      </c>
    </row>
    <row r="135" spans="1:42" x14ac:dyDescent="0.25">
      <c r="A135" s="2" t="str">
        <f>TEXT(Tabla1[[#This Row],[FECHA ]],"DDDDD")</f>
        <v>domingo</v>
      </c>
      <c r="B135" s="2" t="str">
        <f>_xlfn.IFNA(VLOOKUP(Tabla1[[#This Row],[DESTINO]],RUBRO!$Q$1:$R$9996,2,FALSE)," ")</f>
        <v>DESCANSO</v>
      </c>
      <c r="C135" s="104">
        <f>WEEKNUM(Tabla1[[#This Row],[FECHA ]],2)</f>
        <v>19</v>
      </c>
      <c r="D135" s="104" t="str">
        <f>TEXT(Tabla1[[#This Row],[FECHA ]],"MMM-YY")</f>
        <v>may-YY</v>
      </c>
      <c r="E135" s="104" t="str">
        <f>VLOOKUP(Tabla1[[#This Row],[DNI ]],RUBRO!$F$1:$O$9996,7,FALSE)</f>
        <v>5ta</v>
      </c>
      <c r="F135" s="104" t="e">
        <f>VLOOKUP(Tabla1[[#This Row],[DNI ]],RUBRO!$F$1:$O$88,3,FALSE)</f>
        <v>#N/A</v>
      </c>
      <c r="G135" s="104" t="str">
        <f>VLOOKUP(Tabla1[[#This Row],[DNI ]],RUBRO!$F$1:$O$9996,5,FALSE)</f>
        <v>AYUDANTE DE PRODUCCION</v>
      </c>
      <c r="H135" s="66" t="str">
        <f>VLOOKUP(Tabla1[[#This Row],[DNI ]],RUBRO!$F$1:$O$9996,6,FALSE)</f>
        <v>DIAZ CABREJOS KELVIN</v>
      </c>
      <c r="I135" s="94">
        <v>44325</v>
      </c>
      <c r="J135" s="10">
        <v>3</v>
      </c>
      <c r="K135" s="2">
        <v>75809362</v>
      </c>
      <c r="L135" s="4">
        <f>VLOOKUP(Tabla1[[#This Row],[DNI ]],RUBRO!$F$2:$O$9996,8,FALSE)</f>
        <v>65</v>
      </c>
      <c r="M135" s="88"/>
      <c r="N135" s="28"/>
      <c r="P135" s="28"/>
      <c r="Q135" s="31">
        <f>(Tabla1[[#This Row],[SALIDA]]-Tabla1[[#This Row],[FIN ]])+(Tabla1[[#This Row],[INICIO]]-Tabla1[[#This Row],[INGRESO]])</f>
        <v>0</v>
      </c>
      <c r="R135" s="13">
        <f t="shared" si="6"/>
        <v>0</v>
      </c>
      <c r="S135" s="31">
        <f t="shared" si="7"/>
        <v>0</v>
      </c>
      <c r="T135" s="136"/>
      <c r="U135" s="136"/>
      <c r="V135" s="137">
        <f>(Tabla1[[#This Row],[COS.BASE 3]]*0.25+Tabla1[[#This Row],[COS.BASE 3]])*Tabla1[[#This Row],[HORAS 25 % ]]</f>
        <v>0</v>
      </c>
      <c r="W135" s="138">
        <f>(Tabla1[[#This Row],[COS.BASE 3]]*0.35+Tabla1[[#This Row],[COS.BASE 3]])*Tabla1[[#This Row],[HORAS 35% ]]</f>
        <v>0</v>
      </c>
      <c r="X135" s="138">
        <f>SUM(Tabla1[[#This Row],[C.HORA.35]],Tabla1[[#This Row],[C.HORA.25]])</f>
        <v>0</v>
      </c>
      <c r="Y135" s="4"/>
      <c r="Z135" s="10">
        <f>Tabla1[[#This Row],[T.HORAS]]*24</f>
        <v>0</v>
      </c>
      <c r="AA135" s="4">
        <f>Tabla1[[#This Row],[H.NORMALES]]*24</f>
        <v>0</v>
      </c>
      <c r="AB135" s="10">
        <f>Tabla1[[#This Row],[H.EXTRAS]]*24</f>
        <v>0</v>
      </c>
      <c r="AC135" s="105">
        <f t="shared" si="8"/>
        <v>0</v>
      </c>
      <c r="AD135" s="120">
        <f>Tabla1[[#This Row],[COS.BASE 2]]/8</f>
        <v>0</v>
      </c>
      <c r="AE135" s="105">
        <f>Tabla1[[#This Row],[CST_H_E]]+Tabla1[[#This Row],[COS.BASE 2]]</f>
        <v>0</v>
      </c>
      <c r="AF135" s="106">
        <f>+_xlfn.IFNA(INDEX(RUBRO!$W$2:$AA$732,MATCH(Tabla1[[#This Row],[FECHA ]],RUBRO!$W$2:$W$732,0),5)," ")</f>
        <v>0</v>
      </c>
      <c r="AG135" s="10">
        <f>+_xlfn.IFNA(INDEX(RUBRO!$W$2:$AA$732,MATCH(Tabla1[[#This Row],[FECHA ]],RUBRO!$W$2:$W$732,0),2)," ")</f>
        <v>1</v>
      </c>
      <c r="AH135" s="40">
        <f>IFERROR(Tabla1[[#This Row],[F]]*Tabla1[[#This Row],[COS.B+E]]," ")</f>
        <v>0</v>
      </c>
      <c r="AI135" s="40">
        <f>IFERROR(Tabla1[[#This Row],[COS.B+E]]*Tabla1[[#This Row],[D]]," ")</f>
        <v>0</v>
      </c>
      <c r="AJ135" s="40" t="str">
        <f>IFERROR(Tabla1[[#This Row],[F]]*#REF!," ")</f>
        <v xml:space="preserve"> </v>
      </c>
      <c r="AK135" s="40" t="str">
        <f>IFERROR(#REF!*Tabla1[[#This Row],[D]]," ")</f>
        <v xml:space="preserve"> </v>
      </c>
      <c r="AL135" s="103"/>
      <c r="AM135" s="103"/>
      <c r="AN135" s="103"/>
      <c r="AO135" s="38">
        <f>+Tabla1[[#This Row],[COS.B+E]]+Tabla1[[#This Row],[COS.F1]]+Tabla1[[#This Row],[COS.D1]]+Tabla1[[#This Row],[ALIMENTACION]]+Tabla1[[#This Row],[PRESTAMO]]+AN135</f>
        <v>0</v>
      </c>
      <c r="AP135" s="38" t="e">
        <f>+#REF!+Tabla1[[#This Row],[COS F2]]+Tabla1[[#This Row],[COS D2]]+Tabla1[[#This Row],[ALIMENTACION]]+Tabla1[[#This Row],[PRESTAMO]]+Tabla1[[#This Row],[PASAJES]]</f>
        <v>#REF!</v>
      </c>
    </row>
    <row r="136" spans="1:42" x14ac:dyDescent="0.25">
      <c r="A136" s="2" t="str">
        <f>TEXT(Tabla1[[#This Row],[FECHA ]],"DDDDD")</f>
        <v>domingo</v>
      </c>
      <c r="B136" s="2" t="str">
        <f>_xlfn.IFNA(VLOOKUP(Tabla1[[#This Row],[DESTINO]],RUBRO!$Q$1:$R$9996,2,FALSE)," ")</f>
        <v>DESCANSO</v>
      </c>
      <c r="C136" s="104">
        <f>WEEKNUM(Tabla1[[#This Row],[FECHA ]],2)</f>
        <v>19</v>
      </c>
      <c r="D136" s="104" t="str">
        <f>TEXT(Tabla1[[#This Row],[FECHA ]],"MMM-YY")</f>
        <v>may-YY</v>
      </c>
      <c r="E136" s="104" t="str">
        <f>VLOOKUP(Tabla1[[#This Row],[DNI ]],RUBRO!$F$1:$O$9996,7,FALSE)</f>
        <v>4ta</v>
      </c>
      <c r="F136" s="104" t="str">
        <f>VLOOKUP(Tabla1[[#This Row],[DNI ]],RUBRO!$F$1:$O$88,3,FALSE)</f>
        <v>OPE-01</v>
      </c>
      <c r="G136" s="104" t="str">
        <f>VLOOKUP(Tabla1[[#This Row],[DNI ]],RUBRO!$F$1:$O$9996,5,FALSE)</f>
        <v>OPERARIO SOLDADOR</v>
      </c>
      <c r="H136" s="66" t="str">
        <f>VLOOKUP(Tabla1[[#This Row],[DNI ]],RUBRO!$F$1:$O$9996,6,FALSE)</f>
        <v>ENRIQUEZ GONZALES MIGUEL ANGEL</v>
      </c>
      <c r="I136" s="94">
        <v>44325</v>
      </c>
      <c r="J136" s="10">
        <v>3</v>
      </c>
      <c r="K136" s="2">
        <v>42558469</v>
      </c>
      <c r="L136" s="4">
        <f>VLOOKUP(Tabla1[[#This Row],[DNI ]],RUBRO!$F$2:$O$9996,8,FALSE)</f>
        <v>60</v>
      </c>
      <c r="M136" s="88"/>
      <c r="N136" s="28"/>
      <c r="P136" s="28"/>
      <c r="Q136" s="31">
        <f>(Tabla1[[#This Row],[SALIDA]]-Tabla1[[#This Row],[FIN ]])+(Tabla1[[#This Row],[INICIO]]-Tabla1[[#This Row],[INGRESO]])</f>
        <v>0</v>
      </c>
      <c r="R136" s="13">
        <f t="shared" si="6"/>
        <v>0</v>
      </c>
      <c r="S136" s="31">
        <f t="shared" si="7"/>
        <v>0</v>
      </c>
      <c r="T136" s="136"/>
      <c r="U136" s="136"/>
      <c r="V136" s="137">
        <f>(Tabla1[[#This Row],[COS.BASE 3]]*0.25+Tabla1[[#This Row],[COS.BASE 3]])*Tabla1[[#This Row],[HORAS 25 % ]]</f>
        <v>0</v>
      </c>
      <c r="W136" s="138">
        <f>(Tabla1[[#This Row],[COS.BASE 3]]*0.35+Tabla1[[#This Row],[COS.BASE 3]])*Tabla1[[#This Row],[HORAS 35% ]]</f>
        <v>0</v>
      </c>
      <c r="X136" s="138">
        <f>SUM(Tabla1[[#This Row],[C.HORA.35]],Tabla1[[#This Row],[C.HORA.25]])</f>
        <v>0</v>
      </c>
      <c r="Y136" s="4"/>
      <c r="Z136" s="10">
        <f>Tabla1[[#This Row],[T.HORAS]]*24</f>
        <v>0</v>
      </c>
      <c r="AA136" s="4">
        <f>Tabla1[[#This Row],[H.NORMALES]]*24</f>
        <v>0</v>
      </c>
      <c r="AB136" s="10">
        <f>Tabla1[[#This Row],[H.EXTRAS]]*24</f>
        <v>0</v>
      </c>
      <c r="AC136" s="105">
        <f t="shared" si="8"/>
        <v>0</v>
      </c>
      <c r="AD136" s="120">
        <f>Tabla1[[#This Row],[COS.BASE 2]]/8</f>
        <v>0</v>
      </c>
      <c r="AE136" s="105">
        <f>Tabla1[[#This Row],[CST_H_E]]+Tabla1[[#This Row],[COS.BASE 2]]</f>
        <v>0</v>
      </c>
      <c r="AF136" s="106">
        <f>+_xlfn.IFNA(INDEX(RUBRO!$W$2:$AA$732,MATCH(Tabla1[[#This Row],[FECHA ]],RUBRO!$W$2:$W$732,0),5)," ")</f>
        <v>0</v>
      </c>
      <c r="AG136" s="10">
        <f>+_xlfn.IFNA(INDEX(RUBRO!$W$2:$AA$732,MATCH(Tabla1[[#This Row],[FECHA ]],RUBRO!$W$2:$W$732,0),2)," ")</f>
        <v>1</v>
      </c>
      <c r="AH136" s="40">
        <f>IFERROR(Tabla1[[#This Row],[F]]*Tabla1[[#This Row],[COS.B+E]]," ")</f>
        <v>0</v>
      </c>
      <c r="AI136" s="40">
        <f>IFERROR(Tabla1[[#This Row],[COS.B+E]]*Tabla1[[#This Row],[D]]," ")</f>
        <v>0</v>
      </c>
      <c r="AJ136" s="40" t="str">
        <f>IFERROR(Tabla1[[#This Row],[F]]*#REF!," ")</f>
        <v xml:space="preserve"> </v>
      </c>
      <c r="AK136" s="40" t="str">
        <f>IFERROR(#REF!*Tabla1[[#This Row],[D]]," ")</f>
        <v xml:space="preserve"> </v>
      </c>
      <c r="AL136" s="103"/>
      <c r="AM136" s="103"/>
      <c r="AN136" s="103"/>
      <c r="AO136" s="38">
        <f>+Tabla1[[#This Row],[COS.B+E]]+Tabla1[[#This Row],[COS.F1]]+Tabla1[[#This Row],[COS.D1]]+Tabla1[[#This Row],[ALIMENTACION]]+Tabla1[[#This Row],[PRESTAMO]]+AN136</f>
        <v>0</v>
      </c>
      <c r="AP136" s="38" t="e">
        <f>+#REF!+Tabla1[[#This Row],[COS F2]]+Tabla1[[#This Row],[COS D2]]+Tabla1[[#This Row],[ALIMENTACION]]+Tabla1[[#This Row],[PRESTAMO]]+Tabla1[[#This Row],[PASAJES]]</f>
        <v>#REF!</v>
      </c>
    </row>
    <row r="137" spans="1:42" x14ac:dyDescent="0.25">
      <c r="A137" s="2" t="str">
        <f>TEXT(Tabla1[[#This Row],[FECHA ]],"DDDDD")</f>
        <v>domingo</v>
      </c>
      <c r="B137" s="2" t="str">
        <f>_xlfn.IFNA(VLOOKUP(Tabla1[[#This Row],[DESTINO]],RUBRO!$Q$1:$R$9996,2,FALSE)," ")</f>
        <v>DESCANSO</v>
      </c>
      <c r="C137" s="104">
        <f>WEEKNUM(Tabla1[[#This Row],[FECHA ]],2)</f>
        <v>19</v>
      </c>
      <c r="D137" s="104" t="str">
        <f>TEXT(Tabla1[[#This Row],[FECHA ]],"MMM-YY")</f>
        <v>may-YY</v>
      </c>
      <c r="E137" s="104" t="str">
        <f>VLOOKUP(Tabla1[[#This Row],[DNI ]],RUBRO!$F$1:$O$9996,7,FALSE)</f>
        <v>5ta</v>
      </c>
      <c r="F137" s="104" t="str">
        <f>VLOOKUP(Tabla1[[#This Row],[DNI ]],RUBRO!$F$1:$O$88,3,FALSE)</f>
        <v>MAE-02</v>
      </c>
      <c r="G137" s="104" t="str">
        <f>VLOOKUP(Tabla1[[#This Row],[DNI ]],RUBRO!$F$1:$O$9996,5,FALSE)</f>
        <v>MAESTRO MECANICO MONTAJISTA DE MAQUINARIA</v>
      </c>
      <c r="H137" s="66" t="str">
        <f>VLOOKUP(Tabla1[[#This Row],[DNI ]],RUBRO!$F$1:$O$9996,6,FALSE)</f>
        <v>GRAUS JUAREZ MIGUEL RICARDO</v>
      </c>
      <c r="I137" s="94">
        <v>44325</v>
      </c>
      <c r="J137" s="10">
        <v>3</v>
      </c>
      <c r="K137" s="2">
        <v>48046568</v>
      </c>
      <c r="L137" s="4">
        <f>VLOOKUP(Tabla1[[#This Row],[DNI ]],RUBRO!$F$2:$O$9996,8,FALSE)</f>
        <v>68.150000000000006</v>
      </c>
      <c r="M137" s="88"/>
      <c r="N137" s="28"/>
      <c r="P137" s="28"/>
      <c r="Q137" s="31">
        <f>(Tabla1[[#This Row],[SALIDA]]-Tabla1[[#This Row],[FIN ]])+(Tabla1[[#This Row],[INICIO]]-Tabla1[[#This Row],[INGRESO]])</f>
        <v>0</v>
      </c>
      <c r="R137" s="13">
        <f t="shared" si="6"/>
        <v>0</v>
      </c>
      <c r="S137" s="31">
        <f t="shared" si="7"/>
        <v>0</v>
      </c>
      <c r="T137" s="136"/>
      <c r="U137" s="136"/>
      <c r="V137" s="137">
        <f>(Tabla1[[#This Row],[COS.BASE 3]]*0.25+Tabla1[[#This Row],[COS.BASE 3]])*Tabla1[[#This Row],[HORAS 25 % ]]</f>
        <v>0</v>
      </c>
      <c r="W137" s="138">
        <f>(Tabla1[[#This Row],[COS.BASE 3]]*0.35+Tabla1[[#This Row],[COS.BASE 3]])*Tabla1[[#This Row],[HORAS 35% ]]</f>
        <v>0</v>
      </c>
      <c r="X137" s="138">
        <f>SUM(Tabla1[[#This Row],[C.HORA.35]],Tabla1[[#This Row],[C.HORA.25]])</f>
        <v>0</v>
      </c>
      <c r="Y137" s="4"/>
      <c r="Z137" s="10">
        <f>Tabla1[[#This Row],[T.HORAS]]*24</f>
        <v>0</v>
      </c>
      <c r="AA137" s="4">
        <f>Tabla1[[#This Row],[H.NORMALES]]*24</f>
        <v>0</v>
      </c>
      <c r="AB137" s="10">
        <f>Tabla1[[#This Row],[H.EXTRAS]]*24</f>
        <v>0</v>
      </c>
      <c r="AC137" s="105">
        <f t="shared" si="8"/>
        <v>0</v>
      </c>
      <c r="AD137" s="120">
        <f>Tabla1[[#This Row],[COS.BASE 2]]/8</f>
        <v>0</v>
      </c>
      <c r="AE137" s="105">
        <f>Tabla1[[#This Row],[CST_H_E]]+Tabla1[[#This Row],[COS.BASE 2]]</f>
        <v>0</v>
      </c>
      <c r="AF137" s="106">
        <f>+_xlfn.IFNA(INDEX(RUBRO!$W$2:$AA$732,MATCH(Tabla1[[#This Row],[FECHA ]],RUBRO!$W$2:$W$732,0),5)," ")</f>
        <v>0</v>
      </c>
      <c r="AG137" s="10">
        <f>+_xlfn.IFNA(INDEX(RUBRO!$W$2:$AA$732,MATCH(Tabla1[[#This Row],[FECHA ]],RUBRO!$W$2:$W$732,0),2)," ")</f>
        <v>1</v>
      </c>
      <c r="AH137" s="40">
        <f>IFERROR(Tabla1[[#This Row],[F]]*Tabla1[[#This Row],[COS.B+E]]," ")</f>
        <v>0</v>
      </c>
      <c r="AI137" s="40">
        <f>IFERROR(Tabla1[[#This Row],[COS.B+E]]*Tabla1[[#This Row],[D]]," ")</f>
        <v>0</v>
      </c>
      <c r="AJ137" s="40" t="str">
        <f>IFERROR(Tabla1[[#This Row],[F]]*#REF!," ")</f>
        <v xml:space="preserve"> </v>
      </c>
      <c r="AK137" s="40" t="str">
        <f>IFERROR(#REF!*Tabla1[[#This Row],[D]]," ")</f>
        <v xml:space="preserve"> </v>
      </c>
      <c r="AL137" s="103"/>
      <c r="AM137" s="103"/>
      <c r="AN137" s="103"/>
      <c r="AO137" s="38">
        <f>+Tabla1[[#This Row],[COS.B+E]]+Tabla1[[#This Row],[COS.F1]]+Tabla1[[#This Row],[COS.D1]]+Tabla1[[#This Row],[ALIMENTACION]]+Tabla1[[#This Row],[PRESTAMO]]+AN137</f>
        <v>0</v>
      </c>
      <c r="AP137" s="38" t="e">
        <f>+#REF!+Tabla1[[#This Row],[COS F2]]+Tabla1[[#This Row],[COS D2]]+Tabla1[[#This Row],[ALIMENTACION]]+Tabla1[[#This Row],[PRESTAMO]]+Tabla1[[#This Row],[PASAJES]]</f>
        <v>#REF!</v>
      </c>
    </row>
    <row r="138" spans="1:42" x14ac:dyDescent="0.25">
      <c r="A138" s="2" t="str">
        <f>TEXT(Tabla1[[#This Row],[FECHA ]],"DDDDD")</f>
        <v>domingo</v>
      </c>
      <c r="B138" s="2" t="str">
        <f>_xlfn.IFNA(VLOOKUP(Tabla1[[#This Row],[DESTINO]],RUBRO!$Q$1:$R$9996,2,FALSE)," ")</f>
        <v>DESCANSO</v>
      </c>
      <c r="C138" s="104">
        <f>WEEKNUM(Tabla1[[#This Row],[FECHA ]],2)</f>
        <v>19</v>
      </c>
      <c r="D138" s="104" t="str">
        <f>TEXT(Tabla1[[#This Row],[FECHA ]],"MMM-YY")</f>
        <v>may-YY</v>
      </c>
      <c r="E138" s="104" t="str">
        <f>VLOOKUP(Tabla1[[#This Row],[DNI ]],RUBRO!$F$1:$O$9996,7,FALSE)</f>
        <v>5ta</v>
      </c>
      <c r="F138" s="104" t="e">
        <f>VLOOKUP(Tabla1[[#This Row],[DNI ]],RUBRO!$F$1:$O$88,3,FALSE)</f>
        <v>#N/A</v>
      </c>
      <c r="G138" s="104" t="str">
        <f>VLOOKUP(Tabla1[[#This Row],[DNI ]],RUBRO!$F$1:$O$9996,5,FALSE)</f>
        <v>AYUDANTE DE PRODUCCION</v>
      </c>
      <c r="H138" s="66" t="str">
        <f>VLOOKUP(Tabla1[[#This Row],[DNI ]],RUBRO!$F$1:$O$9996,6,FALSE)</f>
        <v>GUERRERO CORDOVA ISMAEL</v>
      </c>
      <c r="I138" s="94">
        <v>44325</v>
      </c>
      <c r="J138" s="10">
        <v>3</v>
      </c>
      <c r="K138" s="2">
        <v>75790434</v>
      </c>
      <c r="L138" s="4">
        <f>VLOOKUP(Tabla1[[#This Row],[DNI ]],RUBRO!$F$2:$O$9996,8,FALSE)</f>
        <v>35.81</v>
      </c>
      <c r="M138" s="88"/>
      <c r="N138" s="28"/>
      <c r="P138" s="28"/>
      <c r="Q138" s="31">
        <f>(Tabla1[[#This Row],[SALIDA]]-Tabla1[[#This Row],[FIN ]])+(Tabla1[[#This Row],[INICIO]]-Tabla1[[#This Row],[INGRESO]])</f>
        <v>0</v>
      </c>
      <c r="R138" s="13">
        <f t="shared" si="6"/>
        <v>0</v>
      </c>
      <c r="S138" s="31">
        <f t="shared" si="7"/>
        <v>0</v>
      </c>
      <c r="T138" s="136"/>
      <c r="U138" s="136"/>
      <c r="V138" s="137">
        <f>(Tabla1[[#This Row],[COS.BASE 3]]*0.25+Tabla1[[#This Row],[COS.BASE 3]])*Tabla1[[#This Row],[HORAS 25 % ]]</f>
        <v>0</v>
      </c>
      <c r="W138" s="138">
        <f>(Tabla1[[#This Row],[COS.BASE 3]]*0.35+Tabla1[[#This Row],[COS.BASE 3]])*Tabla1[[#This Row],[HORAS 35% ]]</f>
        <v>0</v>
      </c>
      <c r="X138" s="138">
        <f>SUM(Tabla1[[#This Row],[C.HORA.35]],Tabla1[[#This Row],[C.HORA.25]])</f>
        <v>0</v>
      </c>
      <c r="Y138" s="4"/>
      <c r="Z138" s="10">
        <f>Tabla1[[#This Row],[T.HORAS]]*24</f>
        <v>0</v>
      </c>
      <c r="AA138" s="4">
        <f>Tabla1[[#This Row],[H.NORMALES]]*24</f>
        <v>0</v>
      </c>
      <c r="AB138" s="10">
        <f>Tabla1[[#This Row],[H.EXTRAS]]*24</f>
        <v>0</v>
      </c>
      <c r="AC138" s="105">
        <f t="shared" si="8"/>
        <v>0</v>
      </c>
      <c r="AD138" s="120">
        <f>Tabla1[[#This Row],[COS.BASE 2]]/8</f>
        <v>0</v>
      </c>
      <c r="AE138" s="105">
        <f>Tabla1[[#This Row],[CST_H_E]]+Tabla1[[#This Row],[COS.BASE 2]]</f>
        <v>0</v>
      </c>
      <c r="AF138" s="106">
        <f>+_xlfn.IFNA(INDEX(RUBRO!$W$2:$AA$732,MATCH(Tabla1[[#This Row],[FECHA ]],RUBRO!$W$2:$W$732,0),5)," ")</f>
        <v>0</v>
      </c>
      <c r="AG138" s="10">
        <f>+_xlfn.IFNA(INDEX(RUBRO!$W$2:$AA$732,MATCH(Tabla1[[#This Row],[FECHA ]],RUBRO!$W$2:$W$732,0),2)," ")</f>
        <v>1</v>
      </c>
      <c r="AH138" s="40">
        <f>IFERROR(Tabla1[[#This Row],[F]]*Tabla1[[#This Row],[COS.B+E]]," ")</f>
        <v>0</v>
      </c>
      <c r="AI138" s="40">
        <f>IFERROR(Tabla1[[#This Row],[COS.B+E]]*Tabla1[[#This Row],[D]]," ")</f>
        <v>0</v>
      </c>
      <c r="AJ138" s="40" t="str">
        <f>IFERROR(Tabla1[[#This Row],[F]]*#REF!," ")</f>
        <v xml:space="preserve"> </v>
      </c>
      <c r="AK138" s="40" t="str">
        <f>IFERROR(#REF!*Tabla1[[#This Row],[D]]," ")</f>
        <v xml:space="preserve"> </v>
      </c>
      <c r="AL138" s="103"/>
      <c r="AM138" s="103"/>
      <c r="AN138" s="103"/>
      <c r="AO138" s="38">
        <f>+Tabla1[[#This Row],[COS.B+E]]+Tabla1[[#This Row],[COS.F1]]+Tabla1[[#This Row],[COS.D1]]+Tabla1[[#This Row],[ALIMENTACION]]+Tabla1[[#This Row],[PRESTAMO]]+AN138</f>
        <v>0</v>
      </c>
      <c r="AP138" s="38" t="e">
        <f>+#REF!+Tabla1[[#This Row],[COS F2]]+Tabla1[[#This Row],[COS D2]]+Tabla1[[#This Row],[ALIMENTACION]]+Tabla1[[#This Row],[PRESTAMO]]+Tabla1[[#This Row],[PASAJES]]</f>
        <v>#REF!</v>
      </c>
    </row>
    <row r="139" spans="1:42" x14ac:dyDescent="0.25">
      <c r="A139" s="2" t="str">
        <f>TEXT(Tabla1[[#This Row],[FECHA ]],"DDDDD")</f>
        <v>domingo</v>
      </c>
      <c r="B139" s="2" t="str">
        <f>_xlfn.IFNA(VLOOKUP(Tabla1[[#This Row],[DESTINO]],RUBRO!$Q$1:$R$9996,2,FALSE)," ")</f>
        <v>DESCANSO</v>
      </c>
      <c r="C139" s="104">
        <f>WEEKNUM(Tabla1[[#This Row],[FECHA ]],2)</f>
        <v>19</v>
      </c>
      <c r="D139" s="104" t="str">
        <f>TEXT(Tabla1[[#This Row],[FECHA ]],"MMM-YY")</f>
        <v>may-YY</v>
      </c>
      <c r="E139" s="104" t="str">
        <f>VLOOKUP(Tabla1[[#This Row],[DNI ]],RUBRO!$F$1:$O$9996,7,FALSE)</f>
        <v>4ta</v>
      </c>
      <c r="F139" s="104" t="str">
        <f>VLOOKUP(Tabla1[[#This Row],[DNI ]],RUBRO!$F$1:$O$88,3,FALSE)</f>
        <v>TEC-01</v>
      </c>
      <c r="G139" s="104" t="str">
        <f>VLOOKUP(Tabla1[[#This Row],[DNI ]],RUBRO!$F$1:$O$9996,5,FALSE)</f>
        <v>TECNICO SOLDADOR</v>
      </c>
      <c r="H139" s="66" t="str">
        <f>VLOOKUP(Tabla1[[#This Row],[DNI ]],RUBRO!$F$1:$O$9996,6,FALSE)</f>
        <v>GUEVARA PACHERREZ ERICK DANIEL</v>
      </c>
      <c r="I139" s="94">
        <v>44325</v>
      </c>
      <c r="J139" s="10">
        <v>3</v>
      </c>
      <c r="K139" s="2">
        <v>45545014</v>
      </c>
      <c r="L139" s="4">
        <f>VLOOKUP(Tabla1[[#This Row],[DNI ]],RUBRO!$F$2:$O$9996,8,FALSE)</f>
        <v>60</v>
      </c>
      <c r="M139" s="88"/>
      <c r="N139" s="28"/>
      <c r="P139" s="28"/>
      <c r="Q139" s="31">
        <f>(Tabla1[[#This Row],[SALIDA]]-Tabla1[[#This Row],[FIN ]])+(Tabla1[[#This Row],[INICIO]]-Tabla1[[#This Row],[INGRESO]])</f>
        <v>0</v>
      </c>
      <c r="R139" s="13">
        <f t="shared" si="6"/>
        <v>0</v>
      </c>
      <c r="S139" s="31">
        <f t="shared" si="7"/>
        <v>0</v>
      </c>
      <c r="T139" s="136"/>
      <c r="U139" s="136"/>
      <c r="V139" s="137">
        <f>(Tabla1[[#This Row],[COS.BASE 3]]*0.25+Tabla1[[#This Row],[COS.BASE 3]])*Tabla1[[#This Row],[HORAS 25 % ]]</f>
        <v>0</v>
      </c>
      <c r="W139" s="138">
        <f>(Tabla1[[#This Row],[COS.BASE 3]]*0.35+Tabla1[[#This Row],[COS.BASE 3]])*Tabla1[[#This Row],[HORAS 35% ]]</f>
        <v>0</v>
      </c>
      <c r="X139" s="138">
        <f>SUM(Tabla1[[#This Row],[C.HORA.35]],Tabla1[[#This Row],[C.HORA.25]])</f>
        <v>0</v>
      </c>
      <c r="Y139" s="4"/>
      <c r="Z139" s="10">
        <f>Tabla1[[#This Row],[T.HORAS]]*24</f>
        <v>0</v>
      </c>
      <c r="AA139" s="4">
        <f>Tabla1[[#This Row],[H.NORMALES]]*24</f>
        <v>0</v>
      </c>
      <c r="AB139" s="10">
        <f>Tabla1[[#This Row],[H.EXTRAS]]*24</f>
        <v>0</v>
      </c>
      <c r="AC139" s="105">
        <f t="shared" si="8"/>
        <v>0</v>
      </c>
      <c r="AD139" s="120">
        <f>Tabla1[[#This Row],[COS.BASE 2]]/8</f>
        <v>0</v>
      </c>
      <c r="AE139" s="105">
        <f>Tabla1[[#This Row],[CST_H_E]]+Tabla1[[#This Row],[COS.BASE 2]]</f>
        <v>0</v>
      </c>
      <c r="AF139" s="106">
        <f>+_xlfn.IFNA(INDEX(RUBRO!$W$2:$AA$732,MATCH(Tabla1[[#This Row],[FECHA ]],RUBRO!$W$2:$W$732,0),5)," ")</f>
        <v>0</v>
      </c>
      <c r="AG139" s="10">
        <f>+_xlfn.IFNA(INDEX(RUBRO!$W$2:$AA$732,MATCH(Tabla1[[#This Row],[FECHA ]],RUBRO!$W$2:$W$732,0),2)," ")</f>
        <v>1</v>
      </c>
      <c r="AH139" s="40">
        <f>IFERROR(Tabla1[[#This Row],[F]]*Tabla1[[#This Row],[COS.B+E]]," ")</f>
        <v>0</v>
      </c>
      <c r="AI139" s="40">
        <f>IFERROR(Tabla1[[#This Row],[COS.B+E]]*Tabla1[[#This Row],[D]]," ")</f>
        <v>0</v>
      </c>
      <c r="AJ139" s="40" t="str">
        <f>IFERROR(Tabla1[[#This Row],[F]]*#REF!," ")</f>
        <v xml:space="preserve"> </v>
      </c>
      <c r="AK139" s="40" t="str">
        <f>IFERROR(#REF!*Tabla1[[#This Row],[D]]," ")</f>
        <v xml:space="preserve"> </v>
      </c>
      <c r="AL139" s="103"/>
      <c r="AM139" s="103"/>
      <c r="AN139" s="103"/>
      <c r="AO139" s="38">
        <f>+Tabla1[[#This Row],[COS.B+E]]+Tabla1[[#This Row],[COS.F1]]+Tabla1[[#This Row],[COS.D1]]+Tabla1[[#This Row],[ALIMENTACION]]+Tabla1[[#This Row],[PRESTAMO]]+AN139</f>
        <v>0</v>
      </c>
      <c r="AP139" s="38" t="e">
        <f>+#REF!+Tabla1[[#This Row],[COS F2]]+Tabla1[[#This Row],[COS D2]]+Tabla1[[#This Row],[ALIMENTACION]]+Tabla1[[#This Row],[PRESTAMO]]+Tabla1[[#This Row],[PASAJES]]</f>
        <v>#REF!</v>
      </c>
    </row>
    <row r="140" spans="1:42" x14ac:dyDescent="0.25">
      <c r="A140" s="2" t="str">
        <f>TEXT(Tabla1[[#This Row],[FECHA ]],"DDDDD")</f>
        <v>domingo</v>
      </c>
      <c r="B140" s="2" t="str">
        <f>_xlfn.IFNA(VLOOKUP(Tabla1[[#This Row],[DESTINO]],RUBRO!$Q$1:$R$9996,2,FALSE)," ")</f>
        <v>DESCANSO</v>
      </c>
      <c r="C140" s="104">
        <f>WEEKNUM(Tabla1[[#This Row],[FECHA ]],2)</f>
        <v>19</v>
      </c>
      <c r="D140" s="104" t="str">
        <f>TEXT(Tabla1[[#This Row],[FECHA ]],"MMM-YY")</f>
        <v>may-YY</v>
      </c>
      <c r="E140" s="104" t="str">
        <f>VLOOKUP(Tabla1[[#This Row],[DNI ]],RUBRO!$F$1:$O$9996,7,FALSE)</f>
        <v>5ta</v>
      </c>
      <c r="F140" s="104" t="str">
        <f>VLOOKUP(Tabla1[[#This Row],[DNI ]],RUBRO!$F$1:$O$88,3,FALSE)</f>
        <v>X6</v>
      </c>
      <c r="G140" s="104" t="str">
        <f>VLOOKUP(Tabla1[[#This Row],[DNI ]],RUBRO!$F$1:$O$9996,5,FALSE)</f>
        <v>SUPERVISOR DE MONTAJE Y DESMONTAJE</v>
      </c>
      <c r="H140" s="66" t="str">
        <f>VLOOKUP(Tabla1[[#This Row],[DNI ]],RUBRO!$F$1:$O$9996,6,FALSE)</f>
        <v>HERRERA NAVARRO OSMER</v>
      </c>
      <c r="I140" s="94">
        <v>44325</v>
      </c>
      <c r="J140" s="10">
        <v>3</v>
      </c>
      <c r="K140" s="2">
        <v>45327555</v>
      </c>
      <c r="L140" s="4">
        <f>VLOOKUP(Tabla1[[#This Row],[DNI ]],RUBRO!$F$2:$O$9996,8,FALSE)</f>
        <v>62.31</v>
      </c>
      <c r="M140" s="88"/>
      <c r="N140" s="28"/>
      <c r="P140" s="28"/>
      <c r="Q140" s="31">
        <f>(Tabla1[[#This Row],[SALIDA]]-Tabla1[[#This Row],[FIN ]])+(Tabla1[[#This Row],[INICIO]]-Tabla1[[#This Row],[INGRESO]])</f>
        <v>0</v>
      </c>
      <c r="R140" s="13">
        <f t="shared" si="6"/>
        <v>0</v>
      </c>
      <c r="S140" s="31">
        <f t="shared" si="7"/>
        <v>0</v>
      </c>
      <c r="T140" s="136"/>
      <c r="U140" s="136"/>
      <c r="V140" s="137">
        <f>(Tabla1[[#This Row],[COS.BASE 3]]*0.25+Tabla1[[#This Row],[COS.BASE 3]])*Tabla1[[#This Row],[HORAS 25 % ]]</f>
        <v>0</v>
      </c>
      <c r="W140" s="138">
        <f>(Tabla1[[#This Row],[COS.BASE 3]]*0.35+Tabla1[[#This Row],[COS.BASE 3]])*Tabla1[[#This Row],[HORAS 35% ]]</f>
        <v>0</v>
      </c>
      <c r="X140" s="138">
        <f>SUM(Tabla1[[#This Row],[C.HORA.35]],Tabla1[[#This Row],[C.HORA.25]])</f>
        <v>0</v>
      </c>
      <c r="Y140" s="4"/>
      <c r="Z140" s="10">
        <f>Tabla1[[#This Row],[T.HORAS]]*24</f>
        <v>0</v>
      </c>
      <c r="AA140" s="4">
        <f>Tabla1[[#This Row],[H.NORMALES]]*24</f>
        <v>0</v>
      </c>
      <c r="AB140" s="10">
        <f>Tabla1[[#This Row],[H.EXTRAS]]*24</f>
        <v>0</v>
      </c>
      <c r="AC140" s="105">
        <f t="shared" si="8"/>
        <v>0</v>
      </c>
      <c r="AD140" s="120">
        <f>Tabla1[[#This Row],[COS.BASE 2]]/8</f>
        <v>0</v>
      </c>
      <c r="AE140" s="105">
        <f>Tabla1[[#This Row],[CST_H_E]]+Tabla1[[#This Row],[COS.BASE 2]]</f>
        <v>0</v>
      </c>
      <c r="AF140" s="106">
        <f>+_xlfn.IFNA(INDEX(RUBRO!$W$2:$AA$732,MATCH(Tabla1[[#This Row],[FECHA ]],RUBRO!$W$2:$W$732,0),5)," ")</f>
        <v>0</v>
      </c>
      <c r="AG140" s="10">
        <f>+_xlfn.IFNA(INDEX(RUBRO!$W$2:$AA$732,MATCH(Tabla1[[#This Row],[FECHA ]],RUBRO!$W$2:$W$732,0),2)," ")</f>
        <v>1</v>
      </c>
      <c r="AH140" s="40">
        <f>IFERROR(Tabla1[[#This Row],[F]]*Tabla1[[#This Row],[COS.B+E]]," ")</f>
        <v>0</v>
      </c>
      <c r="AI140" s="40">
        <f>IFERROR(Tabla1[[#This Row],[COS.B+E]]*Tabla1[[#This Row],[D]]," ")</f>
        <v>0</v>
      </c>
      <c r="AJ140" s="40" t="str">
        <f>IFERROR(Tabla1[[#This Row],[F]]*#REF!," ")</f>
        <v xml:space="preserve"> </v>
      </c>
      <c r="AK140" s="40" t="str">
        <f>IFERROR(#REF!*Tabla1[[#This Row],[D]]," ")</f>
        <v xml:space="preserve"> </v>
      </c>
      <c r="AL140" s="103"/>
      <c r="AM140" s="103"/>
      <c r="AN140" s="103"/>
      <c r="AO140" s="38">
        <f>+Tabla1[[#This Row],[COS.B+E]]+Tabla1[[#This Row],[COS.F1]]+Tabla1[[#This Row],[COS.D1]]+Tabla1[[#This Row],[ALIMENTACION]]+Tabla1[[#This Row],[PRESTAMO]]+AN140</f>
        <v>0</v>
      </c>
      <c r="AP140" s="38" t="e">
        <f>+#REF!+Tabla1[[#This Row],[COS F2]]+Tabla1[[#This Row],[COS D2]]+Tabla1[[#This Row],[ALIMENTACION]]+Tabla1[[#This Row],[PRESTAMO]]+Tabla1[[#This Row],[PASAJES]]</f>
        <v>#REF!</v>
      </c>
    </row>
    <row r="141" spans="1:42" x14ac:dyDescent="0.25">
      <c r="A141" s="2" t="str">
        <f>TEXT(Tabla1[[#This Row],[FECHA ]],"DDDDD")</f>
        <v>domingo</v>
      </c>
      <c r="B141" s="2" t="str">
        <f>_xlfn.IFNA(VLOOKUP(Tabla1[[#This Row],[DESTINO]],RUBRO!$Q$1:$R$9996,2,FALSE)," ")</f>
        <v>DESCANSO</v>
      </c>
      <c r="C141" s="104">
        <f>WEEKNUM(Tabla1[[#This Row],[FECHA ]],2)</f>
        <v>19</v>
      </c>
      <c r="D141" s="104" t="str">
        <f>TEXT(Tabla1[[#This Row],[FECHA ]],"MMM-YY")</f>
        <v>may-YY</v>
      </c>
      <c r="E141" s="104" t="str">
        <f>VLOOKUP(Tabla1[[#This Row],[DNI ]],RUBRO!$F$1:$O$9996,7,FALSE)</f>
        <v>5ta</v>
      </c>
      <c r="F141" s="104" t="str">
        <f>VLOOKUP(Tabla1[[#This Row],[DNI ]],RUBRO!$F$1:$O$88,3,FALSE)</f>
        <v>TEC-04</v>
      </c>
      <c r="G141" s="104" t="str">
        <f>VLOOKUP(Tabla1[[#This Row],[DNI ]],RUBRO!$F$1:$O$9996,5,FALSE)</f>
        <v>TECNICO MECANICO MONTAJISTA DE MAQUINARIA EXTRANJERA</v>
      </c>
      <c r="H141" s="66" t="str">
        <f>VLOOKUP(Tabla1[[#This Row],[DNI ]],RUBRO!$F$1:$O$9996,6,FALSE)</f>
        <v>IDROGO CHAVEZ EMANUEL</v>
      </c>
      <c r="I141" s="94">
        <v>44325</v>
      </c>
      <c r="J141" s="10">
        <v>3</v>
      </c>
      <c r="K141" s="2">
        <v>46228460</v>
      </c>
      <c r="L141" s="4">
        <f>VLOOKUP(Tabla1[[#This Row],[DNI ]],RUBRO!$F$2:$O$9996,8,FALSE)</f>
        <v>67.66</v>
      </c>
      <c r="M141" s="88"/>
      <c r="N141" s="28"/>
      <c r="P141" s="28"/>
      <c r="Q141" s="31">
        <f>(Tabla1[[#This Row],[SALIDA]]-Tabla1[[#This Row],[FIN ]])+(Tabla1[[#This Row],[INICIO]]-Tabla1[[#This Row],[INGRESO]])</f>
        <v>0</v>
      </c>
      <c r="R141" s="13">
        <f t="shared" si="6"/>
        <v>0</v>
      </c>
      <c r="S141" s="31">
        <f t="shared" si="7"/>
        <v>0</v>
      </c>
      <c r="T141" s="136"/>
      <c r="U141" s="136"/>
      <c r="V141" s="137">
        <f>(Tabla1[[#This Row],[COS.BASE 3]]*0.25+Tabla1[[#This Row],[COS.BASE 3]])*Tabla1[[#This Row],[HORAS 25 % ]]</f>
        <v>0</v>
      </c>
      <c r="W141" s="138">
        <f>(Tabla1[[#This Row],[COS.BASE 3]]*0.35+Tabla1[[#This Row],[COS.BASE 3]])*Tabla1[[#This Row],[HORAS 35% ]]</f>
        <v>0</v>
      </c>
      <c r="X141" s="138">
        <f>SUM(Tabla1[[#This Row],[C.HORA.35]],Tabla1[[#This Row],[C.HORA.25]])</f>
        <v>0</v>
      </c>
      <c r="Y141" s="4"/>
      <c r="Z141" s="10">
        <f>Tabla1[[#This Row],[T.HORAS]]*24</f>
        <v>0</v>
      </c>
      <c r="AA141" s="4">
        <f>Tabla1[[#This Row],[H.NORMALES]]*24</f>
        <v>0</v>
      </c>
      <c r="AB141" s="10">
        <f>Tabla1[[#This Row],[H.EXTRAS]]*24</f>
        <v>0</v>
      </c>
      <c r="AC141" s="105">
        <f t="shared" si="8"/>
        <v>0</v>
      </c>
      <c r="AD141" s="120">
        <f>Tabla1[[#This Row],[COS.BASE 2]]/8</f>
        <v>0</v>
      </c>
      <c r="AE141" s="105">
        <f>Tabla1[[#This Row],[CST_H_E]]+Tabla1[[#This Row],[COS.BASE 2]]</f>
        <v>0</v>
      </c>
      <c r="AF141" s="106">
        <f>+_xlfn.IFNA(INDEX(RUBRO!$W$2:$AA$732,MATCH(Tabla1[[#This Row],[FECHA ]],RUBRO!$W$2:$W$732,0),5)," ")</f>
        <v>0</v>
      </c>
      <c r="AG141" s="10">
        <f>+_xlfn.IFNA(INDEX(RUBRO!$W$2:$AA$732,MATCH(Tabla1[[#This Row],[FECHA ]],RUBRO!$W$2:$W$732,0),2)," ")</f>
        <v>1</v>
      </c>
      <c r="AH141" s="40">
        <f>IFERROR(Tabla1[[#This Row],[F]]*Tabla1[[#This Row],[COS.B+E]]," ")</f>
        <v>0</v>
      </c>
      <c r="AI141" s="40">
        <f>IFERROR(Tabla1[[#This Row],[COS.B+E]]*Tabla1[[#This Row],[D]]," ")</f>
        <v>0</v>
      </c>
      <c r="AJ141" s="40" t="str">
        <f>IFERROR(Tabla1[[#This Row],[F]]*#REF!," ")</f>
        <v xml:space="preserve"> </v>
      </c>
      <c r="AK141" s="40" t="str">
        <f>IFERROR(#REF!*Tabla1[[#This Row],[D]]," ")</f>
        <v xml:space="preserve"> </v>
      </c>
      <c r="AL141" s="103"/>
      <c r="AM141" s="103"/>
      <c r="AN141" s="103"/>
      <c r="AO141" s="38">
        <f>+Tabla1[[#This Row],[COS.B+E]]+Tabla1[[#This Row],[COS.F1]]+Tabla1[[#This Row],[COS.D1]]+Tabla1[[#This Row],[ALIMENTACION]]+Tabla1[[#This Row],[PRESTAMO]]+AN141</f>
        <v>0</v>
      </c>
      <c r="AP141" s="38" t="e">
        <f>+#REF!+Tabla1[[#This Row],[COS F2]]+Tabla1[[#This Row],[COS D2]]+Tabla1[[#This Row],[ALIMENTACION]]+Tabla1[[#This Row],[PRESTAMO]]+Tabla1[[#This Row],[PASAJES]]</f>
        <v>#REF!</v>
      </c>
    </row>
    <row r="142" spans="1:42" x14ac:dyDescent="0.25">
      <c r="A142" s="2" t="str">
        <f>TEXT(Tabla1[[#This Row],[FECHA ]],"DDDDD")</f>
        <v>domingo</v>
      </c>
      <c r="B142" s="2" t="str">
        <f>_xlfn.IFNA(VLOOKUP(Tabla1[[#This Row],[DESTINO]],RUBRO!$Q$1:$R$9996,2,FALSE)," ")</f>
        <v>DESCANSO</v>
      </c>
      <c r="C142" s="104">
        <f>WEEKNUM(Tabla1[[#This Row],[FECHA ]],2)</f>
        <v>19</v>
      </c>
      <c r="D142" s="104" t="str">
        <f>TEXT(Tabla1[[#This Row],[FECHA ]],"MMM-YY")</f>
        <v>may-YY</v>
      </c>
      <c r="E142" s="104" t="str">
        <f>VLOOKUP(Tabla1[[#This Row],[DNI ]],RUBRO!$F$1:$O$9996,7,FALSE)</f>
        <v>5ta</v>
      </c>
      <c r="F142" s="104" t="e">
        <f>VLOOKUP(Tabla1[[#This Row],[DNI ]],RUBRO!$F$1:$O$88,3,FALSE)</f>
        <v>#N/A</v>
      </c>
      <c r="G142" s="104" t="str">
        <f>VLOOKUP(Tabla1[[#This Row],[DNI ]],RUBRO!$F$1:$O$9996,5,FALSE)</f>
        <v>AYUDANTE DE PRODUCCION</v>
      </c>
      <c r="H142" s="66" t="str">
        <f>VLOOKUP(Tabla1[[#This Row],[DNI ]],RUBRO!$F$1:$O$9996,6,FALSE)</f>
        <v>JUNCO ORDOÑEZ SAMUEL</v>
      </c>
      <c r="I142" s="94">
        <v>44325</v>
      </c>
      <c r="J142" s="10">
        <v>3</v>
      </c>
      <c r="K142" s="2">
        <v>75913657</v>
      </c>
      <c r="L142" s="4">
        <f>VLOOKUP(Tabla1[[#This Row],[DNI ]],RUBRO!$F$2:$O$9996,8,FALSE)</f>
        <v>60</v>
      </c>
      <c r="M142" s="88"/>
      <c r="N142" s="28"/>
      <c r="P142" s="28"/>
      <c r="Q142" s="31">
        <f>(Tabla1[[#This Row],[SALIDA]]-Tabla1[[#This Row],[FIN ]])+(Tabla1[[#This Row],[INICIO]]-Tabla1[[#This Row],[INGRESO]])</f>
        <v>0</v>
      </c>
      <c r="R142" s="13">
        <f t="shared" si="6"/>
        <v>0</v>
      </c>
      <c r="S142" s="31">
        <f t="shared" si="7"/>
        <v>0</v>
      </c>
      <c r="T142" s="136"/>
      <c r="U142" s="136"/>
      <c r="V142" s="137">
        <f>(Tabla1[[#This Row],[COS.BASE 3]]*0.25+Tabla1[[#This Row],[COS.BASE 3]])*Tabla1[[#This Row],[HORAS 25 % ]]</f>
        <v>0</v>
      </c>
      <c r="W142" s="138">
        <f>(Tabla1[[#This Row],[COS.BASE 3]]*0.35+Tabla1[[#This Row],[COS.BASE 3]])*Tabla1[[#This Row],[HORAS 35% ]]</f>
        <v>0</v>
      </c>
      <c r="X142" s="138">
        <f>SUM(Tabla1[[#This Row],[C.HORA.35]],Tabla1[[#This Row],[C.HORA.25]])</f>
        <v>0</v>
      </c>
      <c r="Y142" s="4"/>
      <c r="Z142" s="10">
        <f>Tabla1[[#This Row],[T.HORAS]]*24</f>
        <v>0</v>
      </c>
      <c r="AA142" s="4">
        <f>Tabla1[[#This Row],[H.NORMALES]]*24</f>
        <v>0</v>
      </c>
      <c r="AB142" s="10">
        <f>Tabla1[[#This Row],[H.EXTRAS]]*24</f>
        <v>0</v>
      </c>
      <c r="AC142" s="105">
        <f t="shared" si="8"/>
        <v>0</v>
      </c>
      <c r="AD142" s="120">
        <f>Tabla1[[#This Row],[COS.BASE 2]]/8</f>
        <v>0</v>
      </c>
      <c r="AE142" s="105">
        <f>Tabla1[[#This Row],[CST_H_E]]+Tabla1[[#This Row],[COS.BASE 2]]</f>
        <v>0</v>
      </c>
      <c r="AF142" s="106">
        <f>+_xlfn.IFNA(INDEX(RUBRO!$W$2:$AA$732,MATCH(Tabla1[[#This Row],[FECHA ]],RUBRO!$W$2:$W$732,0),5)," ")</f>
        <v>0</v>
      </c>
      <c r="AG142" s="10">
        <f>+_xlfn.IFNA(INDEX(RUBRO!$W$2:$AA$732,MATCH(Tabla1[[#This Row],[FECHA ]],RUBRO!$W$2:$W$732,0),2)," ")</f>
        <v>1</v>
      </c>
      <c r="AH142" s="40">
        <f>IFERROR(Tabla1[[#This Row],[F]]*Tabla1[[#This Row],[COS.B+E]]," ")</f>
        <v>0</v>
      </c>
      <c r="AI142" s="40">
        <f>IFERROR(Tabla1[[#This Row],[COS.B+E]]*Tabla1[[#This Row],[D]]," ")</f>
        <v>0</v>
      </c>
      <c r="AJ142" s="40" t="str">
        <f>IFERROR(Tabla1[[#This Row],[F]]*#REF!," ")</f>
        <v xml:space="preserve"> </v>
      </c>
      <c r="AK142" s="40" t="str">
        <f>IFERROR(#REF!*Tabla1[[#This Row],[D]]," ")</f>
        <v xml:space="preserve"> </v>
      </c>
      <c r="AL142" s="103"/>
      <c r="AM142" s="103"/>
      <c r="AN142" s="103"/>
      <c r="AO142" s="38">
        <f>+Tabla1[[#This Row],[COS.B+E]]+Tabla1[[#This Row],[COS.F1]]+Tabla1[[#This Row],[COS.D1]]+Tabla1[[#This Row],[ALIMENTACION]]+Tabla1[[#This Row],[PRESTAMO]]+AN142</f>
        <v>0</v>
      </c>
      <c r="AP142" s="38" t="e">
        <f>+#REF!+Tabla1[[#This Row],[COS F2]]+Tabla1[[#This Row],[COS D2]]+Tabla1[[#This Row],[ALIMENTACION]]+Tabla1[[#This Row],[PRESTAMO]]+Tabla1[[#This Row],[PASAJES]]</f>
        <v>#REF!</v>
      </c>
    </row>
    <row r="143" spans="1:42" x14ac:dyDescent="0.25">
      <c r="A143" s="2" t="str">
        <f>TEXT(Tabla1[[#This Row],[FECHA ]],"DDDDD")</f>
        <v>domingo</v>
      </c>
      <c r="B143" s="2" t="str">
        <f>_xlfn.IFNA(VLOOKUP(Tabla1[[#This Row],[DESTINO]],RUBRO!$Q$1:$R$9996,2,FALSE)," ")</f>
        <v>DESCANSO</v>
      </c>
      <c r="C143" s="104">
        <f>WEEKNUM(Tabla1[[#This Row],[FECHA ]],2)</f>
        <v>19</v>
      </c>
      <c r="D143" s="104" t="str">
        <f>TEXT(Tabla1[[#This Row],[FECHA ]],"MMM-YY")</f>
        <v>may-YY</v>
      </c>
      <c r="E143" s="104" t="str">
        <f>VLOOKUP(Tabla1[[#This Row],[DNI ]],RUBRO!$F$1:$O$9996,7,FALSE)</f>
        <v>5ta</v>
      </c>
      <c r="F143" s="104" t="str">
        <f>VLOOKUP(Tabla1[[#This Row],[DNI ]],RUBRO!$F$1:$O$88,3,FALSE)</f>
        <v>MAE3G-01</v>
      </c>
      <c r="G143" s="104" t="str">
        <f>VLOOKUP(Tabla1[[#This Row],[DNI ]],RUBRO!$F$1:$O$9996,5,FALSE)</f>
        <v>MAESTRO SOLDADOR 3G</v>
      </c>
      <c r="H143" s="66" t="str">
        <f>VLOOKUP(Tabla1[[#This Row],[DNI ]],RUBRO!$F$1:$O$9996,6,FALSE)</f>
        <v>LABAN SEVERINO EDWIN DENIS</v>
      </c>
      <c r="I143" s="94">
        <v>44325</v>
      </c>
      <c r="J143" s="10">
        <v>3</v>
      </c>
      <c r="K143" s="2">
        <v>47466045</v>
      </c>
      <c r="L143" s="4">
        <f>VLOOKUP(Tabla1[[#This Row],[DNI ]],RUBRO!$F$2:$O$9996,8,FALSE)</f>
        <v>70.38</v>
      </c>
      <c r="M143" s="88"/>
      <c r="N143" s="28"/>
      <c r="P143" s="28"/>
      <c r="Q143" s="31">
        <f>(Tabla1[[#This Row],[SALIDA]]-Tabla1[[#This Row],[FIN ]])+(Tabla1[[#This Row],[INICIO]]-Tabla1[[#This Row],[INGRESO]])</f>
        <v>0</v>
      </c>
      <c r="R143" s="13">
        <f t="shared" si="6"/>
        <v>0</v>
      </c>
      <c r="S143" s="31">
        <f t="shared" si="7"/>
        <v>0</v>
      </c>
      <c r="T143" s="136"/>
      <c r="U143" s="136"/>
      <c r="V143" s="137">
        <f>(Tabla1[[#This Row],[COS.BASE 3]]*0.25+Tabla1[[#This Row],[COS.BASE 3]])*Tabla1[[#This Row],[HORAS 25 % ]]</f>
        <v>0</v>
      </c>
      <c r="W143" s="138">
        <f>(Tabla1[[#This Row],[COS.BASE 3]]*0.35+Tabla1[[#This Row],[COS.BASE 3]])*Tabla1[[#This Row],[HORAS 35% ]]</f>
        <v>0</v>
      </c>
      <c r="X143" s="138">
        <f>SUM(Tabla1[[#This Row],[C.HORA.35]],Tabla1[[#This Row],[C.HORA.25]])</f>
        <v>0</v>
      </c>
      <c r="Y143" s="4"/>
      <c r="Z143" s="10">
        <f>Tabla1[[#This Row],[T.HORAS]]*24</f>
        <v>0</v>
      </c>
      <c r="AA143" s="4">
        <f>Tabla1[[#This Row],[H.NORMALES]]*24</f>
        <v>0</v>
      </c>
      <c r="AB143" s="10">
        <f>Tabla1[[#This Row],[H.EXTRAS]]*24</f>
        <v>0</v>
      </c>
      <c r="AC143" s="105">
        <f t="shared" si="8"/>
        <v>0</v>
      </c>
      <c r="AD143" s="120">
        <f>Tabla1[[#This Row],[COS.BASE 2]]/8</f>
        <v>0</v>
      </c>
      <c r="AE143" s="105">
        <f>Tabla1[[#This Row],[CST_H_E]]+Tabla1[[#This Row],[COS.BASE 2]]</f>
        <v>0</v>
      </c>
      <c r="AF143" s="106">
        <f>+_xlfn.IFNA(INDEX(RUBRO!$W$2:$AA$732,MATCH(Tabla1[[#This Row],[FECHA ]],RUBRO!$W$2:$W$732,0),5)," ")</f>
        <v>0</v>
      </c>
      <c r="AG143" s="10">
        <f>+_xlfn.IFNA(INDEX(RUBRO!$W$2:$AA$732,MATCH(Tabla1[[#This Row],[FECHA ]],RUBRO!$W$2:$W$732,0),2)," ")</f>
        <v>1</v>
      </c>
      <c r="AH143" s="40">
        <f>IFERROR(Tabla1[[#This Row],[F]]*Tabla1[[#This Row],[COS.B+E]]," ")</f>
        <v>0</v>
      </c>
      <c r="AI143" s="40">
        <f>IFERROR(Tabla1[[#This Row],[COS.B+E]]*Tabla1[[#This Row],[D]]," ")</f>
        <v>0</v>
      </c>
      <c r="AJ143" s="40" t="str">
        <f>IFERROR(Tabla1[[#This Row],[F]]*#REF!," ")</f>
        <v xml:space="preserve"> </v>
      </c>
      <c r="AK143" s="40" t="str">
        <f>IFERROR(#REF!*Tabla1[[#This Row],[D]]," ")</f>
        <v xml:space="preserve"> </v>
      </c>
      <c r="AL143" s="103"/>
      <c r="AM143" s="103"/>
      <c r="AN143" s="103"/>
      <c r="AO143" s="38">
        <f>+Tabla1[[#This Row],[COS.B+E]]+Tabla1[[#This Row],[COS.F1]]+Tabla1[[#This Row],[COS.D1]]+Tabla1[[#This Row],[ALIMENTACION]]+Tabla1[[#This Row],[PRESTAMO]]+AN143</f>
        <v>0</v>
      </c>
      <c r="AP143" s="38" t="e">
        <f>+#REF!+Tabla1[[#This Row],[COS F2]]+Tabla1[[#This Row],[COS D2]]+Tabla1[[#This Row],[ALIMENTACION]]+Tabla1[[#This Row],[PRESTAMO]]+Tabla1[[#This Row],[PASAJES]]</f>
        <v>#REF!</v>
      </c>
    </row>
    <row r="144" spans="1:42" x14ac:dyDescent="0.25">
      <c r="A144" s="2" t="str">
        <f>TEXT(Tabla1[[#This Row],[FECHA ]],"DDDDD")</f>
        <v>domingo</v>
      </c>
      <c r="B144" s="2" t="str">
        <f>_xlfn.IFNA(VLOOKUP(Tabla1[[#This Row],[DESTINO]],RUBRO!$Q$1:$R$9996,2,FALSE)," ")</f>
        <v>DESCANSO</v>
      </c>
      <c r="C144" s="104">
        <f>WEEKNUM(Tabla1[[#This Row],[FECHA ]],2)</f>
        <v>19</v>
      </c>
      <c r="D144" s="104" t="str">
        <f>TEXT(Tabla1[[#This Row],[FECHA ]],"MMM-YY")</f>
        <v>may-YY</v>
      </c>
      <c r="E144" s="104" t="str">
        <f>VLOOKUP(Tabla1[[#This Row],[DNI ]],RUBRO!$F$1:$O$9996,7,FALSE)</f>
        <v>5ta</v>
      </c>
      <c r="F144" s="104" t="str">
        <f>VLOOKUP(Tabla1[[#This Row],[DNI ]],RUBRO!$F$1:$O$88,3,FALSE)</f>
        <v>AYU-VA</v>
      </c>
      <c r="G144" s="104" t="str">
        <f>VLOOKUP(Tabla1[[#This Row],[DNI ]],RUBRO!$F$1:$O$9996,5,FALSE)</f>
        <v>AYUDANTE DE PRODUCCION</v>
      </c>
      <c r="H144" s="66" t="str">
        <f>VLOOKUP(Tabla1[[#This Row],[DNI ]],RUBRO!$F$1:$O$9996,6,FALSE)</f>
        <v xml:space="preserve">LOPEZ TANTARICO ELY </v>
      </c>
      <c r="I144" s="94">
        <v>44325</v>
      </c>
      <c r="J144" s="10">
        <v>3</v>
      </c>
      <c r="K144" s="2">
        <v>62188868</v>
      </c>
      <c r="L144" s="4">
        <f>VLOOKUP(Tabla1[[#This Row],[DNI ]],RUBRO!$F$2:$O$9996,8,FALSE)</f>
        <v>39.15</v>
      </c>
      <c r="M144" s="88"/>
      <c r="N144" s="28"/>
      <c r="P144" s="28"/>
      <c r="Q144" s="31">
        <f>(Tabla1[[#This Row],[SALIDA]]-Tabla1[[#This Row],[FIN ]])+(Tabla1[[#This Row],[INICIO]]-Tabla1[[#This Row],[INGRESO]])</f>
        <v>0</v>
      </c>
      <c r="R144" s="13">
        <f t="shared" si="6"/>
        <v>0</v>
      </c>
      <c r="S144" s="31">
        <f t="shared" si="7"/>
        <v>0</v>
      </c>
      <c r="T144" s="136"/>
      <c r="U144" s="136"/>
      <c r="V144" s="137">
        <f>(Tabla1[[#This Row],[COS.BASE 3]]*0.25+Tabla1[[#This Row],[COS.BASE 3]])*Tabla1[[#This Row],[HORAS 25 % ]]</f>
        <v>0</v>
      </c>
      <c r="W144" s="138">
        <f>(Tabla1[[#This Row],[COS.BASE 3]]*0.35+Tabla1[[#This Row],[COS.BASE 3]])*Tabla1[[#This Row],[HORAS 35% ]]</f>
        <v>0</v>
      </c>
      <c r="X144" s="138">
        <f>SUM(Tabla1[[#This Row],[C.HORA.35]],Tabla1[[#This Row],[C.HORA.25]])</f>
        <v>0</v>
      </c>
      <c r="Y144" s="4"/>
      <c r="Z144" s="10">
        <f>Tabla1[[#This Row],[T.HORAS]]*24</f>
        <v>0</v>
      </c>
      <c r="AA144" s="4">
        <f>Tabla1[[#This Row],[H.NORMALES]]*24</f>
        <v>0</v>
      </c>
      <c r="AB144" s="10">
        <f>Tabla1[[#This Row],[H.EXTRAS]]*24</f>
        <v>0</v>
      </c>
      <c r="AC144" s="105">
        <f t="shared" si="8"/>
        <v>0</v>
      </c>
      <c r="AD144" s="120">
        <f>Tabla1[[#This Row],[COS.BASE 2]]/8</f>
        <v>0</v>
      </c>
      <c r="AE144" s="105">
        <f>Tabla1[[#This Row],[CST_H_E]]+Tabla1[[#This Row],[COS.BASE 2]]</f>
        <v>0</v>
      </c>
      <c r="AF144" s="106">
        <f>+_xlfn.IFNA(INDEX(RUBRO!$W$2:$AA$732,MATCH(Tabla1[[#This Row],[FECHA ]],RUBRO!$W$2:$W$732,0),5)," ")</f>
        <v>0</v>
      </c>
      <c r="AG144" s="10">
        <f>+_xlfn.IFNA(INDEX(RUBRO!$W$2:$AA$732,MATCH(Tabla1[[#This Row],[FECHA ]],RUBRO!$W$2:$W$732,0),2)," ")</f>
        <v>1</v>
      </c>
      <c r="AH144" s="40">
        <f>IFERROR(Tabla1[[#This Row],[F]]*Tabla1[[#This Row],[COS.B+E]]," ")</f>
        <v>0</v>
      </c>
      <c r="AI144" s="40">
        <f>IFERROR(Tabla1[[#This Row],[COS.B+E]]*Tabla1[[#This Row],[D]]," ")</f>
        <v>0</v>
      </c>
      <c r="AJ144" s="40" t="str">
        <f>IFERROR(Tabla1[[#This Row],[F]]*#REF!," ")</f>
        <v xml:space="preserve"> </v>
      </c>
      <c r="AK144" s="40" t="str">
        <f>IFERROR(#REF!*Tabla1[[#This Row],[D]]," ")</f>
        <v xml:space="preserve"> </v>
      </c>
      <c r="AL144" s="103"/>
      <c r="AM144" s="103"/>
      <c r="AN144" s="103"/>
      <c r="AO144" s="38">
        <f>+Tabla1[[#This Row],[COS.B+E]]+Tabla1[[#This Row],[COS.F1]]+Tabla1[[#This Row],[COS.D1]]+Tabla1[[#This Row],[ALIMENTACION]]+Tabla1[[#This Row],[PRESTAMO]]+AN144</f>
        <v>0</v>
      </c>
      <c r="AP144" s="38" t="e">
        <f>+#REF!+Tabla1[[#This Row],[COS F2]]+Tabla1[[#This Row],[COS D2]]+Tabla1[[#This Row],[ALIMENTACION]]+Tabla1[[#This Row],[PRESTAMO]]+Tabla1[[#This Row],[PASAJES]]</f>
        <v>#REF!</v>
      </c>
    </row>
    <row r="145" spans="1:42" x14ac:dyDescent="0.25">
      <c r="A145" s="2" t="str">
        <f>TEXT(Tabla1[[#This Row],[FECHA ]],"DDDDD")</f>
        <v>domingo</v>
      </c>
      <c r="B145" s="2" t="str">
        <f>_xlfn.IFNA(VLOOKUP(Tabla1[[#This Row],[DESTINO]],RUBRO!$Q$1:$R$9996,2,FALSE)," ")</f>
        <v>DESCANSO</v>
      </c>
      <c r="C145" s="104">
        <f>WEEKNUM(Tabla1[[#This Row],[FECHA ]],2)</f>
        <v>19</v>
      </c>
      <c r="D145" s="104" t="str">
        <f>TEXT(Tabla1[[#This Row],[FECHA ]],"MMM-YY")</f>
        <v>may-YY</v>
      </c>
      <c r="E145" s="104" t="str">
        <f>VLOOKUP(Tabla1[[#This Row],[DNI ]],RUBRO!$F$1:$O$9996,7,FALSE)</f>
        <v>5ta</v>
      </c>
      <c r="F145" s="104" t="str">
        <f>VLOOKUP(Tabla1[[#This Row],[DNI ]],RUBRO!$F$1:$O$88,3,FALSE)</f>
        <v>TEC-02</v>
      </c>
      <c r="G145" s="104" t="str">
        <f>VLOOKUP(Tabla1[[#This Row],[DNI ]],RUBRO!$F$1:$O$9996,5,FALSE)</f>
        <v>TECNICO MECANICO MONTAJISTA DE MAQUINARIA</v>
      </c>
      <c r="H145" s="66" t="str">
        <f>VLOOKUP(Tabla1[[#This Row],[DNI ]],RUBRO!$F$1:$O$9996,6,FALSE)</f>
        <v>MEJIA AYALA LUIS MANUEL</v>
      </c>
      <c r="I145" s="94">
        <v>44325</v>
      </c>
      <c r="J145" s="10">
        <v>3</v>
      </c>
      <c r="K145" s="2">
        <v>73541627</v>
      </c>
      <c r="L145" s="4">
        <f>VLOOKUP(Tabla1[[#This Row],[DNI ]],RUBRO!$F$2:$O$9996,8,FALSE)</f>
        <v>55</v>
      </c>
      <c r="M145" s="88"/>
      <c r="N145" s="28"/>
      <c r="P145" s="28"/>
      <c r="Q145" s="31">
        <f>(Tabla1[[#This Row],[SALIDA]]-Tabla1[[#This Row],[FIN ]])+(Tabla1[[#This Row],[INICIO]]-Tabla1[[#This Row],[INGRESO]])</f>
        <v>0</v>
      </c>
      <c r="R145" s="13">
        <f t="shared" si="6"/>
        <v>0</v>
      </c>
      <c r="S145" s="31">
        <f t="shared" si="7"/>
        <v>0</v>
      </c>
      <c r="T145" s="136"/>
      <c r="U145" s="136"/>
      <c r="V145" s="137">
        <f>(Tabla1[[#This Row],[COS.BASE 3]]*0.25+Tabla1[[#This Row],[COS.BASE 3]])*Tabla1[[#This Row],[HORAS 25 % ]]</f>
        <v>0</v>
      </c>
      <c r="W145" s="138">
        <f>(Tabla1[[#This Row],[COS.BASE 3]]*0.35+Tabla1[[#This Row],[COS.BASE 3]])*Tabla1[[#This Row],[HORAS 35% ]]</f>
        <v>0</v>
      </c>
      <c r="X145" s="138">
        <f>SUM(Tabla1[[#This Row],[C.HORA.35]],Tabla1[[#This Row],[C.HORA.25]])</f>
        <v>0</v>
      </c>
      <c r="Y145" s="4"/>
      <c r="Z145" s="10">
        <f>Tabla1[[#This Row],[T.HORAS]]*24</f>
        <v>0</v>
      </c>
      <c r="AA145" s="4">
        <f>Tabla1[[#This Row],[H.NORMALES]]*24</f>
        <v>0</v>
      </c>
      <c r="AB145" s="10">
        <f>Tabla1[[#This Row],[H.EXTRAS]]*24</f>
        <v>0</v>
      </c>
      <c r="AC145" s="105">
        <f t="shared" si="8"/>
        <v>0</v>
      </c>
      <c r="AD145" s="120">
        <f>Tabla1[[#This Row],[COS.BASE 2]]/8</f>
        <v>0</v>
      </c>
      <c r="AE145" s="105">
        <f>Tabla1[[#This Row],[CST_H_E]]+Tabla1[[#This Row],[COS.BASE 2]]</f>
        <v>0</v>
      </c>
      <c r="AF145" s="106">
        <f>+_xlfn.IFNA(INDEX(RUBRO!$W$2:$AA$732,MATCH(Tabla1[[#This Row],[FECHA ]],RUBRO!$W$2:$W$732,0),5)," ")</f>
        <v>0</v>
      </c>
      <c r="AG145" s="10">
        <f>+_xlfn.IFNA(INDEX(RUBRO!$W$2:$AA$732,MATCH(Tabla1[[#This Row],[FECHA ]],RUBRO!$W$2:$W$732,0),2)," ")</f>
        <v>1</v>
      </c>
      <c r="AH145" s="40">
        <f>IFERROR(Tabla1[[#This Row],[F]]*Tabla1[[#This Row],[COS.B+E]]," ")</f>
        <v>0</v>
      </c>
      <c r="AI145" s="40">
        <f>IFERROR(Tabla1[[#This Row],[COS.B+E]]*Tabla1[[#This Row],[D]]," ")</f>
        <v>0</v>
      </c>
      <c r="AJ145" s="40" t="str">
        <f>IFERROR(Tabla1[[#This Row],[F]]*#REF!," ")</f>
        <v xml:space="preserve"> </v>
      </c>
      <c r="AK145" s="40" t="str">
        <f>IFERROR(#REF!*Tabla1[[#This Row],[D]]," ")</f>
        <v xml:space="preserve"> </v>
      </c>
      <c r="AL145" s="103"/>
      <c r="AM145" s="103"/>
      <c r="AN145" s="103"/>
      <c r="AO145" s="38">
        <f>+Tabla1[[#This Row],[COS.B+E]]+Tabla1[[#This Row],[COS.F1]]+Tabla1[[#This Row],[COS.D1]]+Tabla1[[#This Row],[ALIMENTACION]]+Tabla1[[#This Row],[PRESTAMO]]+AN145</f>
        <v>0</v>
      </c>
      <c r="AP145" s="38" t="e">
        <f>+#REF!+Tabla1[[#This Row],[COS F2]]+Tabla1[[#This Row],[COS D2]]+Tabla1[[#This Row],[ALIMENTACION]]+Tabla1[[#This Row],[PRESTAMO]]+Tabla1[[#This Row],[PASAJES]]</f>
        <v>#REF!</v>
      </c>
    </row>
    <row r="146" spans="1:42" x14ac:dyDescent="0.25">
      <c r="A146" s="2" t="str">
        <f>TEXT(Tabla1[[#This Row],[FECHA ]],"DDDDD")</f>
        <v>domingo</v>
      </c>
      <c r="B146" s="2" t="str">
        <f>_xlfn.IFNA(VLOOKUP(Tabla1[[#This Row],[DESTINO]],RUBRO!$Q$1:$R$9996,2,FALSE)," ")</f>
        <v>DESCANSO</v>
      </c>
      <c r="C146" s="104">
        <f>WEEKNUM(Tabla1[[#This Row],[FECHA ]],2)</f>
        <v>19</v>
      </c>
      <c r="D146" s="104" t="str">
        <f>TEXT(Tabla1[[#This Row],[FECHA ]],"MMM-YY")</f>
        <v>may-YY</v>
      </c>
      <c r="E146" s="104" t="str">
        <f>VLOOKUP(Tabla1[[#This Row],[DNI ]],RUBRO!$F$1:$O$9996,7,FALSE)</f>
        <v>5ta</v>
      </c>
      <c r="F146" s="104" t="str">
        <f>VLOOKUP(Tabla1[[#This Row],[DNI ]],RUBRO!$F$1:$O$88,3,FALSE)</f>
        <v>TEC-04</v>
      </c>
      <c r="G146" s="104" t="str">
        <f>VLOOKUP(Tabla1[[#This Row],[DNI ]],RUBRO!$F$1:$O$9996,5,FALSE)</f>
        <v>TECNICO MECANICO MONTAJISTA DE MAQUINARIA EXTRANJERA</v>
      </c>
      <c r="H146" s="66" t="str">
        <f>VLOOKUP(Tabla1[[#This Row],[DNI ]],RUBRO!$F$1:$O$9996,6,FALSE)</f>
        <v>MEREGILDO CABRERA RICARDO JOEL</v>
      </c>
      <c r="I146" s="94">
        <v>44325</v>
      </c>
      <c r="J146" s="10">
        <v>3</v>
      </c>
      <c r="K146" s="2">
        <v>76811302</v>
      </c>
      <c r="L146" s="4">
        <f>VLOOKUP(Tabla1[[#This Row],[DNI ]],RUBRO!$F$2:$O$9996,8,FALSE)</f>
        <v>60</v>
      </c>
      <c r="M146" s="88"/>
      <c r="N146" s="28"/>
      <c r="P146" s="28"/>
      <c r="Q146" s="31">
        <f>(Tabla1[[#This Row],[SALIDA]]-Tabla1[[#This Row],[FIN ]])+(Tabla1[[#This Row],[INICIO]]-Tabla1[[#This Row],[INGRESO]])</f>
        <v>0</v>
      </c>
      <c r="R146" s="13">
        <f t="shared" si="6"/>
        <v>0</v>
      </c>
      <c r="S146" s="31">
        <f t="shared" si="7"/>
        <v>0</v>
      </c>
      <c r="T146" s="136"/>
      <c r="U146" s="136"/>
      <c r="V146" s="137">
        <f>(Tabla1[[#This Row],[COS.BASE 3]]*0.25+Tabla1[[#This Row],[COS.BASE 3]])*Tabla1[[#This Row],[HORAS 25 % ]]</f>
        <v>0</v>
      </c>
      <c r="W146" s="138">
        <f>(Tabla1[[#This Row],[COS.BASE 3]]*0.35+Tabla1[[#This Row],[COS.BASE 3]])*Tabla1[[#This Row],[HORAS 35% ]]</f>
        <v>0</v>
      </c>
      <c r="X146" s="138">
        <f>SUM(Tabla1[[#This Row],[C.HORA.35]],Tabla1[[#This Row],[C.HORA.25]])</f>
        <v>0</v>
      </c>
      <c r="Y146" s="4"/>
      <c r="Z146" s="10">
        <f>Tabla1[[#This Row],[T.HORAS]]*24</f>
        <v>0</v>
      </c>
      <c r="AA146" s="4">
        <f>Tabla1[[#This Row],[H.NORMALES]]*24</f>
        <v>0</v>
      </c>
      <c r="AB146" s="10">
        <f>Tabla1[[#This Row],[H.EXTRAS]]*24</f>
        <v>0</v>
      </c>
      <c r="AC146" s="105">
        <f t="shared" si="8"/>
        <v>0</v>
      </c>
      <c r="AD146" s="120">
        <f>Tabla1[[#This Row],[COS.BASE 2]]/8</f>
        <v>0</v>
      </c>
      <c r="AE146" s="105">
        <f>Tabla1[[#This Row],[CST_H_E]]+Tabla1[[#This Row],[COS.BASE 2]]</f>
        <v>0</v>
      </c>
      <c r="AF146" s="106">
        <f>+_xlfn.IFNA(INDEX(RUBRO!$W$2:$AA$732,MATCH(Tabla1[[#This Row],[FECHA ]],RUBRO!$W$2:$W$732,0),5)," ")</f>
        <v>0</v>
      </c>
      <c r="AG146" s="10">
        <f>+_xlfn.IFNA(INDEX(RUBRO!$W$2:$AA$732,MATCH(Tabla1[[#This Row],[FECHA ]],RUBRO!$W$2:$W$732,0),2)," ")</f>
        <v>1</v>
      </c>
      <c r="AH146" s="40">
        <f>IFERROR(Tabla1[[#This Row],[F]]*Tabla1[[#This Row],[COS.B+E]]," ")</f>
        <v>0</v>
      </c>
      <c r="AI146" s="40">
        <f>IFERROR(Tabla1[[#This Row],[COS.B+E]]*Tabla1[[#This Row],[D]]," ")</f>
        <v>0</v>
      </c>
      <c r="AJ146" s="40" t="str">
        <f>IFERROR(Tabla1[[#This Row],[F]]*#REF!," ")</f>
        <v xml:space="preserve"> </v>
      </c>
      <c r="AK146" s="40" t="str">
        <f>IFERROR(#REF!*Tabla1[[#This Row],[D]]," ")</f>
        <v xml:space="preserve"> </v>
      </c>
      <c r="AL146" s="103"/>
      <c r="AM146" s="103"/>
      <c r="AN146" s="103"/>
      <c r="AO146" s="38">
        <f>+Tabla1[[#This Row],[COS.B+E]]+Tabla1[[#This Row],[COS.F1]]+Tabla1[[#This Row],[COS.D1]]+Tabla1[[#This Row],[ALIMENTACION]]+Tabla1[[#This Row],[PRESTAMO]]+AN146</f>
        <v>0</v>
      </c>
      <c r="AP146" s="38" t="e">
        <f>+#REF!+Tabla1[[#This Row],[COS F2]]+Tabla1[[#This Row],[COS D2]]+Tabla1[[#This Row],[ALIMENTACION]]+Tabla1[[#This Row],[PRESTAMO]]+Tabla1[[#This Row],[PASAJES]]</f>
        <v>#REF!</v>
      </c>
    </row>
    <row r="147" spans="1:42" x14ac:dyDescent="0.25">
      <c r="A147" s="2" t="str">
        <f>TEXT(Tabla1[[#This Row],[FECHA ]],"DDDDD")</f>
        <v>domingo</v>
      </c>
      <c r="B147" s="2" t="str">
        <f>_xlfn.IFNA(VLOOKUP(Tabla1[[#This Row],[DESTINO]],RUBRO!$Q$1:$R$9996,2,FALSE)," ")</f>
        <v>DESCANSO</v>
      </c>
      <c r="C147" s="104">
        <f>WEEKNUM(Tabla1[[#This Row],[FECHA ]],2)</f>
        <v>19</v>
      </c>
      <c r="D147" s="104" t="str">
        <f>TEXT(Tabla1[[#This Row],[FECHA ]],"MMM-YY")</f>
        <v>may-YY</v>
      </c>
      <c r="E147" s="104" t="str">
        <f>VLOOKUP(Tabla1[[#This Row],[DNI ]],RUBRO!$F$1:$O$9996,7,FALSE)</f>
        <v xml:space="preserve">5ta </v>
      </c>
      <c r="F147" s="104" t="str">
        <f>VLOOKUP(Tabla1[[#This Row],[DNI ]],RUBRO!$F$1:$O$88,3,FALSE)</f>
        <v>AYU-VA</v>
      </c>
      <c r="G147" s="104" t="str">
        <f>VLOOKUP(Tabla1[[#This Row],[DNI ]],RUBRO!$F$1:$O$9996,5,FALSE)</f>
        <v>AYUDANTE DE PRODUCCION</v>
      </c>
      <c r="H147" s="66" t="str">
        <f>VLOOKUP(Tabla1[[#This Row],[DNI ]],RUBRO!$F$1:$O$9996,6,FALSE)</f>
        <v>MIO QUIÑONES ALEXIS</v>
      </c>
      <c r="I147" s="94">
        <v>44325</v>
      </c>
      <c r="J147" s="10">
        <v>3</v>
      </c>
      <c r="K147" s="2">
        <v>76457697</v>
      </c>
      <c r="L147" s="4">
        <f>VLOOKUP(Tabla1[[#This Row],[DNI ]],RUBRO!$F$2:$O$9996,8,FALSE)</f>
        <v>45</v>
      </c>
      <c r="M147" s="88"/>
      <c r="N147" s="28"/>
      <c r="P147" s="28"/>
      <c r="Q147" s="31">
        <f>(Tabla1[[#This Row],[SALIDA]]-Tabla1[[#This Row],[FIN ]])+(Tabla1[[#This Row],[INICIO]]-Tabla1[[#This Row],[INGRESO]])</f>
        <v>0</v>
      </c>
      <c r="R147" s="13">
        <f t="shared" si="6"/>
        <v>0</v>
      </c>
      <c r="S147" s="31">
        <f t="shared" si="7"/>
        <v>0</v>
      </c>
      <c r="T147" s="136"/>
      <c r="U147" s="136"/>
      <c r="V147" s="137">
        <f>(Tabla1[[#This Row],[COS.BASE 3]]*0.25+Tabla1[[#This Row],[COS.BASE 3]])*Tabla1[[#This Row],[HORAS 25 % ]]</f>
        <v>0</v>
      </c>
      <c r="W147" s="138">
        <f>(Tabla1[[#This Row],[COS.BASE 3]]*0.35+Tabla1[[#This Row],[COS.BASE 3]])*Tabla1[[#This Row],[HORAS 35% ]]</f>
        <v>0</v>
      </c>
      <c r="X147" s="138">
        <f>SUM(Tabla1[[#This Row],[C.HORA.35]],Tabla1[[#This Row],[C.HORA.25]])</f>
        <v>0</v>
      </c>
      <c r="Y147" s="4"/>
      <c r="Z147" s="10">
        <f>Tabla1[[#This Row],[T.HORAS]]*24</f>
        <v>0</v>
      </c>
      <c r="AA147" s="4">
        <f>Tabla1[[#This Row],[H.NORMALES]]*24</f>
        <v>0</v>
      </c>
      <c r="AB147" s="10">
        <f>Tabla1[[#This Row],[H.EXTRAS]]*24</f>
        <v>0</v>
      </c>
      <c r="AC147" s="105">
        <f t="shared" si="8"/>
        <v>0</v>
      </c>
      <c r="AD147" s="120">
        <f>Tabla1[[#This Row],[COS.BASE 2]]/8</f>
        <v>0</v>
      </c>
      <c r="AE147" s="105">
        <f>Tabla1[[#This Row],[CST_H_E]]+Tabla1[[#This Row],[COS.BASE 2]]</f>
        <v>0</v>
      </c>
      <c r="AF147" s="106">
        <f>+_xlfn.IFNA(INDEX(RUBRO!$W$2:$AA$732,MATCH(Tabla1[[#This Row],[FECHA ]],RUBRO!$W$2:$W$732,0),5)," ")</f>
        <v>0</v>
      </c>
      <c r="AG147" s="10">
        <f>+_xlfn.IFNA(INDEX(RUBRO!$W$2:$AA$732,MATCH(Tabla1[[#This Row],[FECHA ]],RUBRO!$W$2:$W$732,0),2)," ")</f>
        <v>1</v>
      </c>
      <c r="AH147" s="40">
        <f>IFERROR(Tabla1[[#This Row],[F]]*Tabla1[[#This Row],[COS.B+E]]," ")</f>
        <v>0</v>
      </c>
      <c r="AI147" s="40">
        <f>IFERROR(Tabla1[[#This Row],[COS.B+E]]*Tabla1[[#This Row],[D]]," ")</f>
        <v>0</v>
      </c>
      <c r="AJ147" s="40" t="str">
        <f>IFERROR(Tabla1[[#This Row],[F]]*#REF!," ")</f>
        <v xml:space="preserve"> </v>
      </c>
      <c r="AK147" s="40" t="str">
        <f>IFERROR(#REF!*Tabla1[[#This Row],[D]]," ")</f>
        <v xml:space="preserve"> </v>
      </c>
      <c r="AL147" s="103"/>
      <c r="AM147" s="103"/>
      <c r="AN147" s="103"/>
      <c r="AO147" s="38">
        <f>+Tabla1[[#This Row],[COS.B+E]]+Tabla1[[#This Row],[COS.F1]]+Tabla1[[#This Row],[COS.D1]]+Tabla1[[#This Row],[ALIMENTACION]]+Tabla1[[#This Row],[PRESTAMO]]+AN147</f>
        <v>0</v>
      </c>
      <c r="AP147" s="38" t="e">
        <f>+#REF!+Tabla1[[#This Row],[COS F2]]+Tabla1[[#This Row],[COS D2]]+Tabla1[[#This Row],[ALIMENTACION]]+Tabla1[[#This Row],[PRESTAMO]]+Tabla1[[#This Row],[PASAJES]]</f>
        <v>#REF!</v>
      </c>
    </row>
    <row r="148" spans="1:42" x14ac:dyDescent="0.25">
      <c r="A148" s="2" t="str">
        <f>TEXT(Tabla1[[#This Row],[FECHA ]],"DDDDD")</f>
        <v>domingo</v>
      </c>
      <c r="B148" s="2" t="str">
        <f>_xlfn.IFNA(VLOOKUP(Tabla1[[#This Row],[DESTINO]],RUBRO!$Q$1:$R$9996,2,FALSE)," ")</f>
        <v>DESCANSO</v>
      </c>
      <c r="C148" s="104">
        <f>WEEKNUM(Tabla1[[#This Row],[FECHA ]],2)</f>
        <v>19</v>
      </c>
      <c r="D148" s="104" t="str">
        <f>TEXT(Tabla1[[#This Row],[FECHA ]],"MMM-YY")</f>
        <v>may-YY</v>
      </c>
      <c r="E148" s="104">
        <f>VLOOKUP(Tabla1[[#This Row],[DNI ]],RUBRO!$F$1:$O$9996,7,FALSE)</f>
        <v>0</v>
      </c>
      <c r="F148" s="104" t="e">
        <f>VLOOKUP(Tabla1[[#This Row],[DNI ]],RUBRO!$F$1:$O$88,3,FALSE)</f>
        <v>#N/A</v>
      </c>
      <c r="G148" s="104">
        <f>VLOOKUP(Tabla1[[#This Row],[DNI ]],RUBRO!$F$1:$O$9996,5,FALSE)</f>
        <v>0</v>
      </c>
      <c r="H148" s="66" t="str">
        <f>VLOOKUP(Tabla1[[#This Row],[DNI ]],RUBRO!$F$1:$O$9996,6,FALSE)</f>
        <v>MONJA ACOSTA RONALD</v>
      </c>
      <c r="I148" s="94">
        <v>44325</v>
      </c>
      <c r="J148" s="10">
        <v>3</v>
      </c>
      <c r="K148" s="2">
        <v>75561146</v>
      </c>
      <c r="L148" s="4">
        <f>VLOOKUP(Tabla1[[#This Row],[DNI ]],RUBRO!$F$2:$O$9996,8,FALSE)</f>
        <v>0</v>
      </c>
      <c r="M148" s="88"/>
      <c r="N148" s="28"/>
      <c r="P148" s="28"/>
      <c r="Q148" s="31">
        <f>(Tabla1[[#This Row],[SALIDA]]-Tabla1[[#This Row],[FIN ]])+(Tabla1[[#This Row],[INICIO]]-Tabla1[[#This Row],[INGRESO]])</f>
        <v>0</v>
      </c>
      <c r="R148" s="13">
        <f t="shared" si="6"/>
        <v>0</v>
      </c>
      <c r="S148" s="31">
        <f t="shared" si="7"/>
        <v>0</v>
      </c>
      <c r="T148" s="136"/>
      <c r="U148" s="136"/>
      <c r="V148" s="137">
        <f>(Tabla1[[#This Row],[COS.BASE 3]]*0.25+Tabla1[[#This Row],[COS.BASE 3]])*Tabla1[[#This Row],[HORAS 25 % ]]</f>
        <v>0</v>
      </c>
      <c r="W148" s="138">
        <f>(Tabla1[[#This Row],[COS.BASE 3]]*0.35+Tabla1[[#This Row],[COS.BASE 3]])*Tabla1[[#This Row],[HORAS 35% ]]</f>
        <v>0</v>
      </c>
      <c r="X148" s="138">
        <f>SUM(Tabla1[[#This Row],[C.HORA.35]],Tabla1[[#This Row],[C.HORA.25]])</f>
        <v>0</v>
      </c>
      <c r="Y148" s="4"/>
      <c r="Z148" s="10">
        <f>Tabla1[[#This Row],[T.HORAS]]*24</f>
        <v>0</v>
      </c>
      <c r="AA148" s="4">
        <f>Tabla1[[#This Row],[H.NORMALES]]*24</f>
        <v>0</v>
      </c>
      <c r="AB148" s="10">
        <f>Tabla1[[#This Row],[H.EXTRAS]]*24</f>
        <v>0</v>
      </c>
      <c r="AC148" s="105">
        <f t="shared" si="8"/>
        <v>0</v>
      </c>
      <c r="AD148" s="120">
        <f>Tabla1[[#This Row],[COS.BASE 2]]/8</f>
        <v>0</v>
      </c>
      <c r="AE148" s="105">
        <f>Tabla1[[#This Row],[CST_H_E]]+Tabla1[[#This Row],[COS.BASE 2]]</f>
        <v>0</v>
      </c>
      <c r="AF148" s="106">
        <f>+_xlfn.IFNA(INDEX(RUBRO!$W$2:$AA$732,MATCH(Tabla1[[#This Row],[FECHA ]],RUBRO!$W$2:$W$732,0),5)," ")</f>
        <v>0</v>
      </c>
      <c r="AG148" s="10">
        <f>+_xlfn.IFNA(INDEX(RUBRO!$W$2:$AA$732,MATCH(Tabla1[[#This Row],[FECHA ]],RUBRO!$W$2:$W$732,0),2)," ")</f>
        <v>1</v>
      </c>
      <c r="AH148" s="40">
        <f>IFERROR(Tabla1[[#This Row],[F]]*Tabla1[[#This Row],[COS.B+E]]," ")</f>
        <v>0</v>
      </c>
      <c r="AI148" s="40">
        <f>IFERROR(Tabla1[[#This Row],[COS.B+E]]*Tabla1[[#This Row],[D]]," ")</f>
        <v>0</v>
      </c>
      <c r="AJ148" s="40" t="str">
        <f>IFERROR(Tabla1[[#This Row],[F]]*#REF!," ")</f>
        <v xml:space="preserve"> </v>
      </c>
      <c r="AK148" s="40" t="str">
        <f>IFERROR(#REF!*Tabla1[[#This Row],[D]]," ")</f>
        <v xml:space="preserve"> </v>
      </c>
      <c r="AL148" s="103"/>
      <c r="AM148" s="103"/>
      <c r="AN148" s="103"/>
      <c r="AO148" s="38">
        <f>+Tabla1[[#This Row],[COS.B+E]]+Tabla1[[#This Row],[COS.F1]]+Tabla1[[#This Row],[COS.D1]]+Tabla1[[#This Row],[ALIMENTACION]]+Tabla1[[#This Row],[PRESTAMO]]+AN148</f>
        <v>0</v>
      </c>
      <c r="AP148" s="38" t="e">
        <f>+#REF!+Tabla1[[#This Row],[COS F2]]+Tabla1[[#This Row],[COS D2]]+Tabla1[[#This Row],[ALIMENTACION]]+Tabla1[[#This Row],[PRESTAMO]]+Tabla1[[#This Row],[PASAJES]]</f>
        <v>#REF!</v>
      </c>
    </row>
    <row r="149" spans="1:42" x14ac:dyDescent="0.25">
      <c r="A149" s="2" t="str">
        <f>TEXT(Tabla1[[#This Row],[FECHA ]],"DDDDD")</f>
        <v>domingo</v>
      </c>
      <c r="B149" s="2" t="str">
        <f>_xlfn.IFNA(VLOOKUP(Tabla1[[#This Row],[DESTINO]],RUBRO!$Q$1:$R$9996,2,FALSE)," ")</f>
        <v>DESCANSO</v>
      </c>
      <c r="C149" s="104">
        <f>WEEKNUM(Tabla1[[#This Row],[FECHA ]],2)</f>
        <v>19</v>
      </c>
      <c r="D149" s="104" t="str">
        <f>TEXT(Tabla1[[#This Row],[FECHA ]],"MMM-YY")</f>
        <v>may-YY</v>
      </c>
      <c r="E149" s="104">
        <f>VLOOKUP(Tabla1[[#This Row],[DNI ]],RUBRO!$F$1:$O$9996,7,FALSE)</f>
        <v>0</v>
      </c>
      <c r="F149" s="104" t="e">
        <f>VLOOKUP(Tabla1[[#This Row],[DNI ]],RUBRO!$F$1:$O$88,3,FALSE)</f>
        <v>#N/A</v>
      </c>
      <c r="G149" s="104">
        <f>VLOOKUP(Tabla1[[#This Row],[DNI ]],RUBRO!$F$1:$O$9996,5,FALSE)</f>
        <v>0</v>
      </c>
      <c r="H149" s="66" t="str">
        <f>VLOOKUP(Tabla1[[#This Row],[DNI ]],RUBRO!$F$1:$O$9996,6,FALSE)</f>
        <v>MONTENEGRO DAVILA EVER</v>
      </c>
      <c r="I149" s="94">
        <v>44325</v>
      </c>
      <c r="J149" s="10">
        <v>3</v>
      </c>
      <c r="K149" s="2">
        <v>76847602</v>
      </c>
      <c r="L149" s="4">
        <f>VLOOKUP(Tabla1[[#This Row],[DNI ]],RUBRO!$F$2:$O$9996,8,FALSE)</f>
        <v>0</v>
      </c>
      <c r="M149" s="88"/>
      <c r="N149" s="28"/>
      <c r="P149" s="28"/>
      <c r="Q149" s="31">
        <f>(Tabla1[[#This Row],[SALIDA]]-Tabla1[[#This Row],[FIN ]])+(Tabla1[[#This Row],[INICIO]]-Tabla1[[#This Row],[INGRESO]])</f>
        <v>0</v>
      </c>
      <c r="R149" s="13">
        <f t="shared" si="6"/>
        <v>0</v>
      </c>
      <c r="S149" s="31">
        <f t="shared" si="7"/>
        <v>0</v>
      </c>
      <c r="T149" s="136"/>
      <c r="U149" s="136"/>
      <c r="V149" s="137">
        <f>(Tabla1[[#This Row],[COS.BASE 3]]*0.25+Tabla1[[#This Row],[COS.BASE 3]])*Tabla1[[#This Row],[HORAS 25 % ]]</f>
        <v>0</v>
      </c>
      <c r="W149" s="138">
        <f>(Tabla1[[#This Row],[COS.BASE 3]]*0.35+Tabla1[[#This Row],[COS.BASE 3]])*Tabla1[[#This Row],[HORAS 35% ]]</f>
        <v>0</v>
      </c>
      <c r="X149" s="138">
        <f>SUM(Tabla1[[#This Row],[C.HORA.35]],Tabla1[[#This Row],[C.HORA.25]])</f>
        <v>0</v>
      </c>
      <c r="Y149" s="4"/>
      <c r="Z149" s="10">
        <f>Tabla1[[#This Row],[T.HORAS]]*24</f>
        <v>0</v>
      </c>
      <c r="AA149" s="4">
        <f>Tabla1[[#This Row],[H.NORMALES]]*24</f>
        <v>0</v>
      </c>
      <c r="AB149" s="10">
        <f>Tabla1[[#This Row],[H.EXTRAS]]*24</f>
        <v>0</v>
      </c>
      <c r="AC149" s="105">
        <f t="shared" si="8"/>
        <v>0</v>
      </c>
      <c r="AD149" s="120">
        <f>Tabla1[[#This Row],[COS.BASE 2]]/8</f>
        <v>0</v>
      </c>
      <c r="AE149" s="105">
        <f>Tabla1[[#This Row],[CST_H_E]]+Tabla1[[#This Row],[COS.BASE 2]]</f>
        <v>0</v>
      </c>
      <c r="AF149" s="106">
        <f>+_xlfn.IFNA(INDEX(RUBRO!$W$2:$AA$732,MATCH(Tabla1[[#This Row],[FECHA ]],RUBRO!$W$2:$W$732,0),5)," ")</f>
        <v>0</v>
      </c>
      <c r="AG149" s="10">
        <f>+_xlfn.IFNA(INDEX(RUBRO!$W$2:$AA$732,MATCH(Tabla1[[#This Row],[FECHA ]],RUBRO!$W$2:$W$732,0),2)," ")</f>
        <v>1</v>
      </c>
      <c r="AH149" s="40">
        <f>IFERROR(Tabla1[[#This Row],[F]]*Tabla1[[#This Row],[COS.B+E]]," ")</f>
        <v>0</v>
      </c>
      <c r="AI149" s="40">
        <f>IFERROR(Tabla1[[#This Row],[COS.B+E]]*Tabla1[[#This Row],[D]]," ")</f>
        <v>0</v>
      </c>
      <c r="AJ149" s="40" t="str">
        <f>IFERROR(Tabla1[[#This Row],[F]]*#REF!," ")</f>
        <v xml:space="preserve"> </v>
      </c>
      <c r="AK149" s="40" t="str">
        <f>IFERROR(#REF!*Tabla1[[#This Row],[D]]," ")</f>
        <v xml:space="preserve"> </v>
      </c>
      <c r="AL149" s="103"/>
      <c r="AM149" s="103"/>
      <c r="AN149" s="103"/>
      <c r="AO149" s="38">
        <f>+Tabla1[[#This Row],[COS.B+E]]+Tabla1[[#This Row],[COS.F1]]+Tabla1[[#This Row],[COS.D1]]+Tabla1[[#This Row],[ALIMENTACION]]+Tabla1[[#This Row],[PRESTAMO]]+AN149</f>
        <v>0</v>
      </c>
      <c r="AP149" s="38" t="e">
        <f>+#REF!+Tabla1[[#This Row],[COS F2]]+Tabla1[[#This Row],[COS D2]]+Tabla1[[#This Row],[ALIMENTACION]]+Tabla1[[#This Row],[PRESTAMO]]+Tabla1[[#This Row],[PASAJES]]</f>
        <v>#REF!</v>
      </c>
    </row>
    <row r="150" spans="1:42" x14ac:dyDescent="0.25">
      <c r="A150" s="2" t="str">
        <f>TEXT(Tabla1[[#This Row],[FECHA ]],"DDDDD")</f>
        <v>domingo</v>
      </c>
      <c r="B150" s="2" t="str">
        <f>_xlfn.IFNA(VLOOKUP(Tabla1[[#This Row],[DESTINO]],RUBRO!$Q$1:$R$9996,2,FALSE)," ")</f>
        <v>DESCANSO</v>
      </c>
      <c r="C150" s="104">
        <f>WEEKNUM(Tabla1[[#This Row],[FECHA ]],2)</f>
        <v>19</v>
      </c>
      <c r="D150" s="104" t="str">
        <f>TEXT(Tabla1[[#This Row],[FECHA ]],"MMM-YY")</f>
        <v>may-YY</v>
      </c>
      <c r="E150" s="104" t="str">
        <f>VLOOKUP(Tabla1[[#This Row],[DNI ]],RUBRO!$F$1:$O$9996,7,FALSE)</f>
        <v>5ta</v>
      </c>
      <c r="F150" s="104" t="str">
        <f>VLOOKUP(Tabla1[[#This Row],[DNI ]],RUBRO!$F$1:$O$88,3,FALSE)</f>
        <v>TEC-01</v>
      </c>
      <c r="G150" s="104" t="str">
        <f>VLOOKUP(Tabla1[[#This Row],[DNI ]],RUBRO!$F$1:$O$9996,5,FALSE)</f>
        <v>TECNICO SOLDADOR</v>
      </c>
      <c r="H150" s="66" t="str">
        <f>VLOOKUP(Tabla1[[#This Row],[DNI ]],RUBRO!$F$1:$O$9996,6,FALSE)</f>
        <v>MUÑOZ EXEBIO IRWIS MANUEL</v>
      </c>
      <c r="I150" s="94">
        <v>44325</v>
      </c>
      <c r="J150" s="10">
        <v>3</v>
      </c>
      <c r="K150" s="2">
        <v>46933574</v>
      </c>
      <c r="L150" s="4">
        <f>VLOOKUP(Tabla1[[#This Row],[DNI ]],RUBRO!$F$2:$O$9996,8,FALSE)</f>
        <v>65</v>
      </c>
      <c r="M150" s="88"/>
      <c r="N150" s="28"/>
      <c r="P150" s="28"/>
      <c r="Q150" s="31">
        <f>(Tabla1[[#This Row],[SALIDA]]-Tabla1[[#This Row],[FIN ]])+(Tabla1[[#This Row],[INICIO]]-Tabla1[[#This Row],[INGRESO]])</f>
        <v>0</v>
      </c>
      <c r="R150" s="13">
        <f t="shared" si="6"/>
        <v>0</v>
      </c>
      <c r="S150" s="31">
        <f t="shared" si="7"/>
        <v>0</v>
      </c>
      <c r="T150" s="136"/>
      <c r="U150" s="136"/>
      <c r="V150" s="137">
        <f>(Tabla1[[#This Row],[COS.BASE 3]]*0.25+Tabla1[[#This Row],[COS.BASE 3]])*Tabla1[[#This Row],[HORAS 25 % ]]</f>
        <v>0</v>
      </c>
      <c r="W150" s="138">
        <f>(Tabla1[[#This Row],[COS.BASE 3]]*0.35+Tabla1[[#This Row],[COS.BASE 3]])*Tabla1[[#This Row],[HORAS 35% ]]</f>
        <v>0</v>
      </c>
      <c r="X150" s="138">
        <f>SUM(Tabla1[[#This Row],[C.HORA.35]],Tabla1[[#This Row],[C.HORA.25]])</f>
        <v>0</v>
      </c>
      <c r="Y150" s="4"/>
      <c r="Z150" s="10">
        <f>Tabla1[[#This Row],[T.HORAS]]*24</f>
        <v>0</v>
      </c>
      <c r="AA150" s="4">
        <f>Tabla1[[#This Row],[H.NORMALES]]*24</f>
        <v>0</v>
      </c>
      <c r="AB150" s="10">
        <f>Tabla1[[#This Row],[H.EXTRAS]]*24</f>
        <v>0</v>
      </c>
      <c r="AC150" s="105">
        <f t="shared" si="8"/>
        <v>0</v>
      </c>
      <c r="AD150" s="120">
        <f>Tabla1[[#This Row],[COS.BASE 2]]/8</f>
        <v>0</v>
      </c>
      <c r="AE150" s="105">
        <f>Tabla1[[#This Row],[CST_H_E]]+Tabla1[[#This Row],[COS.BASE 2]]</f>
        <v>0</v>
      </c>
      <c r="AF150" s="106">
        <f>+_xlfn.IFNA(INDEX(RUBRO!$W$2:$AA$732,MATCH(Tabla1[[#This Row],[FECHA ]],RUBRO!$W$2:$W$732,0),5)," ")</f>
        <v>0</v>
      </c>
      <c r="AG150" s="10">
        <f>+_xlfn.IFNA(INDEX(RUBRO!$W$2:$AA$732,MATCH(Tabla1[[#This Row],[FECHA ]],RUBRO!$W$2:$W$732,0),2)," ")</f>
        <v>1</v>
      </c>
      <c r="AH150" s="40">
        <f>IFERROR(Tabla1[[#This Row],[F]]*Tabla1[[#This Row],[COS.B+E]]," ")</f>
        <v>0</v>
      </c>
      <c r="AI150" s="40">
        <f>IFERROR(Tabla1[[#This Row],[COS.B+E]]*Tabla1[[#This Row],[D]]," ")</f>
        <v>0</v>
      </c>
      <c r="AJ150" s="40" t="str">
        <f>IFERROR(Tabla1[[#This Row],[F]]*#REF!," ")</f>
        <v xml:space="preserve"> </v>
      </c>
      <c r="AK150" s="40" t="str">
        <f>IFERROR(#REF!*Tabla1[[#This Row],[D]]," ")</f>
        <v xml:space="preserve"> </v>
      </c>
      <c r="AL150" s="103"/>
      <c r="AM150" s="103"/>
      <c r="AN150" s="103"/>
      <c r="AO150" s="38">
        <f>+Tabla1[[#This Row],[COS.B+E]]+Tabla1[[#This Row],[COS.F1]]+Tabla1[[#This Row],[COS.D1]]+Tabla1[[#This Row],[ALIMENTACION]]+Tabla1[[#This Row],[PRESTAMO]]+AN150</f>
        <v>0</v>
      </c>
      <c r="AP150" s="38" t="e">
        <f>+#REF!+Tabla1[[#This Row],[COS F2]]+Tabla1[[#This Row],[COS D2]]+Tabla1[[#This Row],[ALIMENTACION]]+Tabla1[[#This Row],[PRESTAMO]]+Tabla1[[#This Row],[PASAJES]]</f>
        <v>#REF!</v>
      </c>
    </row>
    <row r="151" spans="1:42" x14ac:dyDescent="0.25">
      <c r="A151" s="2" t="str">
        <f>TEXT(Tabla1[[#This Row],[FECHA ]],"DDDDD")</f>
        <v>domingo</v>
      </c>
      <c r="B151" s="2" t="str">
        <f>_xlfn.IFNA(VLOOKUP(Tabla1[[#This Row],[DESTINO]],RUBRO!$Q$1:$R$9996,2,FALSE)," ")</f>
        <v>DESCANSO</v>
      </c>
      <c r="C151" s="104">
        <f>WEEKNUM(Tabla1[[#This Row],[FECHA ]],2)</f>
        <v>19</v>
      </c>
      <c r="D151" s="104" t="str">
        <f>TEXT(Tabla1[[#This Row],[FECHA ]],"MMM-YY")</f>
        <v>may-YY</v>
      </c>
      <c r="E151" s="104" t="str">
        <f>VLOOKUP(Tabla1[[#This Row],[DNI ]],RUBRO!$F$1:$O$9996,7,FALSE)</f>
        <v>5ta</v>
      </c>
      <c r="F151" s="104" t="e">
        <f>VLOOKUP(Tabla1[[#This Row],[DNI ]],RUBRO!$F$1:$O$88,3,FALSE)</f>
        <v>#N/A</v>
      </c>
      <c r="G151" s="104">
        <f>VLOOKUP(Tabla1[[#This Row],[DNI ]],RUBRO!$F$1:$O$9996,5,FALSE)</f>
        <v>0</v>
      </c>
      <c r="H151" s="66" t="str">
        <f>VLOOKUP(Tabla1[[#This Row],[DNI ]],RUBRO!$F$1:$O$9996,6,FALSE)</f>
        <v>OLANO GARCIA</v>
      </c>
      <c r="I151" s="94">
        <v>44325</v>
      </c>
      <c r="J151" s="10">
        <v>3</v>
      </c>
      <c r="K151" s="2">
        <v>41234982</v>
      </c>
      <c r="L151" s="4">
        <f>VLOOKUP(Tabla1[[#This Row],[DNI ]],RUBRO!$F$2:$O$9996,8,FALSE)</f>
        <v>0</v>
      </c>
      <c r="M151" s="88"/>
      <c r="N151" s="28"/>
      <c r="P151" s="28"/>
      <c r="Q151" s="31">
        <f>(Tabla1[[#This Row],[SALIDA]]-Tabla1[[#This Row],[FIN ]])+(Tabla1[[#This Row],[INICIO]]-Tabla1[[#This Row],[INGRESO]])</f>
        <v>0</v>
      </c>
      <c r="R151" s="13">
        <f t="shared" si="6"/>
        <v>0</v>
      </c>
      <c r="S151" s="31">
        <f t="shared" si="7"/>
        <v>0</v>
      </c>
      <c r="T151" s="136"/>
      <c r="U151" s="136"/>
      <c r="V151" s="137">
        <f>(Tabla1[[#This Row],[COS.BASE 3]]*0.25+Tabla1[[#This Row],[COS.BASE 3]])*Tabla1[[#This Row],[HORAS 25 % ]]</f>
        <v>0</v>
      </c>
      <c r="W151" s="138">
        <f>(Tabla1[[#This Row],[COS.BASE 3]]*0.35+Tabla1[[#This Row],[COS.BASE 3]])*Tabla1[[#This Row],[HORAS 35% ]]</f>
        <v>0</v>
      </c>
      <c r="X151" s="138">
        <f>SUM(Tabla1[[#This Row],[C.HORA.35]],Tabla1[[#This Row],[C.HORA.25]])</f>
        <v>0</v>
      </c>
      <c r="Y151" s="4"/>
      <c r="Z151" s="10">
        <f>Tabla1[[#This Row],[T.HORAS]]*24</f>
        <v>0</v>
      </c>
      <c r="AA151" s="4">
        <f>Tabla1[[#This Row],[H.NORMALES]]*24</f>
        <v>0</v>
      </c>
      <c r="AB151" s="10">
        <f>Tabla1[[#This Row],[H.EXTRAS]]*24</f>
        <v>0</v>
      </c>
      <c r="AC151" s="105">
        <f t="shared" si="8"/>
        <v>0</v>
      </c>
      <c r="AD151" s="120">
        <f>Tabla1[[#This Row],[COS.BASE 2]]/8</f>
        <v>0</v>
      </c>
      <c r="AE151" s="105">
        <f>Tabla1[[#This Row],[CST_H_E]]+Tabla1[[#This Row],[COS.BASE 2]]</f>
        <v>0</v>
      </c>
      <c r="AF151" s="106">
        <f>+_xlfn.IFNA(INDEX(RUBRO!$W$2:$AA$732,MATCH(Tabla1[[#This Row],[FECHA ]],RUBRO!$W$2:$W$732,0),5)," ")</f>
        <v>0</v>
      </c>
      <c r="AG151" s="10">
        <f>+_xlfn.IFNA(INDEX(RUBRO!$W$2:$AA$732,MATCH(Tabla1[[#This Row],[FECHA ]],RUBRO!$W$2:$W$732,0),2)," ")</f>
        <v>1</v>
      </c>
      <c r="AH151" s="40">
        <f>IFERROR(Tabla1[[#This Row],[F]]*Tabla1[[#This Row],[COS.B+E]]," ")</f>
        <v>0</v>
      </c>
      <c r="AI151" s="40">
        <f>IFERROR(Tabla1[[#This Row],[COS.B+E]]*Tabla1[[#This Row],[D]]," ")</f>
        <v>0</v>
      </c>
      <c r="AJ151" s="40" t="str">
        <f>IFERROR(Tabla1[[#This Row],[F]]*#REF!," ")</f>
        <v xml:space="preserve"> </v>
      </c>
      <c r="AK151" s="40" t="str">
        <f>IFERROR(#REF!*Tabla1[[#This Row],[D]]," ")</f>
        <v xml:space="preserve"> </v>
      </c>
      <c r="AL151" s="103"/>
      <c r="AM151" s="103"/>
      <c r="AN151" s="103"/>
      <c r="AO151" s="38">
        <f>+Tabla1[[#This Row],[COS.B+E]]+Tabla1[[#This Row],[COS.F1]]+Tabla1[[#This Row],[COS.D1]]+Tabla1[[#This Row],[ALIMENTACION]]+Tabla1[[#This Row],[PRESTAMO]]+AN151</f>
        <v>0</v>
      </c>
      <c r="AP151" s="38" t="e">
        <f>+#REF!+Tabla1[[#This Row],[COS F2]]+Tabla1[[#This Row],[COS D2]]+Tabla1[[#This Row],[ALIMENTACION]]+Tabla1[[#This Row],[PRESTAMO]]+Tabla1[[#This Row],[PASAJES]]</f>
        <v>#REF!</v>
      </c>
    </row>
    <row r="152" spans="1:42" x14ac:dyDescent="0.25">
      <c r="A152" s="2" t="str">
        <f>TEXT(Tabla1[[#This Row],[FECHA ]],"DDDDD")</f>
        <v>domingo</v>
      </c>
      <c r="B152" s="2" t="str">
        <f>_xlfn.IFNA(VLOOKUP(Tabla1[[#This Row],[DESTINO]],RUBRO!$Q$1:$R$9996,2,FALSE)," ")</f>
        <v>DESCANSO</v>
      </c>
      <c r="C152" s="104">
        <f>WEEKNUM(Tabla1[[#This Row],[FECHA ]],2)</f>
        <v>19</v>
      </c>
      <c r="D152" s="104" t="str">
        <f>TEXT(Tabla1[[#This Row],[FECHA ]],"MMM-YY")</f>
        <v>may-YY</v>
      </c>
      <c r="E152" s="104" t="str">
        <f>VLOOKUP(Tabla1[[#This Row],[DNI ]],RUBRO!$F$1:$O$9996,7,FALSE)</f>
        <v>5ta</v>
      </c>
      <c r="F152" s="104" t="str">
        <f>VLOOKUP(Tabla1[[#This Row],[DNI ]],RUBRO!$F$1:$O$88,3,FALSE)</f>
        <v>TEC-05</v>
      </c>
      <c r="G152" s="104" t="str">
        <f>VLOOKUP(Tabla1[[#This Row],[DNI ]],RUBRO!$F$1:$O$9996,5,FALSE)</f>
        <v>TECNICO MECANICO MONTAJISTA DE NAVE INDUSTRIAL</v>
      </c>
      <c r="H152" s="66" t="str">
        <f>VLOOKUP(Tabla1[[#This Row],[DNI ]],RUBRO!$F$1:$O$9996,6,FALSE)</f>
        <v>ORTIZ PANTALEON POLH MANIX</v>
      </c>
      <c r="I152" s="94">
        <v>44325</v>
      </c>
      <c r="J152" s="10">
        <v>3</v>
      </c>
      <c r="K152" s="2">
        <v>45821420</v>
      </c>
      <c r="L152" s="4">
        <f>VLOOKUP(Tabla1[[#This Row],[DNI ]],RUBRO!$F$2:$O$9996,8,FALSE)</f>
        <v>56.55</v>
      </c>
      <c r="M152" s="88"/>
      <c r="N152" s="28"/>
      <c r="P152" s="28"/>
      <c r="Q152" s="31">
        <f>(Tabla1[[#This Row],[SALIDA]]-Tabla1[[#This Row],[FIN ]])+(Tabla1[[#This Row],[INICIO]]-Tabla1[[#This Row],[INGRESO]])</f>
        <v>0</v>
      </c>
      <c r="R152" s="13">
        <f t="shared" si="6"/>
        <v>0</v>
      </c>
      <c r="S152" s="31">
        <f t="shared" si="7"/>
        <v>0</v>
      </c>
      <c r="T152" s="136"/>
      <c r="U152" s="136"/>
      <c r="V152" s="137">
        <f>(Tabla1[[#This Row],[COS.BASE 3]]*0.25+Tabla1[[#This Row],[COS.BASE 3]])*Tabla1[[#This Row],[HORAS 25 % ]]</f>
        <v>0</v>
      </c>
      <c r="W152" s="138">
        <f>(Tabla1[[#This Row],[COS.BASE 3]]*0.35+Tabla1[[#This Row],[COS.BASE 3]])*Tabla1[[#This Row],[HORAS 35% ]]</f>
        <v>0</v>
      </c>
      <c r="X152" s="138">
        <f>SUM(Tabla1[[#This Row],[C.HORA.35]],Tabla1[[#This Row],[C.HORA.25]])</f>
        <v>0</v>
      </c>
      <c r="Y152" s="4"/>
      <c r="Z152" s="10">
        <f>Tabla1[[#This Row],[T.HORAS]]*24</f>
        <v>0</v>
      </c>
      <c r="AA152" s="4">
        <f>Tabla1[[#This Row],[H.NORMALES]]*24</f>
        <v>0</v>
      </c>
      <c r="AB152" s="10">
        <f>Tabla1[[#This Row],[H.EXTRAS]]*24</f>
        <v>0</v>
      </c>
      <c r="AC152" s="105">
        <f t="shared" si="8"/>
        <v>0</v>
      </c>
      <c r="AD152" s="120">
        <f>Tabla1[[#This Row],[COS.BASE 2]]/8</f>
        <v>0</v>
      </c>
      <c r="AE152" s="105">
        <f>Tabla1[[#This Row],[CST_H_E]]+Tabla1[[#This Row],[COS.BASE 2]]</f>
        <v>0</v>
      </c>
      <c r="AF152" s="106">
        <f>+_xlfn.IFNA(INDEX(RUBRO!$W$2:$AA$732,MATCH(Tabla1[[#This Row],[FECHA ]],RUBRO!$W$2:$W$732,0),5)," ")</f>
        <v>0</v>
      </c>
      <c r="AG152" s="10">
        <f>+_xlfn.IFNA(INDEX(RUBRO!$W$2:$AA$732,MATCH(Tabla1[[#This Row],[FECHA ]],RUBRO!$W$2:$W$732,0),2)," ")</f>
        <v>1</v>
      </c>
      <c r="AH152" s="40">
        <f>IFERROR(Tabla1[[#This Row],[F]]*Tabla1[[#This Row],[COS.B+E]]," ")</f>
        <v>0</v>
      </c>
      <c r="AI152" s="40">
        <f>IFERROR(Tabla1[[#This Row],[COS.B+E]]*Tabla1[[#This Row],[D]]," ")</f>
        <v>0</v>
      </c>
      <c r="AJ152" s="40" t="str">
        <f>IFERROR(Tabla1[[#This Row],[F]]*#REF!," ")</f>
        <v xml:space="preserve"> </v>
      </c>
      <c r="AK152" s="40" t="str">
        <f>IFERROR(#REF!*Tabla1[[#This Row],[D]]," ")</f>
        <v xml:space="preserve"> </v>
      </c>
      <c r="AL152" s="103"/>
      <c r="AM152" s="103"/>
      <c r="AN152" s="103"/>
      <c r="AO152" s="38">
        <f>+Tabla1[[#This Row],[COS.B+E]]+Tabla1[[#This Row],[COS.F1]]+Tabla1[[#This Row],[COS.D1]]+Tabla1[[#This Row],[ALIMENTACION]]+Tabla1[[#This Row],[PRESTAMO]]+AN152</f>
        <v>0</v>
      </c>
      <c r="AP152" s="38" t="e">
        <f>+#REF!+Tabla1[[#This Row],[COS F2]]+Tabla1[[#This Row],[COS D2]]+Tabla1[[#This Row],[ALIMENTACION]]+Tabla1[[#This Row],[PRESTAMO]]+Tabla1[[#This Row],[PASAJES]]</f>
        <v>#REF!</v>
      </c>
    </row>
    <row r="153" spans="1:42" x14ac:dyDescent="0.25">
      <c r="A153" s="2" t="str">
        <f>TEXT(Tabla1[[#This Row],[FECHA ]],"DDDDD")</f>
        <v>domingo</v>
      </c>
      <c r="B153" s="2" t="str">
        <f>_xlfn.IFNA(VLOOKUP(Tabla1[[#This Row],[DESTINO]],RUBRO!$Q$1:$R$9996,2,FALSE)," ")</f>
        <v>DESCANSO</v>
      </c>
      <c r="C153" s="104">
        <f>WEEKNUM(Tabla1[[#This Row],[FECHA ]],2)</f>
        <v>19</v>
      </c>
      <c r="D153" s="104" t="str">
        <f>TEXT(Tabla1[[#This Row],[FECHA ]],"MMM-YY")</f>
        <v>may-YY</v>
      </c>
      <c r="E153" s="104" t="str">
        <f>VLOOKUP(Tabla1[[#This Row],[DNI ]],RUBRO!$F$1:$O$9996,7,FALSE)</f>
        <v>5ta</v>
      </c>
      <c r="F153" s="104" t="str">
        <f>VLOOKUP(Tabla1[[#This Row],[DNI ]],RUBRO!$F$1:$O$88,3,FALSE)</f>
        <v>TEC-01</v>
      </c>
      <c r="G153" s="104" t="str">
        <f>VLOOKUP(Tabla1[[#This Row],[DNI ]],RUBRO!$F$1:$O$9996,5,FALSE)</f>
        <v>TECNICO SOLDADOR</v>
      </c>
      <c r="H153" s="66" t="str">
        <f>VLOOKUP(Tabla1[[#This Row],[DNI ]],RUBRO!$F$1:$O$9996,6,FALSE)</f>
        <v>PANDO SALAZAR LUIS BRYAN</v>
      </c>
      <c r="I153" s="94">
        <v>44325</v>
      </c>
      <c r="J153" s="10">
        <v>3</v>
      </c>
      <c r="K153" s="2">
        <v>47887505</v>
      </c>
      <c r="L153" s="4">
        <f>VLOOKUP(Tabla1[[#This Row],[DNI ]],RUBRO!$F$2:$O$9996,8,FALSE)</f>
        <v>66.48</v>
      </c>
      <c r="M153" s="88"/>
      <c r="N153" s="28"/>
      <c r="P153" s="28"/>
      <c r="Q153" s="31">
        <f>(Tabla1[[#This Row],[SALIDA]]-Tabla1[[#This Row],[FIN ]])+(Tabla1[[#This Row],[INICIO]]-Tabla1[[#This Row],[INGRESO]])</f>
        <v>0</v>
      </c>
      <c r="R153" s="13">
        <f t="shared" si="6"/>
        <v>0</v>
      </c>
      <c r="S153" s="31">
        <f t="shared" si="7"/>
        <v>0</v>
      </c>
      <c r="T153" s="136"/>
      <c r="U153" s="136"/>
      <c r="V153" s="137">
        <f>(Tabla1[[#This Row],[COS.BASE 3]]*0.25+Tabla1[[#This Row],[COS.BASE 3]])*Tabla1[[#This Row],[HORAS 25 % ]]</f>
        <v>0</v>
      </c>
      <c r="W153" s="138">
        <f>(Tabla1[[#This Row],[COS.BASE 3]]*0.35+Tabla1[[#This Row],[COS.BASE 3]])*Tabla1[[#This Row],[HORAS 35% ]]</f>
        <v>0</v>
      </c>
      <c r="X153" s="138">
        <f>SUM(Tabla1[[#This Row],[C.HORA.35]],Tabla1[[#This Row],[C.HORA.25]])</f>
        <v>0</v>
      </c>
      <c r="Y153" s="4"/>
      <c r="Z153" s="10">
        <f>Tabla1[[#This Row],[T.HORAS]]*24</f>
        <v>0</v>
      </c>
      <c r="AA153" s="4">
        <f>Tabla1[[#This Row],[H.NORMALES]]*24</f>
        <v>0</v>
      </c>
      <c r="AB153" s="10">
        <f>Tabla1[[#This Row],[H.EXTRAS]]*24</f>
        <v>0</v>
      </c>
      <c r="AC153" s="105">
        <f t="shared" si="8"/>
        <v>0</v>
      </c>
      <c r="AD153" s="120">
        <f>Tabla1[[#This Row],[COS.BASE 2]]/8</f>
        <v>0</v>
      </c>
      <c r="AE153" s="105">
        <f>Tabla1[[#This Row],[CST_H_E]]+Tabla1[[#This Row],[COS.BASE 2]]</f>
        <v>0</v>
      </c>
      <c r="AF153" s="106">
        <f>+_xlfn.IFNA(INDEX(RUBRO!$W$2:$AA$732,MATCH(Tabla1[[#This Row],[FECHA ]],RUBRO!$W$2:$W$732,0),5)," ")</f>
        <v>0</v>
      </c>
      <c r="AG153" s="10">
        <f>+_xlfn.IFNA(INDEX(RUBRO!$W$2:$AA$732,MATCH(Tabla1[[#This Row],[FECHA ]],RUBRO!$W$2:$W$732,0),2)," ")</f>
        <v>1</v>
      </c>
      <c r="AH153" s="40">
        <f>IFERROR(Tabla1[[#This Row],[F]]*Tabla1[[#This Row],[COS.B+E]]," ")</f>
        <v>0</v>
      </c>
      <c r="AI153" s="40">
        <f>IFERROR(Tabla1[[#This Row],[COS.B+E]]*Tabla1[[#This Row],[D]]," ")</f>
        <v>0</v>
      </c>
      <c r="AJ153" s="40" t="str">
        <f>IFERROR(Tabla1[[#This Row],[F]]*#REF!," ")</f>
        <v xml:space="preserve"> </v>
      </c>
      <c r="AK153" s="40" t="str">
        <f>IFERROR(#REF!*Tabla1[[#This Row],[D]]," ")</f>
        <v xml:space="preserve"> </v>
      </c>
      <c r="AL153" s="103"/>
      <c r="AM153" s="103"/>
      <c r="AN153" s="103"/>
      <c r="AO153" s="38">
        <f>+Tabla1[[#This Row],[COS.B+E]]+Tabla1[[#This Row],[COS.F1]]+Tabla1[[#This Row],[COS.D1]]+Tabla1[[#This Row],[ALIMENTACION]]+Tabla1[[#This Row],[PRESTAMO]]+AN153</f>
        <v>0</v>
      </c>
      <c r="AP153" s="38" t="e">
        <f>+#REF!+Tabla1[[#This Row],[COS F2]]+Tabla1[[#This Row],[COS D2]]+Tabla1[[#This Row],[ALIMENTACION]]+Tabla1[[#This Row],[PRESTAMO]]+Tabla1[[#This Row],[PASAJES]]</f>
        <v>#REF!</v>
      </c>
    </row>
    <row r="154" spans="1:42" x14ac:dyDescent="0.25">
      <c r="A154" s="2" t="str">
        <f>TEXT(Tabla1[[#This Row],[FECHA ]],"DDDDD")</f>
        <v>domingo</v>
      </c>
      <c r="B154" s="2" t="str">
        <f>_xlfn.IFNA(VLOOKUP(Tabla1[[#This Row],[DESTINO]],RUBRO!$Q$1:$R$9996,2,FALSE)," ")</f>
        <v>DESCANSO</v>
      </c>
      <c r="C154" s="104">
        <f>WEEKNUM(Tabla1[[#This Row],[FECHA ]],2)</f>
        <v>19</v>
      </c>
      <c r="D154" s="104" t="str">
        <f>TEXT(Tabla1[[#This Row],[FECHA ]],"MMM-YY")</f>
        <v>may-YY</v>
      </c>
      <c r="E154" s="104" t="str">
        <f>VLOOKUP(Tabla1[[#This Row],[DNI ]],RUBRO!$F$1:$O$9996,7,FALSE)</f>
        <v>5ta</v>
      </c>
      <c r="F154" s="104" t="e">
        <f>VLOOKUP(Tabla1[[#This Row],[DNI ]],RUBRO!$F$1:$O$88,3,FALSE)</f>
        <v>#N/A</v>
      </c>
      <c r="G154" s="104">
        <f>VLOOKUP(Tabla1[[#This Row],[DNI ]],RUBRO!$F$1:$O$9996,5,FALSE)</f>
        <v>0</v>
      </c>
      <c r="H154" s="66" t="str">
        <f>VLOOKUP(Tabla1[[#This Row],[DNI ]],RUBRO!$F$1:$O$9996,6,FALSE)</f>
        <v xml:space="preserve">PECHE CHAPOÑAN ALBERTO </v>
      </c>
      <c r="I154" s="94">
        <v>44325</v>
      </c>
      <c r="J154" s="10">
        <v>3</v>
      </c>
      <c r="K154" s="2">
        <v>77226886</v>
      </c>
      <c r="L154" s="4">
        <f>VLOOKUP(Tabla1[[#This Row],[DNI ]],RUBRO!$F$2:$O$9996,8,FALSE)</f>
        <v>80</v>
      </c>
      <c r="M154" s="88"/>
      <c r="N154" s="28"/>
      <c r="P154" s="28"/>
      <c r="Q154" s="31">
        <f>(Tabla1[[#This Row],[SALIDA]]-Tabla1[[#This Row],[FIN ]])+(Tabla1[[#This Row],[INICIO]]-Tabla1[[#This Row],[INGRESO]])</f>
        <v>0</v>
      </c>
      <c r="R154" s="13">
        <f t="shared" si="6"/>
        <v>0</v>
      </c>
      <c r="S154" s="31">
        <f t="shared" si="7"/>
        <v>0</v>
      </c>
      <c r="T154" s="136"/>
      <c r="U154" s="136"/>
      <c r="V154" s="137">
        <f>(Tabla1[[#This Row],[COS.BASE 3]]*0.25+Tabla1[[#This Row],[COS.BASE 3]])*Tabla1[[#This Row],[HORAS 25 % ]]</f>
        <v>0</v>
      </c>
      <c r="W154" s="138">
        <f>(Tabla1[[#This Row],[COS.BASE 3]]*0.35+Tabla1[[#This Row],[COS.BASE 3]])*Tabla1[[#This Row],[HORAS 35% ]]</f>
        <v>0</v>
      </c>
      <c r="X154" s="138">
        <f>SUM(Tabla1[[#This Row],[C.HORA.35]],Tabla1[[#This Row],[C.HORA.25]])</f>
        <v>0</v>
      </c>
      <c r="Y154" s="4"/>
      <c r="Z154" s="10">
        <f>Tabla1[[#This Row],[T.HORAS]]*24</f>
        <v>0</v>
      </c>
      <c r="AA154" s="4">
        <f>Tabla1[[#This Row],[H.NORMALES]]*24</f>
        <v>0</v>
      </c>
      <c r="AB154" s="10">
        <f>Tabla1[[#This Row],[H.EXTRAS]]*24</f>
        <v>0</v>
      </c>
      <c r="AC154" s="105">
        <f t="shared" si="8"/>
        <v>0</v>
      </c>
      <c r="AD154" s="120">
        <f>Tabla1[[#This Row],[COS.BASE 2]]/8</f>
        <v>0</v>
      </c>
      <c r="AE154" s="105">
        <f>Tabla1[[#This Row],[CST_H_E]]+Tabla1[[#This Row],[COS.BASE 2]]</f>
        <v>0</v>
      </c>
      <c r="AF154" s="106">
        <f>+_xlfn.IFNA(INDEX(RUBRO!$W$2:$AA$732,MATCH(Tabla1[[#This Row],[FECHA ]],RUBRO!$W$2:$W$732,0),5)," ")</f>
        <v>0</v>
      </c>
      <c r="AG154" s="10">
        <f>+_xlfn.IFNA(INDEX(RUBRO!$W$2:$AA$732,MATCH(Tabla1[[#This Row],[FECHA ]],RUBRO!$W$2:$W$732,0),2)," ")</f>
        <v>1</v>
      </c>
      <c r="AH154" s="40">
        <f>IFERROR(Tabla1[[#This Row],[F]]*Tabla1[[#This Row],[COS.B+E]]," ")</f>
        <v>0</v>
      </c>
      <c r="AI154" s="40">
        <f>IFERROR(Tabla1[[#This Row],[COS.B+E]]*Tabla1[[#This Row],[D]]," ")</f>
        <v>0</v>
      </c>
      <c r="AJ154" s="40" t="str">
        <f>IFERROR(Tabla1[[#This Row],[F]]*#REF!," ")</f>
        <v xml:space="preserve"> </v>
      </c>
      <c r="AK154" s="40" t="str">
        <f>IFERROR(#REF!*Tabla1[[#This Row],[D]]," ")</f>
        <v xml:space="preserve"> </v>
      </c>
      <c r="AL154" s="103"/>
      <c r="AM154" s="103"/>
      <c r="AN154" s="103"/>
      <c r="AO154" s="38">
        <f>+Tabla1[[#This Row],[COS.B+E]]+Tabla1[[#This Row],[COS.F1]]+Tabla1[[#This Row],[COS.D1]]+Tabla1[[#This Row],[ALIMENTACION]]+Tabla1[[#This Row],[PRESTAMO]]+AN154</f>
        <v>0</v>
      </c>
      <c r="AP154" s="38" t="e">
        <f>+#REF!+Tabla1[[#This Row],[COS F2]]+Tabla1[[#This Row],[COS D2]]+Tabla1[[#This Row],[ALIMENTACION]]+Tabla1[[#This Row],[PRESTAMO]]+Tabla1[[#This Row],[PASAJES]]</f>
        <v>#REF!</v>
      </c>
    </row>
    <row r="155" spans="1:42" x14ac:dyDescent="0.25">
      <c r="A155" s="2" t="str">
        <f>TEXT(Tabla1[[#This Row],[FECHA ]],"DDDDD")</f>
        <v>domingo</v>
      </c>
      <c r="B155" s="2" t="str">
        <f>_xlfn.IFNA(VLOOKUP(Tabla1[[#This Row],[DESTINO]],RUBRO!$Q$1:$R$9996,2,FALSE)," ")</f>
        <v xml:space="preserve"> </v>
      </c>
      <c r="C155" s="104">
        <f>WEEKNUM(Tabla1[[#This Row],[FECHA ]],2)</f>
        <v>19</v>
      </c>
      <c r="D155" s="104" t="str">
        <f>TEXT(Tabla1[[#This Row],[FECHA ]],"MMM-YY")</f>
        <v>may-YY</v>
      </c>
      <c r="E155" s="104" t="str">
        <f>VLOOKUP(Tabla1[[#This Row],[DNI ]],RUBRO!$F$1:$O$9996,7,FALSE)</f>
        <v>5ta</v>
      </c>
      <c r="F155" s="104" t="str">
        <f>VLOOKUP(Tabla1[[#This Row],[DNI ]],RUBRO!$F$1:$O$88,3,FALSE)</f>
        <v>MEC-02</v>
      </c>
      <c r="G155" s="104" t="str">
        <f>VLOOKUP(Tabla1[[#This Row],[DNI ]],RUBRO!$F$1:$O$9996,5,FALSE)</f>
        <v>MECANICO MONTAJISTA DE MAQUINARIA</v>
      </c>
      <c r="H155" s="66" t="str">
        <f>VLOOKUP(Tabla1[[#This Row],[DNI ]],RUBRO!$F$1:$O$9996,6,FALSE)</f>
        <v>PEREZ VASQUEZ RONAL</v>
      </c>
      <c r="I155" s="94">
        <v>44325</v>
      </c>
      <c r="K155" s="2">
        <v>47942907</v>
      </c>
      <c r="L155" s="4">
        <f>VLOOKUP(Tabla1[[#This Row],[DNI ]],RUBRO!$F$2:$O$9996,8,FALSE)</f>
        <v>75</v>
      </c>
      <c r="M155" s="88"/>
      <c r="N155" s="28"/>
      <c r="P155" s="28"/>
      <c r="Q155" s="31">
        <f>(Tabla1[[#This Row],[SALIDA]]-Tabla1[[#This Row],[FIN ]])+(Tabla1[[#This Row],[INICIO]]-Tabla1[[#This Row],[INGRESO]])</f>
        <v>0</v>
      </c>
      <c r="R155" s="13">
        <f t="shared" si="6"/>
        <v>0</v>
      </c>
      <c r="S155" s="31">
        <f t="shared" si="7"/>
        <v>0</v>
      </c>
      <c r="T155" s="136"/>
      <c r="U155" s="136"/>
      <c r="V155" s="137">
        <f>(Tabla1[[#This Row],[COS.BASE 3]]*0.25+Tabla1[[#This Row],[COS.BASE 3]])*Tabla1[[#This Row],[HORAS 25 % ]]</f>
        <v>0</v>
      </c>
      <c r="W155" s="138">
        <f>(Tabla1[[#This Row],[COS.BASE 3]]*0.35+Tabla1[[#This Row],[COS.BASE 3]])*Tabla1[[#This Row],[HORAS 35% ]]</f>
        <v>0</v>
      </c>
      <c r="X155" s="138">
        <f>SUM(Tabla1[[#This Row],[C.HORA.35]],Tabla1[[#This Row],[C.HORA.25]])</f>
        <v>0</v>
      </c>
      <c r="Y155" s="4"/>
      <c r="Z155" s="10">
        <f>Tabla1[[#This Row],[T.HORAS]]*24</f>
        <v>0</v>
      </c>
      <c r="AA155" s="4">
        <f>Tabla1[[#This Row],[H.NORMALES]]*24</f>
        <v>0</v>
      </c>
      <c r="AB155" s="10">
        <f>Tabla1[[#This Row],[H.EXTRAS]]*24</f>
        <v>0</v>
      </c>
      <c r="AC155" s="105">
        <f t="shared" si="8"/>
        <v>0</v>
      </c>
      <c r="AD155" s="120">
        <f>Tabla1[[#This Row],[COS.BASE 2]]/8</f>
        <v>0</v>
      </c>
      <c r="AE155" s="105">
        <f>Tabla1[[#This Row],[CST_H_E]]+Tabla1[[#This Row],[COS.BASE 2]]</f>
        <v>0</v>
      </c>
      <c r="AF155" s="106">
        <f>+_xlfn.IFNA(INDEX(RUBRO!$W$2:$AA$732,MATCH(Tabla1[[#This Row],[FECHA ]],RUBRO!$W$2:$W$732,0),5)," ")</f>
        <v>0</v>
      </c>
      <c r="AG155" s="10">
        <f>+_xlfn.IFNA(INDEX(RUBRO!$W$2:$AA$732,MATCH(Tabla1[[#This Row],[FECHA ]],RUBRO!$W$2:$W$732,0),2)," ")</f>
        <v>1</v>
      </c>
      <c r="AH155" s="40">
        <f>IFERROR(Tabla1[[#This Row],[F]]*Tabla1[[#This Row],[COS.B+E]]," ")</f>
        <v>0</v>
      </c>
      <c r="AI155" s="40">
        <f>IFERROR(Tabla1[[#This Row],[COS.B+E]]*Tabla1[[#This Row],[D]]," ")</f>
        <v>0</v>
      </c>
      <c r="AJ155" s="40" t="str">
        <f>IFERROR(Tabla1[[#This Row],[F]]*#REF!," ")</f>
        <v xml:space="preserve"> </v>
      </c>
      <c r="AK155" s="40" t="str">
        <f>IFERROR(#REF!*Tabla1[[#This Row],[D]]," ")</f>
        <v xml:space="preserve"> </v>
      </c>
      <c r="AL155" s="103"/>
      <c r="AM155" s="103"/>
      <c r="AN155" s="103"/>
      <c r="AO155" s="38">
        <f>+Tabla1[[#This Row],[COS.B+E]]+Tabla1[[#This Row],[COS.F1]]+Tabla1[[#This Row],[COS.D1]]+Tabla1[[#This Row],[ALIMENTACION]]+Tabla1[[#This Row],[PRESTAMO]]+AN155</f>
        <v>0</v>
      </c>
      <c r="AP155" s="38" t="e">
        <f>+#REF!+Tabla1[[#This Row],[COS F2]]+Tabla1[[#This Row],[COS D2]]+Tabla1[[#This Row],[ALIMENTACION]]+Tabla1[[#This Row],[PRESTAMO]]+Tabla1[[#This Row],[PASAJES]]</f>
        <v>#REF!</v>
      </c>
    </row>
    <row r="156" spans="1:42" x14ac:dyDescent="0.25">
      <c r="A156" s="2" t="str">
        <f>TEXT(Tabla1[[#This Row],[FECHA ]],"DDDDD")</f>
        <v>domingo</v>
      </c>
      <c r="B156" s="2" t="str">
        <f>_xlfn.IFNA(VLOOKUP(Tabla1[[#This Row],[DESTINO]],RUBRO!$Q$1:$R$9996,2,FALSE)," ")</f>
        <v>DESCANSO</v>
      </c>
      <c r="C156" s="104">
        <f>WEEKNUM(Tabla1[[#This Row],[FECHA ]],2)</f>
        <v>19</v>
      </c>
      <c r="D156" s="104" t="str">
        <f>TEXT(Tabla1[[#This Row],[FECHA ]],"MMM-YY")</f>
        <v>may-YY</v>
      </c>
      <c r="E156" s="104" t="str">
        <f>VLOOKUP(Tabla1[[#This Row],[DNI ]],RUBRO!$F$1:$O$9996,7,FALSE)</f>
        <v>5ta</v>
      </c>
      <c r="F156" s="104" t="str">
        <f>VLOOKUP(Tabla1[[#This Row],[DNI ]],RUBRO!$F$1:$O$88,3,FALSE)</f>
        <v>TEC-02</v>
      </c>
      <c r="G156" s="104" t="str">
        <f>VLOOKUP(Tabla1[[#This Row],[DNI ]],RUBRO!$F$1:$O$9996,5,FALSE)</f>
        <v>TECNICO MECANICO MONTAJISTA DE MAQUINARIA</v>
      </c>
      <c r="H156" s="66" t="str">
        <f>VLOOKUP(Tabla1[[#This Row],[DNI ]],RUBRO!$F$1:$O$9996,6,FALSE)</f>
        <v>PURIZACA CHUÑE JHON ANDERSON</v>
      </c>
      <c r="I156" s="94">
        <v>44325</v>
      </c>
      <c r="J156" s="10">
        <v>3</v>
      </c>
      <c r="K156" s="2">
        <v>48372384</v>
      </c>
      <c r="L156" s="4">
        <f>VLOOKUP(Tabla1[[#This Row],[DNI ]],RUBRO!$F$2:$O$9996,8,FALSE)</f>
        <v>57.62</v>
      </c>
      <c r="M156" s="88"/>
      <c r="N156" s="28"/>
      <c r="P156" s="28"/>
      <c r="Q156" s="31">
        <f>(Tabla1[[#This Row],[SALIDA]]-Tabla1[[#This Row],[FIN ]])+(Tabla1[[#This Row],[INICIO]]-Tabla1[[#This Row],[INGRESO]])</f>
        <v>0</v>
      </c>
      <c r="R156" s="13">
        <f t="shared" si="6"/>
        <v>0</v>
      </c>
      <c r="S156" s="31">
        <f t="shared" si="7"/>
        <v>0</v>
      </c>
      <c r="T156" s="136"/>
      <c r="U156" s="136"/>
      <c r="V156" s="137">
        <f>(Tabla1[[#This Row],[COS.BASE 3]]*0.25+Tabla1[[#This Row],[COS.BASE 3]])*Tabla1[[#This Row],[HORAS 25 % ]]</f>
        <v>0</v>
      </c>
      <c r="W156" s="138">
        <f>(Tabla1[[#This Row],[COS.BASE 3]]*0.35+Tabla1[[#This Row],[COS.BASE 3]])*Tabla1[[#This Row],[HORAS 35% ]]</f>
        <v>0</v>
      </c>
      <c r="X156" s="138">
        <f>SUM(Tabla1[[#This Row],[C.HORA.35]],Tabla1[[#This Row],[C.HORA.25]])</f>
        <v>0</v>
      </c>
      <c r="Y156" s="4"/>
      <c r="Z156" s="10">
        <f>Tabla1[[#This Row],[T.HORAS]]*24</f>
        <v>0</v>
      </c>
      <c r="AA156" s="4">
        <f>Tabla1[[#This Row],[H.NORMALES]]*24</f>
        <v>0</v>
      </c>
      <c r="AB156" s="10">
        <f>Tabla1[[#This Row],[H.EXTRAS]]*24</f>
        <v>0</v>
      </c>
      <c r="AC156" s="105">
        <f t="shared" si="8"/>
        <v>0</v>
      </c>
      <c r="AD156" s="120">
        <f>Tabla1[[#This Row],[COS.BASE 2]]/8</f>
        <v>0</v>
      </c>
      <c r="AE156" s="105">
        <f>Tabla1[[#This Row],[CST_H_E]]+Tabla1[[#This Row],[COS.BASE 2]]</f>
        <v>0</v>
      </c>
      <c r="AF156" s="106">
        <f>+_xlfn.IFNA(INDEX(RUBRO!$W$2:$AA$732,MATCH(Tabla1[[#This Row],[FECHA ]],RUBRO!$W$2:$W$732,0),5)," ")</f>
        <v>0</v>
      </c>
      <c r="AG156" s="10">
        <f>+_xlfn.IFNA(INDEX(RUBRO!$W$2:$AA$732,MATCH(Tabla1[[#This Row],[FECHA ]],RUBRO!$W$2:$W$732,0),2)," ")</f>
        <v>1</v>
      </c>
      <c r="AH156" s="40">
        <f>IFERROR(Tabla1[[#This Row],[F]]*Tabla1[[#This Row],[COS.B+E]]," ")</f>
        <v>0</v>
      </c>
      <c r="AI156" s="40">
        <f>IFERROR(Tabla1[[#This Row],[COS.B+E]]*Tabla1[[#This Row],[D]]," ")</f>
        <v>0</v>
      </c>
      <c r="AJ156" s="40" t="str">
        <f>IFERROR(Tabla1[[#This Row],[F]]*#REF!," ")</f>
        <v xml:space="preserve"> </v>
      </c>
      <c r="AK156" s="40" t="str">
        <f>IFERROR(#REF!*Tabla1[[#This Row],[D]]," ")</f>
        <v xml:space="preserve"> </v>
      </c>
      <c r="AL156" s="103"/>
      <c r="AM156" s="103"/>
      <c r="AN156" s="103"/>
      <c r="AO156" s="38">
        <f>+Tabla1[[#This Row],[COS.B+E]]+Tabla1[[#This Row],[COS.F1]]+Tabla1[[#This Row],[COS.D1]]+Tabla1[[#This Row],[ALIMENTACION]]+Tabla1[[#This Row],[PRESTAMO]]+AN156</f>
        <v>0</v>
      </c>
      <c r="AP156" s="38" t="e">
        <f>+#REF!+Tabla1[[#This Row],[COS F2]]+Tabla1[[#This Row],[COS D2]]+Tabla1[[#This Row],[ALIMENTACION]]+Tabla1[[#This Row],[PRESTAMO]]+Tabla1[[#This Row],[PASAJES]]</f>
        <v>#REF!</v>
      </c>
    </row>
    <row r="157" spans="1:42" x14ac:dyDescent="0.25">
      <c r="A157" s="2" t="str">
        <f>TEXT(Tabla1[[#This Row],[FECHA ]],"DDDDD")</f>
        <v>domingo</v>
      </c>
      <c r="B157" s="2" t="str">
        <f>_xlfn.IFNA(VLOOKUP(Tabla1[[#This Row],[DESTINO]],RUBRO!$Q$1:$R$9996,2,FALSE)," ")</f>
        <v>DESCANSO</v>
      </c>
      <c r="C157" s="104">
        <f>WEEKNUM(Tabla1[[#This Row],[FECHA ]],2)</f>
        <v>19</v>
      </c>
      <c r="D157" s="104" t="str">
        <f>TEXT(Tabla1[[#This Row],[FECHA ]],"MMM-YY")</f>
        <v>may-YY</v>
      </c>
      <c r="E157" s="104" t="str">
        <f>VLOOKUP(Tabla1[[#This Row],[DNI ]],RUBRO!$F$1:$O$9996,7,FALSE)</f>
        <v>5ta</v>
      </c>
      <c r="F157" s="104" t="str">
        <f>VLOOKUP(Tabla1[[#This Row],[DNI ]],RUBRO!$F$1:$O$88,3,FALSE)</f>
        <v>MAE-02</v>
      </c>
      <c r="G157" s="104" t="str">
        <f>VLOOKUP(Tabla1[[#This Row],[DNI ]],RUBRO!$F$1:$O$9996,5,FALSE)</f>
        <v>MAESTRO MECANICO MONTAJISTA DE MAQUINARIA</v>
      </c>
      <c r="H157" s="66" t="str">
        <f>VLOOKUP(Tabla1[[#This Row],[DNI ]],RUBRO!$F$1:$O$9996,6,FALSE)</f>
        <v>PURIZACA SEVERINO DANIEL FERNANDO</v>
      </c>
      <c r="I157" s="94">
        <v>44325</v>
      </c>
      <c r="J157" s="10">
        <v>3</v>
      </c>
      <c r="K157" s="2">
        <v>42308744</v>
      </c>
      <c r="L157" s="4">
        <f>VLOOKUP(Tabla1[[#This Row],[DNI ]],RUBRO!$F$2:$O$9996,8,FALSE)</f>
        <v>87.1</v>
      </c>
      <c r="M157" s="88"/>
      <c r="N157" s="28"/>
      <c r="P157" s="28"/>
      <c r="Q157" s="31">
        <f>(Tabla1[[#This Row],[SALIDA]]-Tabla1[[#This Row],[FIN ]])+(Tabla1[[#This Row],[INICIO]]-Tabla1[[#This Row],[INGRESO]])</f>
        <v>0</v>
      </c>
      <c r="R157" s="13">
        <f t="shared" si="6"/>
        <v>0</v>
      </c>
      <c r="S157" s="31">
        <f t="shared" si="7"/>
        <v>0</v>
      </c>
      <c r="T157" s="136"/>
      <c r="U157" s="136"/>
      <c r="V157" s="137">
        <f>(Tabla1[[#This Row],[COS.BASE 3]]*0.25+Tabla1[[#This Row],[COS.BASE 3]])*Tabla1[[#This Row],[HORAS 25 % ]]</f>
        <v>0</v>
      </c>
      <c r="W157" s="138">
        <f>(Tabla1[[#This Row],[COS.BASE 3]]*0.35+Tabla1[[#This Row],[COS.BASE 3]])*Tabla1[[#This Row],[HORAS 35% ]]</f>
        <v>0</v>
      </c>
      <c r="X157" s="138">
        <f>SUM(Tabla1[[#This Row],[C.HORA.35]],Tabla1[[#This Row],[C.HORA.25]])</f>
        <v>0</v>
      </c>
      <c r="Y157" s="4"/>
      <c r="Z157" s="10">
        <f>Tabla1[[#This Row],[T.HORAS]]*24</f>
        <v>0</v>
      </c>
      <c r="AA157" s="4">
        <f>Tabla1[[#This Row],[H.NORMALES]]*24</f>
        <v>0</v>
      </c>
      <c r="AB157" s="10">
        <f>Tabla1[[#This Row],[H.EXTRAS]]*24</f>
        <v>0</v>
      </c>
      <c r="AC157" s="105">
        <f t="shared" si="8"/>
        <v>0</v>
      </c>
      <c r="AD157" s="120">
        <f>Tabla1[[#This Row],[COS.BASE 2]]/8</f>
        <v>0</v>
      </c>
      <c r="AE157" s="105">
        <f>Tabla1[[#This Row],[CST_H_E]]+Tabla1[[#This Row],[COS.BASE 2]]</f>
        <v>0</v>
      </c>
      <c r="AF157" s="106">
        <f>+_xlfn.IFNA(INDEX(RUBRO!$W$2:$AA$732,MATCH(Tabla1[[#This Row],[FECHA ]],RUBRO!$W$2:$W$732,0),5)," ")</f>
        <v>0</v>
      </c>
      <c r="AG157" s="10">
        <f>+_xlfn.IFNA(INDEX(RUBRO!$W$2:$AA$732,MATCH(Tabla1[[#This Row],[FECHA ]],RUBRO!$W$2:$W$732,0),2)," ")</f>
        <v>1</v>
      </c>
      <c r="AH157" s="40">
        <f>IFERROR(Tabla1[[#This Row],[F]]*Tabla1[[#This Row],[COS.B+E]]," ")</f>
        <v>0</v>
      </c>
      <c r="AI157" s="40">
        <f>IFERROR(Tabla1[[#This Row],[COS.B+E]]*Tabla1[[#This Row],[D]]," ")</f>
        <v>0</v>
      </c>
      <c r="AJ157" s="40" t="str">
        <f>IFERROR(Tabla1[[#This Row],[F]]*#REF!," ")</f>
        <v xml:space="preserve"> </v>
      </c>
      <c r="AK157" s="40" t="str">
        <f>IFERROR(#REF!*Tabla1[[#This Row],[D]]," ")</f>
        <v xml:space="preserve"> </v>
      </c>
      <c r="AL157" s="103"/>
      <c r="AM157" s="103"/>
      <c r="AN157" s="103"/>
      <c r="AO157" s="38">
        <f>+Tabla1[[#This Row],[COS.B+E]]+Tabla1[[#This Row],[COS.F1]]+Tabla1[[#This Row],[COS.D1]]+Tabla1[[#This Row],[ALIMENTACION]]+Tabla1[[#This Row],[PRESTAMO]]+AN157</f>
        <v>0</v>
      </c>
      <c r="AP157" s="38" t="e">
        <f>+#REF!+Tabla1[[#This Row],[COS F2]]+Tabla1[[#This Row],[COS D2]]+Tabla1[[#This Row],[ALIMENTACION]]+Tabla1[[#This Row],[PRESTAMO]]+Tabla1[[#This Row],[PASAJES]]</f>
        <v>#REF!</v>
      </c>
    </row>
    <row r="158" spans="1:42" x14ac:dyDescent="0.25">
      <c r="A158" s="2" t="str">
        <f>TEXT(Tabla1[[#This Row],[FECHA ]],"DDDDD")</f>
        <v>domingo</v>
      </c>
      <c r="B158" s="2" t="str">
        <f>_xlfn.IFNA(VLOOKUP(Tabla1[[#This Row],[DESTINO]],RUBRO!$Q$1:$R$9996,2,FALSE)," ")</f>
        <v>DESCANSO</v>
      </c>
      <c r="C158" s="104">
        <f>WEEKNUM(Tabla1[[#This Row],[FECHA ]],2)</f>
        <v>19</v>
      </c>
      <c r="D158" s="104" t="str">
        <f>TEXT(Tabla1[[#This Row],[FECHA ]],"MMM-YY")</f>
        <v>may-YY</v>
      </c>
      <c r="E158" s="104" t="str">
        <f>VLOOKUP(Tabla1[[#This Row],[DNI ]],RUBRO!$F$1:$O$9996,7,FALSE)</f>
        <v>4ta</v>
      </c>
      <c r="F158" s="104" t="str">
        <f>VLOOKUP(Tabla1[[#This Row],[DNI ]],RUBRO!$F$1:$O$88,3,FALSE)</f>
        <v>MAE3G-01</v>
      </c>
      <c r="G158" s="104" t="str">
        <f>VLOOKUP(Tabla1[[#This Row],[DNI ]],RUBRO!$F$1:$O$9996,5,FALSE)</f>
        <v>MAESTRO SOLDADOR 3G</v>
      </c>
      <c r="H158" s="66" t="str">
        <f>VLOOKUP(Tabla1[[#This Row],[DNI ]],RUBRO!$F$1:$O$9996,6,FALSE)</f>
        <v>QUIROZ CORTEJANA DANTE GABRIEL</v>
      </c>
      <c r="I158" s="94">
        <v>44325</v>
      </c>
      <c r="J158" s="10">
        <v>3</v>
      </c>
      <c r="K158" s="2">
        <v>45486657</v>
      </c>
      <c r="L158" s="4">
        <f>VLOOKUP(Tabla1[[#This Row],[DNI ]],RUBRO!$F$2:$O$9996,8,FALSE)</f>
        <v>90</v>
      </c>
      <c r="M158" s="88"/>
      <c r="N158" s="28"/>
      <c r="P158" s="28"/>
      <c r="Q158" s="31">
        <f>(Tabla1[[#This Row],[SALIDA]]-Tabla1[[#This Row],[FIN ]])+(Tabla1[[#This Row],[INICIO]]-Tabla1[[#This Row],[INGRESO]])</f>
        <v>0</v>
      </c>
      <c r="R158" s="13">
        <f t="shared" si="6"/>
        <v>0</v>
      </c>
      <c r="S158" s="31">
        <f t="shared" si="7"/>
        <v>0</v>
      </c>
      <c r="T158" s="136"/>
      <c r="U158" s="136"/>
      <c r="V158" s="137">
        <f>(Tabla1[[#This Row],[COS.BASE 3]]*0.25+Tabla1[[#This Row],[COS.BASE 3]])*Tabla1[[#This Row],[HORAS 25 % ]]</f>
        <v>0</v>
      </c>
      <c r="W158" s="138">
        <f>(Tabla1[[#This Row],[COS.BASE 3]]*0.35+Tabla1[[#This Row],[COS.BASE 3]])*Tabla1[[#This Row],[HORAS 35% ]]</f>
        <v>0</v>
      </c>
      <c r="X158" s="138">
        <f>SUM(Tabla1[[#This Row],[C.HORA.35]],Tabla1[[#This Row],[C.HORA.25]])</f>
        <v>0</v>
      </c>
      <c r="Y158" s="4"/>
      <c r="Z158" s="10">
        <f>Tabla1[[#This Row],[T.HORAS]]*24</f>
        <v>0</v>
      </c>
      <c r="AA158" s="4">
        <f>Tabla1[[#This Row],[H.NORMALES]]*24</f>
        <v>0</v>
      </c>
      <c r="AB158" s="10">
        <f>Tabla1[[#This Row],[H.EXTRAS]]*24</f>
        <v>0</v>
      </c>
      <c r="AC158" s="105">
        <f t="shared" si="8"/>
        <v>0</v>
      </c>
      <c r="AD158" s="120">
        <f>Tabla1[[#This Row],[COS.BASE 2]]/8</f>
        <v>0</v>
      </c>
      <c r="AE158" s="105">
        <f>Tabla1[[#This Row],[CST_H_E]]+Tabla1[[#This Row],[COS.BASE 2]]</f>
        <v>0</v>
      </c>
      <c r="AF158" s="106">
        <f>+_xlfn.IFNA(INDEX(RUBRO!$W$2:$AA$732,MATCH(Tabla1[[#This Row],[FECHA ]],RUBRO!$W$2:$W$732,0),5)," ")</f>
        <v>0</v>
      </c>
      <c r="AG158" s="10">
        <f>+_xlfn.IFNA(INDEX(RUBRO!$W$2:$AA$732,MATCH(Tabla1[[#This Row],[FECHA ]],RUBRO!$W$2:$W$732,0),2)," ")</f>
        <v>1</v>
      </c>
      <c r="AH158" s="40">
        <f>IFERROR(Tabla1[[#This Row],[F]]*Tabla1[[#This Row],[COS.B+E]]," ")</f>
        <v>0</v>
      </c>
      <c r="AI158" s="40">
        <f>IFERROR(Tabla1[[#This Row],[COS.B+E]]*Tabla1[[#This Row],[D]]," ")</f>
        <v>0</v>
      </c>
      <c r="AJ158" s="40" t="str">
        <f>IFERROR(Tabla1[[#This Row],[F]]*#REF!," ")</f>
        <v xml:space="preserve"> </v>
      </c>
      <c r="AK158" s="40" t="str">
        <f>IFERROR(#REF!*Tabla1[[#This Row],[D]]," ")</f>
        <v xml:space="preserve"> </v>
      </c>
      <c r="AL158" s="103"/>
      <c r="AM158" s="103"/>
      <c r="AN158" s="103"/>
      <c r="AO158" s="38">
        <f>+Tabla1[[#This Row],[COS.B+E]]+Tabla1[[#This Row],[COS.F1]]+Tabla1[[#This Row],[COS.D1]]+Tabla1[[#This Row],[ALIMENTACION]]+Tabla1[[#This Row],[PRESTAMO]]+AN158</f>
        <v>0</v>
      </c>
      <c r="AP158" s="38" t="e">
        <f>+#REF!+Tabla1[[#This Row],[COS F2]]+Tabla1[[#This Row],[COS D2]]+Tabla1[[#This Row],[ALIMENTACION]]+Tabla1[[#This Row],[PRESTAMO]]+Tabla1[[#This Row],[PASAJES]]</f>
        <v>#REF!</v>
      </c>
    </row>
    <row r="159" spans="1:42" x14ac:dyDescent="0.25">
      <c r="A159" s="2" t="str">
        <f>TEXT(Tabla1[[#This Row],[FECHA ]],"DDDDD")</f>
        <v>domingo</v>
      </c>
      <c r="B159" s="2" t="str">
        <f>_xlfn.IFNA(VLOOKUP(Tabla1[[#This Row],[DESTINO]],RUBRO!$Q$1:$R$9996,2,FALSE)," ")</f>
        <v>DESCANSO</v>
      </c>
      <c r="C159" s="104">
        <f>WEEKNUM(Tabla1[[#This Row],[FECHA ]],2)</f>
        <v>19</v>
      </c>
      <c r="D159" s="104" t="str">
        <f>TEXT(Tabla1[[#This Row],[FECHA ]],"MMM-YY")</f>
        <v>may-YY</v>
      </c>
      <c r="E159" s="104" t="str">
        <f>VLOOKUP(Tabla1[[#This Row],[DNI ]],RUBRO!$F$1:$O$9996,7,FALSE)</f>
        <v>5ta</v>
      </c>
      <c r="F159" s="104" t="str">
        <f>VLOOKUP(Tabla1[[#This Row],[DNI ]],RUBRO!$F$1:$O$88,3,FALSE)</f>
        <v>MAEME-03</v>
      </c>
      <c r="G159" s="104" t="str">
        <f>VLOOKUP(Tabla1[[#This Row],[DNI ]],RUBRO!$F$1:$O$9996,5,FALSE)</f>
        <v>MAESTRO ELECTRICO MONTAJISTA DE MAQUINARIA EXTRANJERA</v>
      </c>
      <c r="H159" s="66" t="str">
        <f>VLOOKUP(Tabla1[[#This Row],[DNI ]],RUBRO!$F$1:$O$9996,6,FALSE)</f>
        <v>RAMIREZ PELAEZ ELIAS</v>
      </c>
      <c r="I159" s="94">
        <v>44325</v>
      </c>
      <c r="J159" s="10">
        <v>3</v>
      </c>
      <c r="K159" s="2">
        <v>45779525</v>
      </c>
      <c r="L159" s="4">
        <f>VLOOKUP(Tabla1[[#This Row],[DNI ]],RUBRO!$F$2:$O$9996,8,FALSE)</f>
        <v>116.06</v>
      </c>
      <c r="M159" s="88"/>
      <c r="N159" s="28"/>
      <c r="P159" s="28"/>
      <c r="Q159" s="31">
        <f>(Tabla1[[#This Row],[SALIDA]]-Tabla1[[#This Row],[FIN ]])+(Tabla1[[#This Row],[INICIO]]-Tabla1[[#This Row],[INGRESO]])</f>
        <v>0</v>
      </c>
      <c r="R159" s="13">
        <f t="shared" si="6"/>
        <v>0</v>
      </c>
      <c r="S159" s="31">
        <f t="shared" si="7"/>
        <v>0</v>
      </c>
      <c r="T159" s="136"/>
      <c r="U159" s="136"/>
      <c r="V159" s="137">
        <f>(Tabla1[[#This Row],[COS.BASE 3]]*0.25+Tabla1[[#This Row],[COS.BASE 3]])*Tabla1[[#This Row],[HORAS 25 % ]]</f>
        <v>0</v>
      </c>
      <c r="W159" s="138">
        <f>(Tabla1[[#This Row],[COS.BASE 3]]*0.35+Tabla1[[#This Row],[COS.BASE 3]])*Tabla1[[#This Row],[HORAS 35% ]]</f>
        <v>0</v>
      </c>
      <c r="X159" s="138">
        <f>SUM(Tabla1[[#This Row],[C.HORA.35]],Tabla1[[#This Row],[C.HORA.25]])</f>
        <v>0</v>
      </c>
      <c r="Y159" s="4"/>
      <c r="Z159" s="10">
        <f>Tabla1[[#This Row],[T.HORAS]]*24</f>
        <v>0</v>
      </c>
      <c r="AA159" s="4">
        <f>Tabla1[[#This Row],[H.NORMALES]]*24</f>
        <v>0</v>
      </c>
      <c r="AB159" s="10">
        <f>Tabla1[[#This Row],[H.EXTRAS]]*24</f>
        <v>0</v>
      </c>
      <c r="AC159" s="105">
        <f t="shared" si="8"/>
        <v>0</v>
      </c>
      <c r="AD159" s="120">
        <f>Tabla1[[#This Row],[COS.BASE 2]]/8</f>
        <v>0</v>
      </c>
      <c r="AE159" s="105">
        <f>Tabla1[[#This Row],[CST_H_E]]+Tabla1[[#This Row],[COS.BASE 2]]</f>
        <v>0</v>
      </c>
      <c r="AF159" s="106">
        <f>+_xlfn.IFNA(INDEX(RUBRO!$W$2:$AA$732,MATCH(Tabla1[[#This Row],[FECHA ]],RUBRO!$W$2:$W$732,0),5)," ")</f>
        <v>0</v>
      </c>
      <c r="AG159" s="10">
        <f>+_xlfn.IFNA(INDEX(RUBRO!$W$2:$AA$732,MATCH(Tabla1[[#This Row],[FECHA ]],RUBRO!$W$2:$W$732,0),2)," ")</f>
        <v>1</v>
      </c>
      <c r="AH159" s="40">
        <f>IFERROR(Tabla1[[#This Row],[F]]*Tabla1[[#This Row],[COS.B+E]]," ")</f>
        <v>0</v>
      </c>
      <c r="AI159" s="40">
        <f>IFERROR(Tabla1[[#This Row],[COS.B+E]]*Tabla1[[#This Row],[D]]," ")</f>
        <v>0</v>
      </c>
      <c r="AJ159" s="40" t="str">
        <f>IFERROR(Tabla1[[#This Row],[F]]*#REF!," ")</f>
        <v xml:space="preserve"> </v>
      </c>
      <c r="AK159" s="40" t="str">
        <f>IFERROR(#REF!*Tabla1[[#This Row],[D]]," ")</f>
        <v xml:space="preserve"> </v>
      </c>
      <c r="AL159" s="103"/>
      <c r="AM159" s="103"/>
      <c r="AN159" s="103"/>
      <c r="AO159" s="38">
        <f>+Tabla1[[#This Row],[COS.B+E]]+Tabla1[[#This Row],[COS.F1]]+Tabla1[[#This Row],[COS.D1]]+Tabla1[[#This Row],[ALIMENTACION]]+Tabla1[[#This Row],[PRESTAMO]]+AN159</f>
        <v>0</v>
      </c>
      <c r="AP159" s="38" t="e">
        <f>+#REF!+Tabla1[[#This Row],[COS F2]]+Tabla1[[#This Row],[COS D2]]+Tabla1[[#This Row],[ALIMENTACION]]+Tabla1[[#This Row],[PRESTAMO]]+Tabla1[[#This Row],[PASAJES]]</f>
        <v>#REF!</v>
      </c>
    </row>
    <row r="160" spans="1:42" x14ac:dyDescent="0.25">
      <c r="A160" s="2" t="str">
        <f>TEXT(Tabla1[[#This Row],[FECHA ]],"DDDDD")</f>
        <v>domingo</v>
      </c>
      <c r="B160" s="2" t="str">
        <f>_xlfn.IFNA(VLOOKUP(Tabla1[[#This Row],[DESTINO]],RUBRO!$Q$1:$R$9996,2,FALSE)," ")</f>
        <v>DESCANSO</v>
      </c>
      <c r="C160" s="104">
        <f>WEEKNUM(Tabla1[[#This Row],[FECHA ]],2)</f>
        <v>19</v>
      </c>
      <c r="D160" s="104" t="str">
        <f>TEXT(Tabla1[[#This Row],[FECHA ]],"MMM-YY")</f>
        <v>may-YY</v>
      </c>
      <c r="E160" s="104" t="str">
        <f>VLOOKUP(Tabla1[[#This Row],[DNI ]],RUBRO!$F$1:$O$9996,7,FALSE)</f>
        <v>5ta</v>
      </c>
      <c r="F160" s="104" t="str">
        <f>VLOOKUP(Tabla1[[#This Row],[DNI ]],RUBRO!$F$1:$O$88,3,FALSE)</f>
        <v>MAE3G-01</v>
      </c>
      <c r="G160" s="104" t="str">
        <f>VLOOKUP(Tabla1[[#This Row],[DNI ]],RUBRO!$F$1:$O$9996,5,FALSE)</f>
        <v>MAESTRO SOLDADOR 3G</v>
      </c>
      <c r="H160" s="66" t="str">
        <f>VLOOKUP(Tabla1[[#This Row],[DNI ]],RUBRO!$F$1:$O$9996,6,FALSE)</f>
        <v>RIOJA RODRIGUEZ MARCO JEAIR</v>
      </c>
      <c r="I160" s="94">
        <v>44325</v>
      </c>
      <c r="J160" s="10">
        <v>3</v>
      </c>
      <c r="K160" s="2">
        <v>77423720</v>
      </c>
      <c r="L160" s="4">
        <f>VLOOKUP(Tabla1[[#This Row],[DNI ]],RUBRO!$F$2:$O$9996,8,FALSE)</f>
        <v>69.44</v>
      </c>
      <c r="M160" s="88"/>
      <c r="N160" s="28"/>
      <c r="P160" s="28"/>
      <c r="Q160" s="31">
        <f>(Tabla1[[#This Row],[SALIDA]]-Tabla1[[#This Row],[FIN ]])+(Tabla1[[#This Row],[INICIO]]-Tabla1[[#This Row],[INGRESO]])</f>
        <v>0</v>
      </c>
      <c r="R160" s="13">
        <f t="shared" si="6"/>
        <v>0</v>
      </c>
      <c r="S160" s="31">
        <f t="shared" si="7"/>
        <v>0</v>
      </c>
      <c r="T160" s="136"/>
      <c r="U160" s="136"/>
      <c r="V160" s="137">
        <f>(Tabla1[[#This Row],[COS.BASE 3]]*0.25+Tabla1[[#This Row],[COS.BASE 3]])*Tabla1[[#This Row],[HORAS 25 % ]]</f>
        <v>0</v>
      </c>
      <c r="W160" s="138">
        <f>(Tabla1[[#This Row],[COS.BASE 3]]*0.35+Tabla1[[#This Row],[COS.BASE 3]])*Tabla1[[#This Row],[HORAS 35% ]]</f>
        <v>0</v>
      </c>
      <c r="X160" s="138">
        <f>SUM(Tabla1[[#This Row],[C.HORA.35]],Tabla1[[#This Row],[C.HORA.25]])</f>
        <v>0</v>
      </c>
      <c r="Y160" s="4"/>
      <c r="Z160" s="10">
        <f>Tabla1[[#This Row],[T.HORAS]]*24</f>
        <v>0</v>
      </c>
      <c r="AA160" s="4">
        <f>Tabla1[[#This Row],[H.NORMALES]]*24</f>
        <v>0</v>
      </c>
      <c r="AB160" s="10">
        <f>Tabla1[[#This Row],[H.EXTRAS]]*24</f>
        <v>0</v>
      </c>
      <c r="AC160" s="105">
        <f t="shared" si="8"/>
        <v>0</v>
      </c>
      <c r="AD160" s="120">
        <f>Tabla1[[#This Row],[COS.BASE 2]]/8</f>
        <v>0</v>
      </c>
      <c r="AE160" s="105">
        <f>Tabla1[[#This Row],[CST_H_E]]+Tabla1[[#This Row],[COS.BASE 2]]</f>
        <v>0</v>
      </c>
      <c r="AF160" s="106">
        <f>+_xlfn.IFNA(INDEX(RUBRO!$W$2:$AA$732,MATCH(Tabla1[[#This Row],[FECHA ]],RUBRO!$W$2:$W$732,0),5)," ")</f>
        <v>0</v>
      </c>
      <c r="AG160" s="10">
        <f>+_xlfn.IFNA(INDEX(RUBRO!$W$2:$AA$732,MATCH(Tabla1[[#This Row],[FECHA ]],RUBRO!$W$2:$W$732,0),2)," ")</f>
        <v>1</v>
      </c>
      <c r="AH160" s="40">
        <f>IFERROR(Tabla1[[#This Row],[F]]*Tabla1[[#This Row],[COS.B+E]]," ")</f>
        <v>0</v>
      </c>
      <c r="AI160" s="40">
        <f>IFERROR(Tabla1[[#This Row],[COS.B+E]]*Tabla1[[#This Row],[D]]," ")</f>
        <v>0</v>
      </c>
      <c r="AJ160" s="40" t="str">
        <f>IFERROR(Tabla1[[#This Row],[F]]*#REF!," ")</f>
        <v xml:space="preserve"> </v>
      </c>
      <c r="AK160" s="40" t="str">
        <f>IFERROR(#REF!*Tabla1[[#This Row],[D]]," ")</f>
        <v xml:space="preserve"> </v>
      </c>
      <c r="AL160" s="103"/>
      <c r="AM160" s="103"/>
      <c r="AN160" s="103"/>
      <c r="AO160" s="38">
        <f>+Tabla1[[#This Row],[COS.B+E]]+Tabla1[[#This Row],[COS.F1]]+Tabla1[[#This Row],[COS.D1]]+Tabla1[[#This Row],[ALIMENTACION]]+Tabla1[[#This Row],[PRESTAMO]]+AN160</f>
        <v>0</v>
      </c>
      <c r="AP160" s="38" t="e">
        <f>+#REF!+Tabla1[[#This Row],[COS F2]]+Tabla1[[#This Row],[COS D2]]+Tabla1[[#This Row],[ALIMENTACION]]+Tabla1[[#This Row],[PRESTAMO]]+Tabla1[[#This Row],[PASAJES]]</f>
        <v>#REF!</v>
      </c>
    </row>
    <row r="161" spans="1:42" x14ac:dyDescent="0.25">
      <c r="A161" s="2" t="str">
        <f>TEXT(Tabla1[[#This Row],[FECHA ]],"DDDDD")</f>
        <v>domingo</v>
      </c>
      <c r="B161" s="2" t="str">
        <f>_xlfn.IFNA(VLOOKUP(Tabla1[[#This Row],[DESTINO]],RUBRO!$Q$1:$R$9996,2,FALSE)," ")</f>
        <v>DESCANSO</v>
      </c>
      <c r="C161" s="104">
        <f>WEEKNUM(Tabla1[[#This Row],[FECHA ]],2)</f>
        <v>19</v>
      </c>
      <c r="D161" s="104" t="str">
        <f>TEXT(Tabla1[[#This Row],[FECHA ]],"MMM-YY")</f>
        <v>may-YY</v>
      </c>
      <c r="E161" s="104" t="str">
        <f>VLOOKUP(Tabla1[[#This Row],[DNI ]],RUBRO!$F$1:$O$9996,7,FALSE)</f>
        <v>5ta</v>
      </c>
      <c r="F161" s="104" t="str">
        <f>VLOOKUP(Tabla1[[#This Row],[DNI ]],RUBRO!$F$1:$O$88,3,FALSE)</f>
        <v>MAE6G-01</v>
      </c>
      <c r="G161" s="104" t="str">
        <f>VLOOKUP(Tabla1[[#This Row],[DNI ]],RUBRO!$F$1:$O$9996,5,FALSE)</f>
        <v>MAESTRO SOLDADOR 6G MONTAJISTA DE MAQUINARIA</v>
      </c>
      <c r="H161" s="66" t="str">
        <f>VLOOKUP(Tabla1[[#This Row],[DNI ]],RUBRO!$F$1:$O$9996,6,FALSE)</f>
        <v>RIVERA LEONARDO EVER JOSE</v>
      </c>
      <c r="I161" s="94">
        <v>44325</v>
      </c>
      <c r="J161" s="10">
        <v>3</v>
      </c>
      <c r="K161" s="2">
        <v>45035778</v>
      </c>
      <c r="L161" s="4">
        <f>VLOOKUP(Tabla1[[#This Row],[DNI ]],RUBRO!$F$2:$O$9996,8,FALSE)</f>
        <v>92.8</v>
      </c>
      <c r="M161" s="88"/>
      <c r="N161" s="28"/>
      <c r="P161" s="28"/>
      <c r="Q161" s="31">
        <f>(Tabla1[[#This Row],[SALIDA]]-Tabla1[[#This Row],[FIN ]])+(Tabla1[[#This Row],[INICIO]]-Tabla1[[#This Row],[INGRESO]])</f>
        <v>0</v>
      </c>
      <c r="R161" s="13">
        <f t="shared" si="6"/>
        <v>0</v>
      </c>
      <c r="S161" s="31">
        <f t="shared" si="7"/>
        <v>0</v>
      </c>
      <c r="T161" s="136"/>
      <c r="U161" s="136"/>
      <c r="V161" s="137">
        <f>(Tabla1[[#This Row],[COS.BASE 3]]*0.25+Tabla1[[#This Row],[COS.BASE 3]])*Tabla1[[#This Row],[HORAS 25 % ]]</f>
        <v>0</v>
      </c>
      <c r="W161" s="138">
        <f>(Tabla1[[#This Row],[COS.BASE 3]]*0.35+Tabla1[[#This Row],[COS.BASE 3]])*Tabla1[[#This Row],[HORAS 35% ]]</f>
        <v>0</v>
      </c>
      <c r="X161" s="138">
        <f>SUM(Tabla1[[#This Row],[C.HORA.35]],Tabla1[[#This Row],[C.HORA.25]])</f>
        <v>0</v>
      </c>
      <c r="Y161" s="4"/>
      <c r="Z161" s="10">
        <f>Tabla1[[#This Row],[T.HORAS]]*24</f>
        <v>0</v>
      </c>
      <c r="AA161" s="4">
        <f>Tabla1[[#This Row],[H.NORMALES]]*24</f>
        <v>0</v>
      </c>
      <c r="AB161" s="10">
        <f>Tabla1[[#This Row],[H.EXTRAS]]*24</f>
        <v>0</v>
      </c>
      <c r="AC161" s="105">
        <f t="shared" si="8"/>
        <v>0</v>
      </c>
      <c r="AD161" s="120">
        <f>Tabla1[[#This Row],[COS.BASE 2]]/8</f>
        <v>0</v>
      </c>
      <c r="AE161" s="105">
        <f>Tabla1[[#This Row],[CST_H_E]]+Tabla1[[#This Row],[COS.BASE 2]]</f>
        <v>0</v>
      </c>
      <c r="AF161" s="106">
        <f>+_xlfn.IFNA(INDEX(RUBRO!$W$2:$AA$732,MATCH(Tabla1[[#This Row],[FECHA ]],RUBRO!$W$2:$W$732,0),5)," ")</f>
        <v>0</v>
      </c>
      <c r="AG161" s="10">
        <f>+_xlfn.IFNA(INDEX(RUBRO!$W$2:$AA$732,MATCH(Tabla1[[#This Row],[FECHA ]],RUBRO!$W$2:$W$732,0),2)," ")</f>
        <v>1</v>
      </c>
      <c r="AH161" s="40">
        <f>IFERROR(Tabla1[[#This Row],[F]]*Tabla1[[#This Row],[COS.B+E]]," ")</f>
        <v>0</v>
      </c>
      <c r="AI161" s="40">
        <f>IFERROR(Tabla1[[#This Row],[COS.B+E]]*Tabla1[[#This Row],[D]]," ")</f>
        <v>0</v>
      </c>
      <c r="AJ161" s="40" t="str">
        <f>IFERROR(Tabla1[[#This Row],[F]]*#REF!," ")</f>
        <v xml:space="preserve"> </v>
      </c>
      <c r="AK161" s="40" t="str">
        <f>IFERROR(#REF!*Tabla1[[#This Row],[D]]," ")</f>
        <v xml:space="preserve"> </v>
      </c>
      <c r="AL161" s="103"/>
      <c r="AM161" s="103"/>
      <c r="AN161" s="103"/>
      <c r="AO161" s="38">
        <f>+Tabla1[[#This Row],[COS.B+E]]+Tabla1[[#This Row],[COS.F1]]+Tabla1[[#This Row],[COS.D1]]+Tabla1[[#This Row],[ALIMENTACION]]+Tabla1[[#This Row],[PRESTAMO]]+AN161</f>
        <v>0</v>
      </c>
      <c r="AP161" s="38" t="e">
        <f>+#REF!+Tabla1[[#This Row],[COS F2]]+Tabla1[[#This Row],[COS D2]]+Tabla1[[#This Row],[ALIMENTACION]]+Tabla1[[#This Row],[PRESTAMO]]+Tabla1[[#This Row],[PASAJES]]</f>
        <v>#REF!</v>
      </c>
    </row>
    <row r="162" spans="1:42" x14ac:dyDescent="0.25">
      <c r="A162" s="2" t="str">
        <f>TEXT(Tabla1[[#This Row],[FECHA ]],"DDDDD")</f>
        <v>domingo</v>
      </c>
      <c r="B162" s="2" t="str">
        <f>_xlfn.IFNA(VLOOKUP(Tabla1[[#This Row],[DESTINO]],RUBRO!$Q$1:$R$9996,2,FALSE)," ")</f>
        <v>DESCANSO</v>
      </c>
      <c r="C162" s="104">
        <f>WEEKNUM(Tabla1[[#This Row],[FECHA ]],2)</f>
        <v>19</v>
      </c>
      <c r="D162" s="104" t="str">
        <f>TEXT(Tabla1[[#This Row],[FECHA ]],"MMM-YY")</f>
        <v>may-YY</v>
      </c>
      <c r="E162" s="104" t="str">
        <f>VLOOKUP(Tabla1[[#This Row],[DNI ]],RUBRO!$F$1:$O$9996,7,FALSE)</f>
        <v>5ta</v>
      </c>
      <c r="F162" s="104" t="str">
        <f>VLOOKUP(Tabla1[[#This Row],[DNI ]],RUBRO!$F$1:$O$88,3,FALSE)</f>
        <v>MAE-04</v>
      </c>
      <c r="G162" s="104" t="str">
        <f>VLOOKUP(Tabla1[[#This Row],[DNI ]],RUBRO!$F$1:$O$9996,5,FALSE)</f>
        <v>MAESTRO MECANICO MONTAJISTA DE MAQUINARIA EXTRANJERA</v>
      </c>
      <c r="H162" s="66" t="str">
        <f>VLOOKUP(Tabla1[[#This Row],[DNI ]],RUBRO!$F$1:$O$9996,6,FALSE)</f>
        <v>ROMERO MARIN JAIRO JOEL</v>
      </c>
      <c r="I162" s="94">
        <v>44325</v>
      </c>
      <c r="J162" s="10">
        <v>3</v>
      </c>
      <c r="K162" s="2">
        <v>72926564</v>
      </c>
      <c r="L162" s="4">
        <f>VLOOKUP(Tabla1[[#This Row],[DNI ]],RUBRO!$F$2:$O$9996,8,FALSE)</f>
        <v>88.27</v>
      </c>
      <c r="M162" s="88"/>
      <c r="N162" s="28"/>
      <c r="P162" s="28"/>
      <c r="Q162" s="31">
        <f>(Tabla1[[#This Row],[SALIDA]]-Tabla1[[#This Row],[FIN ]])+(Tabla1[[#This Row],[INICIO]]-Tabla1[[#This Row],[INGRESO]])</f>
        <v>0</v>
      </c>
      <c r="R162" s="13">
        <f t="shared" si="6"/>
        <v>0</v>
      </c>
      <c r="S162" s="31">
        <f t="shared" si="7"/>
        <v>0</v>
      </c>
      <c r="T162" s="136"/>
      <c r="U162" s="136"/>
      <c r="V162" s="137">
        <f>(Tabla1[[#This Row],[COS.BASE 3]]*0.25+Tabla1[[#This Row],[COS.BASE 3]])*Tabla1[[#This Row],[HORAS 25 % ]]</f>
        <v>0</v>
      </c>
      <c r="W162" s="138">
        <f>(Tabla1[[#This Row],[COS.BASE 3]]*0.35+Tabla1[[#This Row],[COS.BASE 3]])*Tabla1[[#This Row],[HORAS 35% ]]</f>
        <v>0</v>
      </c>
      <c r="X162" s="138">
        <f>SUM(Tabla1[[#This Row],[C.HORA.35]],Tabla1[[#This Row],[C.HORA.25]])</f>
        <v>0</v>
      </c>
      <c r="Y162" s="4"/>
      <c r="Z162" s="10">
        <f>Tabla1[[#This Row],[T.HORAS]]*24</f>
        <v>0</v>
      </c>
      <c r="AA162" s="4">
        <f>Tabla1[[#This Row],[H.NORMALES]]*24</f>
        <v>0</v>
      </c>
      <c r="AB162" s="10">
        <f>Tabla1[[#This Row],[H.EXTRAS]]*24</f>
        <v>0</v>
      </c>
      <c r="AC162" s="105">
        <f t="shared" si="8"/>
        <v>0</v>
      </c>
      <c r="AD162" s="120">
        <f>Tabla1[[#This Row],[COS.BASE 2]]/8</f>
        <v>0</v>
      </c>
      <c r="AE162" s="105">
        <f>Tabla1[[#This Row],[CST_H_E]]+Tabla1[[#This Row],[COS.BASE 2]]</f>
        <v>0</v>
      </c>
      <c r="AF162" s="106">
        <f>+_xlfn.IFNA(INDEX(RUBRO!$W$2:$AA$732,MATCH(Tabla1[[#This Row],[FECHA ]],RUBRO!$W$2:$W$732,0),5)," ")</f>
        <v>0</v>
      </c>
      <c r="AG162" s="10">
        <f>+_xlfn.IFNA(INDEX(RUBRO!$W$2:$AA$732,MATCH(Tabla1[[#This Row],[FECHA ]],RUBRO!$W$2:$W$732,0),2)," ")</f>
        <v>1</v>
      </c>
      <c r="AH162" s="40">
        <f>IFERROR(Tabla1[[#This Row],[F]]*Tabla1[[#This Row],[COS.B+E]]," ")</f>
        <v>0</v>
      </c>
      <c r="AI162" s="40">
        <f>IFERROR(Tabla1[[#This Row],[COS.B+E]]*Tabla1[[#This Row],[D]]," ")</f>
        <v>0</v>
      </c>
      <c r="AJ162" s="40" t="str">
        <f>IFERROR(Tabla1[[#This Row],[F]]*#REF!," ")</f>
        <v xml:space="preserve"> </v>
      </c>
      <c r="AK162" s="40" t="str">
        <f>IFERROR(#REF!*Tabla1[[#This Row],[D]]," ")</f>
        <v xml:space="preserve"> </v>
      </c>
      <c r="AL162" s="103"/>
      <c r="AM162" s="103"/>
      <c r="AN162" s="103"/>
      <c r="AO162" s="38">
        <f>+Tabla1[[#This Row],[COS.B+E]]+Tabla1[[#This Row],[COS.F1]]+Tabla1[[#This Row],[COS.D1]]+Tabla1[[#This Row],[ALIMENTACION]]+Tabla1[[#This Row],[PRESTAMO]]+AN162</f>
        <v>0</v>
      </c>
      <c r="AP162" s="38" t="e">
        <f>+#REF!+Tabla1[[#This Row],[COS F2]]+Tabla1[[#This Row],[COS D2]]+Tabla1[[#This Row],[ALIMENTACION]]+Tabla1[[#This Row],[PRESTAMO]]+Tabla1[[#This Row],[PASAJES]]</f>
        <v>#REF!</v>
      </c>
    </row>
    <row r="163" spans="1:42" x14ac:dyDescent="0.25">
      <c r="A163" s="2" t="str">
        <f>TEXT(Tabla1[[#This Row],[FECHA ]],"DDDDD")</f>
        <v>domingo</v>
      </c>
      <c r="B163" s="2" t="str">
        <f>_xlfn.IFNA(VLOOKUP(Tabla1[[#This Row],[DESTINO]],RUBRO!$Q$1:$R$9996,2,FALSE)," ")</f>
        <v>DESCANSO</v>
      </c>
      <c r="C163" s="104">
        <f>WEEKNUM(Tabla1[[#This Row],[FECHA ]],2)</f>
        <v>19</v>
      </c>
      <c r="D163" s="104" t="str">
        <f>TEXT(Tabla1[[#This Row],[FECHA ]],"MMM-YY")</f>
        <v>may-YY</v>
      </c>
      <c r="E163" s="104" t="str">
        <f>VLOOKUP(Tabla1[[#This Row],[DNI ]],RUBRO!$F$1:$O$9996,7,FALSE)</f>
        <v>5ta</v>
      </c>
      <c r="F163" s="104" t="e">
        <f>VLOOKUP(Tabla1[[#This Row],[DNI ]],RUBRO!$F$1:$O$88,3,FALSE)</f>
        <v>#N/A</v>
      </c>
      <c r="G163" s="104" t="str">
        <f>VLOOKUP(Tabla1[[#This Row],[DNI ]],RUBRO!$F$1:$O$9996,5,FALSE)</f>
        <v>TECNICO SOLDADOR</v>
      </c>
      <c r="H163" s="66" t="str">
        <f>VLOOKUP(Tabla1[[#This Row],[DNI ]],RUBRO!$F$1:$O$9996,6,FALSE)</f>
        <v xml:space="preserve">SALAZAR FERNANDEZ WALTER </v>
      </c>
      <c r="I163" s="94">
        <v>44325</v>
      </c>
      <c r="J163" s="10">
        <v>3</v>
      </c>
      <c r="K163" s="2">
        <v>72927801</v>
      </c>
      <c r="L163" s="4">
        <f>VLOOKUP(Tabla1[[#This Row],[DNI ]],RUBRO!$F$2:$O$9996,8,FALSE)</f>
        <v>60</v>
      </c>
      <c r="M163" s="88"/>
      <c r="N163" s="28"/>
      <c r="P163" s="28"/>
      <c r="Q163" s="31">
        <f>(Tabla1[[#This Row],[SALIDA]]-Tabla1[[#This Row],[FIN ]])+(Tabla1[[#This Row],[INICIO]]-Tabla1[[#This Row],[INGRESO]])</f>
        <v>0</v>
      </c>
      <c r="R163" s="13">
        <f t="shared" si="6"/>
        <v>0</v>
      </c>
      <c r="S163" s="31">
        <f t="shared" si="7"/>
        <v>0</v>
      </c>
      <c r="T163" s="136"/>
      <c r="U163" s="136"/>
      <c r="V163" s="137">
        <f>(Tabla1[[#This Row],[COS.BASE 3]]*0.25+Tabla1[[#This Row],[COS.BASE 3]])*Tabla1[[#This Row],[HORAS 25 % ]]</f>
        <v>0</v>
      </c>
      <c r="W163" s="138">
        <f>(Tabla1[[#This Row],[COS.BASE 3]]*0.35+Tabla1[[#This Row],[COS.BASE 3]])*Tabla1[[#This Row],[HORAS 35% ]]</f>
        <v>0</v>
      </c>
      <c r="X163" s="138">
        <f>SUM(Tabla1[[#This Row],[C.HORA.35]],Tabla1[[#This Row],[C.HORA.25]])</f>
        <v>0</v>
      </c>
      <c r="Y163" s="4"/>
      <c r="Z163" s="10">
        <f>Tabla1[[#This Row],[T.HORAS]]*24</f>
        <v>0</v>
      </c>
      <c r="AA163" s="4">
        <f>Tabla1[[#This Row],[H.NORMALES]]*24</f>
        <v>0</v>
      </c>
      <c r="AB163" s="10">
        <f>Tabla1[[#This Row],[H.EXTRAS]]*24</f>
        <v>0</v>
      </c>
      <c r="AC163" s="105">
        <f t="shared" si="8"/>
        <v>0</v>
      </c>
      <c r="AD163" s="120">
        <f>Tabla1[[#This Row],[COS.BASE 2]]/8</f>
        <v>0</v>
      </c>
      <c r="AE163" s="105">
        <f>Tabla1[[#This Row],[CST_H_E]]+Tabla1[[#This Row],[COS.BASE 2]]</f>
        <v>0</v>
      </c>
      <c r="AF163" s="106">
        <f>+_xlfn.IFNA(INDEX(RUBRO!$W$2:$AA$732,MATCH(Tabla1[[#This Row],[FECHA ]],RUBRO!$W$2:$W$732,0),5)," ")</f>
        <v>0</v>
      </c>
      <c r="AG163" s="10">
        <f>+_xlfn.IFNA(INDEX(RUBRO!$W$2:$AA$732,MATCH(Tabla1[[#This Row],[FECHA ]],RUBRO!$W$2:$W$732,0),2)," ")</f>
        <v>1</v>
      </c>
      <c r="AH163" s="40">
        <f>IFERROR(Tabla1[[#This Row],[F]]*Tabla1[[#This Row],[COS.B+E]]," ")</f>
        <v>0</v>
      </c>
      <c r="AI163" s="40">
        <f>IFERROR(Tabla1[[#This Row],[COS.B+E]]*Tabla1[[#This Row],[D]]," ")</f>
        <v>0</v>
      </c>
      <c r="AJ163" s="40" t="str">
        <f>IFERROR(Tabla1[[#This Row],[F]]*#REF!," ")</f>
        <v xml:space="preserve"> </v>
      </c>
      <c r="AK163" s="40" t="str">
        <f>IFERROR(#REF!*Tabla1[[#This Row],[D]]," ")</f>
        <v xml:space="preserve"> </v>
      </c>
      <c r="AL163" s="103"/>
      <c r="AM163" s="103"/>
      <c r="AN163" s="103"/>
      <c r="AO163" s="38">
        <f>+Tabla1[[#This Row],[COS.B+E]]+Tabla1[[#This Row],[COS.F1]]+Tabla1[[#This Row],[COS.D1]]+Tabla1[[#This Row],[ALIMENTACION]]+Tabla1[[#This Row],[PRESTAMO]]+AN163</f>
        <v>0</v>
      </c>
      <c r="AP163" s="38" t="e">
        <f>+#REF!+Tabla1[[#This Row],[COS F2]]+Tabla1[[#This Row],[COS D2]]+Tabla1[[#This Row],[ALIMENTACION]]+Tabla1[[#This Row],[PRESTAMO]]+Tabla1[[#This Row],[PASAJES]]</f>
        <v>#REF!</v>
      </c>
    </row>
    <row r="164" spans="1:42" x14ac:dyDescent="0.25">
      <c r="A164" s="2" t="str">
        <f>TEXT(Tabla1[[#This Row],[FECHA ]],"DDDDD")</f>
        <v>domingo</v>
      </c>
      <c r="B164" s="2" t="str">
        <f>_xlfn.IFNA(VLOOKUP(Tabla1[[#This Row],[DESTINO]],RUBRO!$Q$1:$R$9996,2,FALSE)," ")</f>
        <v>DESCANSO</v>
      </c>
      <c r="C164" s="104">
        <f>WEEKNUM(Tabla1[[#This Row],[FECHA ]],2)</f>
        <v>19</v>
      </c>
      <c r="D164" s="104" t="str">
        <f>TEXT(Tabla1[[#This Row],[FECHA ]],"MMM-YY")</f>
        <v>may-YY</v>
      </c>
      <c r="E164" s="104" t="str">
        <f>VLOOKUP(Tabla1[[#This Row],[DNI ]],RUBRO!$F$1:$O$9996,7,FALSE)</f>
        <v>5ta</v>
      </c>
      <c r="F164" s="104" t="str">
        <f>VLOOKUP(Tabla1[[#This Row],[DNI ]],RUBRO!$F$1:$O$88,3,FALSE)</f>
        <v>MEC-04</v>
      </c>
      <c r="G164" s="104" t="str">
        <f>VLOOKUP(Tabla1[[#This Row],[DNI ]],RUBRO!$F$1:$O$9996,5,FALSE)</f>
        <v>MECANICO MONTAJISTA DE MAQUINARIA EXTRANJERA</v>
      </c>
      <c r="H164" s="66" t="str">
        <f>VLOOKUP(Tabla1[[#This Row],[DNI ]],RUBRO!$F$1:$O$9996,6,FALSE)</f>
        <v>SANDOVAL CHAPOÑAN ELVIS EDUARDO</v>
      </c>
      <c r="I164" s="94">
        <v>44325</v>
      </c>
      <c r="J164" s="10">
        <v>3</v>
      </c>
      <c r="K164" s="2">
        <v>45360771</v>
      </c>
      <c r="L164" s="4">
        <f>VLOOKUP(Tabla1[[#This Row],[DNI ]],RUBRO!$F$2:$O$9996,8,FALSE)</f>
        <v>94.35</v>
      </c>
      <c r="M164" s="88"/>
      <c r="N164" s="28"/>
      <c r="P164" s="28"/>
      <c r="Q164" s="31">
        <f>(Tabla1[[#This Row],[SALIDA]]-Tabla1[[#This Row],[FIN ]])+(Tabla1[[#This Row],[INICIO]]-Tabla1[[#This Row],[INGRESO]])</f>
        <v>0</v>
      </c>
      <c r="R164" s="13">
        <f t="shared" si="6"/>
        <v>0</v>
      </c>
      <c r="S164" s="31">
        <f t="shared" si="7"/>
        <v>0</v>
      </c>
      <c r="T164" s="136"/>
      <c r="U164" s="136"/>
      <c r="V164" s="137">
        <f>(Tabla1[[#This Row],[COS.BASE 3]]*0.25+Tabla1[[#This Row],[COS.BASE 3]])*Tabla1[[#This Row],[HORAS 25 % ]]</f>
        <v>0</v>
      </c>
      <c r="W164" s="138">
        <f>(Tabla1[[#This Row],[COS.BASE 3]]*0.35+Tabla1[[#This Row],[COS.BASE 3]])*Tabla1[[#This Row],[HORAS 35% ]]</f>
        <v>0</v>
      </c>
      <c r="X164" s="138">
        <f>SUM(Tabla1[[#This Row],[C.HORA.35]],Tabla1[[#This Row],[C.HORA.25]])</f>
        <v>0</v>
      </c>
      <c r="Y164" s="4"/>
      <c r="Z164" s="10">
        <f>Tabla1[[#This Row],[T.HORAS]]*24</f>
        <v>0</v>
      </c>
      <c r="AA164" s="4">
        <f>Tabla1[[#This Row],[H.NORMALES]]*24</f>
        <v>0</v>
      </c>
      <c r="AB164" s="10">
        <f>Tabla1[[#This Row],[H.EXTRAS]]*24</f>
        <v>0</v>
      </c>
      <c r="AC164" s="105">
        <f t="shared" si="8"/>
        <v>0</v>
      </c>
      <c r="AD164" s="120">
        <f>Tabla1[[#This Row],[COS.BASE 2]]/8</f>
        <v>0</v>
      </c>
      <c r="AE164" s="105">
        <f>Tabla1[[#This Row],[CST_H_E]]+Tabla1[[#This Row],[COS.BASE 2]]</f>
        <v>0</v>
      </c>
      <c r="AF164" s="106">
        <f>+_xlfn.IFNA(INDEX(RUBRO!$W$2:$AA$732,MATCH(Tabla1[[#This Row],[FECHA ]],RUBRO!$W$2:$W$732,0),5)," ")</f>
        <v>0</v>
      </c>
      <c r="AG164" s="10">
        <f>+_xlfn.IFNA(INDEX(RUBRO!$W$2:$AA$732,MATCH(Tabla1[[#This Row],[FECHA ]],RUBRO!$W$2:$W$732,0),2)," ")</f>
        <v>1</v>
      </c>
      <c r="AH164" s="40">
        <f>IFERROR(Tabla1[[#This Row],[F]]*Tabla1[[#This Row],[COS.B+E]]," ")</f>
        <v>0</v>
      </c>
      <c r="AI164" s="40">
        <f>IFERROR(Tabla1[[#This Row],[COS.B+E]]*Tabla1[[#This Row],[D]]," ")</f>
        <v>0</v>
      </c>
      <c r="AJ164" s="40" t="str">
        <f>IFERROR(Tabla1[[#This Row],[F]]*#REF!," ")</f>
        <v xml:space="preserve"> </v>
      </c>
      <c r="AK164" s="40" t="str">
        <f>IFERROR(#REF!*Tabla1[[#This Row],[D]]," ")</f>
        <v xml:space="preserve"> </v>
      </c>
      <c r="AL164" s="103"/>
      <c r="AM164" s="103"/>
      <c r="AN164" s="103"/>
      <c r="AO164" s="38">
        <f>+Tabla1[[#This Row],[COS.B+E]]+Tabla1[[#This Row],[COS.F1]]+Tabla1[[#This Row],[COS.D1]]+Tabla1[[#This Row],[ALIMENTACION]]+Tabla1[[#This Row],[PRESTAMO]]+AN164</f>
        <v>0</v>
      </c>
      <c r="AP164" s="38" t="e">
        <f>+#REF!+Tabla1[[#This Row],[COS F2]]+Tabla1[[#This Row],[COS D2]]+Tabla1[[#This Row],[ALIMENTACION]]+Tabla1[[#This Row],[PRESTAMO]]+Tabla1[[#This Row],[PASAJES]]</f>
        <v>#REF!</v>
      </c>
    </row>
    <row r="165" spans="1:42" x14ac:dyDescent="0.25">
      <c r="A165" s="2" t="str">
        <f>TEXT(Tabla1[[#This Row],[FECHA ]],"DDDDD")</f>
        <v>domingo</v>
      </c>
      <c r="B165" s="2" t="str">
        <f>_xlfn.IFNA(VLOOKUP(Tabla1[[#This Row],[DESTINO]],RUBRO!$Q$1:$R$9996,2,FALSE)," ")</f>
        <v>DESCANSO</v>
      </c>
      <c r="C165" s="104">
        <f>WEEKNUM(Tabla1[[#This Row],[FECHA ]],2)</f>
        <v>19</v>
      </c>
      <c r="D165" s="104" t="str">
        <f>TEXT(Tabla1[[#This Row],[FECHA ]],"MMM-YY")</f>
        <v>may-YY</v>
      </c>
      <c r="E165" s="104" t="str">
        <f>VLOOKUP(Tabla1[[#This Row],[DNI ]],RUBRO!$F$1:$O$9996,7,FALSE)</f>
        <v>5ta</v>
      </c>
      <c r="F165" s="104" t="e">
        <f>VLOOKUP(Tabla1[[#This Row],[DNI ]],RUBRO!$F$1:$O$88,3,FALSE)</f>
        <v>#N/A</v>
      </c>
      <c r="G165" s="104" t="str">
        <f>VLOOKUP(Tabla1[[#This Row],[DNI ]],RUBRO!$F$1:$O$9996,5,FALSE)</f>
        <v>TECNICO MECANICO MONTAJISTA DE NAVE INDUSTRIAL</v>
      </c>
      <c r="H165" s="66" t="str">
        <f>VLOOKUP(Tabla1[[#This Row],[DNI ]],RUBRO!$F$1:$O$9996,6,FALSE)</f>
        <v>SOLANO SUELDO CARLOS</v>
      </c>
      <c r="I165" s="94">
        <v>44325</v>
      </c>
      <c r="J165" s="10">
        <v>3</v>
      </c>
      <c r="K165" s="2">
        <v>44676684</v>
      </c>
      <c r="L165" s="4">
        <f>VLOOKUP(Tabla1[[#This Row],[DNI ]],RUBRO!$F$2:$O$9996,8,FALSE)</f>
        <v>70</v>
      </c>
      <c r="M165" s="88"/>
      <c r="N165" s="28"/>
      <c r="P165" s="28"/>
      <c r="Q165" s="31">
        <f>(Tabla1[[#This Row],[SALIDA]]-Tabla1[[#This Row],[FIN ]])+(Tabla1[[#This Row],[INICIO]]-Tabla1[[#This Row],[INGRESO]])</f>
        <v>0</v>
      </c>
      <c r="R165" s="13">
        <f t="shared" si="6"/>
        <v>0</v>
      </c>
      <c r="S165" s="31">
        <f t="shared" si="7"/>
        <v>0</v>
      </c>
      <c r="T165" s="136"/>
      <c r="U165" s="136"/>
      <c r="V165" s="137">
        <f>(Tabla1[[#This Row],[COS.BASE 3]]*0.25+Tabla1[[#This Row],[COS.BASE 3]])*Tabla1[[#This Row],[HORAS 25 % ]]</f>
        <v>0</v>
      </c>
      <c r="W165" s="138">
        <f>(Tabla1[[#This Row],[COS.BASE 3]]*0.35+Tabla1[[#This Row],[COS.BASE 3]])*Tabla1[[#This Row],[HORAS 35% ]]</f>
        <v>0</v>
      </c>
      <c r="X165" s="138">
        <f>SUM(Tabla1[[#This Row],[C.HORA.35]],Tabla1[[#This Row],[C.HORA.25]])</f>
        <v>0</v>
      </c>
      <c r="Y165" s="4"/>
      <c r="Z165" s="10">
        <f>Tabla1[[#This Row],[T.HORAS]]*24</f>
        <v>0</v>
      </c>
      <c r="AA165" s="4">
        <f>Tabla1[[#This Row],[H.NORMALES]]*24</f>
        <v>0</v>
      </c>
      <c r="AB165" s="10">
        <f>Tabla1[[#This Row],[H.EXTRAS]]*24</f>
        <v>0</v>
      </c>
      <c r="AC165" s="105">
        <f t="shared" si="8"/>
        <v>0</v>
      </c>
      <c r="AD165" s="120">
        <f>Tabla1[[#This Row],[COS.BASE 2]]/8</f>
        <v>0</v>
      </c>
      <c r="AE165" s="105">
        <f>Tabla1[[#This Row],[CST_H_E]]+Tabla1[[#This Row],[COS.BASE 2]]</f>
        <v>0</v>
      </c>
      <c r="AF165" s="106">
        <f>+_xlfn.IFNA(INDEX(RUBRO!$W$2:$AA$732,MATCH(Tabla1[[#This Row],[FECHA ]],RUBRO!$W$2:$W$732,0),5)," ")</f>
        <v>0</v>
      </c>
      <c r="AG165" s="10">
        <f>+_xlfn.IFNA(INDEX(RUBRO!$W$2:$AA$732,MATCH(Tabla1[[#This Row],[FECHA ]],RUBRO!$W$2:$W$732,0),2)," ")</f>
        <v>1</v>
      </c>
      <c r="AH165" s="40">
        <f>IFERROR(Tabla1[[#This Row],[F]]*Tabla1[[#This Row],[COS.B+E]]," ")</f>
        <v>0</v>
      </c>
      <c r="AI165" s="40">
        <f>IFERROR(Tabla1[[#This Row],[COS.B+E]]*Tabla1[[#This Row],[D]]," ")</f>
        <v>0</v>
      </c>
      <c r="AJ165" s="40" t="str">
        <f>IFERROR(Tabla1[[#This Row],[F]]*#REF!," ")</f>
        <v xml:space="preserve"> </v>
      </c>
      <c r="AK165" s="40" t="str">
        <f>IFERROR(#REF!*Tabla1[[#This Row],[D]]," ")</f>
        <v xml:space="preserve"> </v>
      </c>
      <c r="AL165" s="103"/>
      <c r="AM165" s="103"/>
      <c r="AN165" s="103"/>
      <c r="AO165" s="38">
        <f>+Tabla1[[#This Row],[COS.B+E]]+Tabla1[[#This Row],[COS.F1]]+Tabla1[[#This Row],[COS.D1]]+Tabla1[[#This Row],[ALIMENTACION]]+Tabla1[[#This Row],[PRESTAMO]]+AN165</f>
        <v>0</v>
      </c>
      <c r="AP165" s="38" t="e">
        <f>+#REF!+Tabla1[[#This Row],[COS F2]]+Tabla1[[#This Row],[COS D2]]+Tabla1[[#This Row],[ALIMENTACION]]+Tabla1[[#This Row],[PRESTAMO]]+Tabla1[[#This Row],[PASAJES]]</f>
        <v>#REF!</v>
      </c>
    </row>
    <row r="166" spans="1:42" x14ac:dyDescent="0.25">
      <c r="A166" s="2" t="str">
        <f>TEXT(Tabla1[[#This Row],[FECHA ]],"DDDDD")</f>
        <v>domingo</v>
      </c>
      <c r="B166" s="2" t="str">
        <f>_xlfn.IFNA(VLOOKUP(Tabla1[[#This Row],[DESTINO]],RUBRO!$Q$1:$R$9996,2,FALSE)," ")</f>
        <v xml:space="preserve"> </v>
      </c>
      <c r="C166" s="104">
        <f>WEEKNUM(Tabla1[[#This Row],[FECHA ]],2)</f>
        <v>19</v>
      </c>
      <c r="D166" s="104" t="str">
        <f>TEXT(Tabla1[[#This Row],[FECHA ]],"MMM-YY")</f>
        <v>may-YY</v>
      </c>
      <c r="E166" s="104" t="str">
        <f>VLOOKUP(Tabla1[[#This Row],[DNI ]],RUBRO!$F$1:$O$9996,7,FALSE)</f>
        <v>4ta</v>
      </c>
      <c r="F166" s="104" t="e">
        <f>VLOOKUP(Tabla1[[#This Row],[DNI ]],RUBRO!$F$1:$O$88,3,FALSE)</f>
        <v>#N/A</v>
      </c>
      <c r="G166" s="104">
        <f>VLOOKUP(Tabla1[[#This Row],[DNI ]],RUBRO!$F$1:$O$9996,5,FALSE)</f>
        <v>0</v>
      </c>
      <c r="H166" s="66" t="str">
        <f>VLOOKUP(Tabla1[[#This Row],[DNI ]],RUBRO!$F$1:$O$9996,6,FALSE)</f>
        <v>SOTO NIETO ALEXANDRO FABIO</v>
      </c>
      <c r="I166" s="94">
        <v>44325</v>
      </c>
      <c r="K166" s="2">
        <v>71214531</v>
      </c>
      <c r="L166" s="4">
        <f>VLOOKUP(Tabla1[[#This Row],[DNI ]],RUBRO!$F$2:$O$9996,8,FALSE)</f>
        <v>0</v>
      </c>
      <c r="M166" s="88"/>
      <c r="N166" s="28"/>
      <c r="P166" s="28"/>
      <c r="Q166" s="31">
        <f>(Tabla1[[#This Row],[SALIDA]]-Tabla1[[#This Row],[FIN ]])+(Tabla1[[#This Row],[INICIO]]-Tabla1[[#This Row],[INGRESO]])</f>
        <v>0</v>
      </c>
      <c r="R166" s="13">
        <f t="shared" si="6"/>
        <v>0</v>
      </c>
      <c r="S166" s="31">
        <f t="shared" si="7"/>
        <v>0</v>
      </c>
      <c r="T166" s="136"/>
      <c r="U166" s="136"/>
      <c r="V166" s="137">
        <f>(Tabla1[[#This Row],[COS.BASE 3]]*0.25+Tabla1[[#This Row],[COS.BASE 3]])*Tabla1[[#This Row],[HORAS 25 % ]]</f>
        <v>0</v>
      </c>
      <c r="W166" s="138">
        <f>(Tabla1[[#This Row],[COS.BASE 3]]*0.35+Tabla1[[#This Row],[COS.BASE 3]])*Tabla1[[#This Row],[HORAS 35% ]]</f>
        <v>0</v>
      </c>
      <c r="X166" s="138">
        <f>SUM(Tabla1[[#This Row],[C.HORA.35]],Tabla1[[#This Row],[C.HORA.25]])</f>
        <v>0</v>
      </c>
      <c r="Y166" s="4"/>
      <c r="Z166" s="10">
        <f>Tabla1[[#This Row],[T.HORAS]]*24</f>
        <v>0</v>
      </c>
      <c r="AA166" s="4">
        <f>Tabla1[[#This Row],[H.NORMALES]]*24</f>
        <v>0</v>
      </c>
      <c r="AB166" s="10">
        <f>Tabla1[[#This Row],[H.EXTRAS]]*24</f>
        <v>0</v>
      </c>
      <c r="AC166" s="105">
        <f t="shared" si="8"/>
        <v>0</v>
      </c>
      <c r="AD166" s="120">
        <f>Tabla1[[#This Row],[COS.BASE 2]]/8</f>
        <v>0</v>
      </c>
      <c r="AE166" s="105">
        <f>Tabla1[[#This Row],[CST_H_E]]+Tabla1[[#This Row],[COS.BASE 2]]</f>
        <v>0</v>
      </c>
      <c r="AF166" s="106">
        <f>+_xlfn.IFNA(INDEX(RUBRO!$W$2:$AA$732,MATCH(Tabla1[[#This Row],[FECHA ]],RUBRO!$W$2:$W$732,0),5)," ")</f>
        <v>0</v>
      </c>
      <c r="AG166" s="10">
        <f>+_xlfn.IFNA(INDEX(RUBRO!$W$2:$AA$732,MATCH(Tabla1[[#This Row],[FECHA ]],RUBRO!$W$2:$W$732,0),2)," ")</f>
        <v>1</v>
      </c>
      <c r="AH166" s="40">
        <f>IFERROR(Tabla1[[#This Row],[F]]*Tabla1[[#This Row],[COS.B+E]]," ")</f>
        <v>0</v>
      </c>
      <c r="AI166" s="40">
        <f>IFERROR(Tabla1[[#This Row],[COS.B+E]]*Tabla1[[#This Row],[D]]," ")</f>
        <v>0</v>
      </c>
      <c r="AJ166" s="40" t="str">
        <f>IFERROR(Tabla1[[#This Row],[F]]*#REF!," ")</f>
        <v xml:space="preserve"> </v>
      </c>
      <c r="AK166" s="40" t="str">
        <f>IFERROR(#REF!*Tabla1[[#This Row],[D]]," ")</f>
        <v xml:space="preserve"> </v>
      </c>
      <c r="AL166" s="103"/>
      <c r="AM166" s="103"/>
      <c r="AN166" s="103"/>
      <c r="AO166" s="38">
        <f>+Tabla1[[#This Row],[COS.B+E]]+Tabla1[[#This Row],[COS.F1]]+Tabla1[[#This Row],[COS.D1]]+Tabla1[[#This Row],[ALIMENTACION]]+Tabla1[[#This Row],[PRESTAMO]]+AN166</f>
        <v>0</v>
      </c>
      <c r="AP166" s="38" t="e">
        <f>+#REF!+Tabla1[[#This Row],[COS F2]]+Tabla1[[#This Row],[COS D2]]+Tabla1[[#This Row],[ALIMENTACION]]+Tabla1[[#This Row],[PRESTAMO]]+Tabla1[[#This Row],[PASAJES]]</f>
        <v>#REF!</v>
      </c>
    </row>
    <row r="167" spans="1:42" x14ac:dyDescent="0.25">
      <c r="A167" s="2" t="str">
        <f>TEXT(Tabla1[[#This Row],[FECHA ]],"DDDDD")</f>
        <v>domingo</v>
      </c>
      <c r="B167" s="2" t="str">
        <f>_xlfn.IFNA(VLOOKUP(Tabla1[[#This Row],[DESTINO]],RUBRO!$Q$1:$R$9996,2,FALSE)," ")</f>
        <v>DESCANSO</v>
      </c>
      <c r="C167" s="104">
        <f>WEEKNUM(Tabla1[[#This Row],[FECHA ]],2)</f>
        <v>19</v>
      </c>
      <c r="D167" s="104" t="str">
        <f>TEXT(Tabla1[[#This Row],[FECHA ]],"MMM-YY")</f>
        <v>may-YY</v>
      </c>
      <c r="E167" s="104" t="str">
        <f>VLOOKUP(Tabla1[[#This Row],[DNI ]],RUBRO!$F$1:$O$9996,7,FALSE)</f>
        <v>5ta</v>
      </c>
      <c r="F167" s="104" t="str">
        <f>VLOOKUP(Tabla1[[#This Row],[DNI ]],RUBRO!$F$1:$O$88,3,FALSE)</f>
        <v>TEC-02</v>
      </c>
      <c r="G167" s="104" t="str">
        <f>VLOOKUP(Tabla1[[#This Row],[DNI ]],RUBRO!$F$1:$O$9996,5,FALSE)</f>
        <v>TECNICO MECANICO MONTAJISTA DE MAQUINARIA</v>
      </c>
      <c r="H167" s="66" t="str">
        <f>VLOOKUP(Tabla1[[#This Row],[DNI ]],RUBRO!$F$1:$O$9996,6,FALSE)</f>
        <v>TINOCO SANTISTEBAN JIMMY JOEL</v>
      </c>
      <c r="I167" s="94">
        <v>44325</v>
      </c>
      <c r="J167" s="10">
        <v>3</v>
      </c>
      <c r="K167" s="2">
        <v>47158079</v>
      </c>
      <c r="L167" s="4">
        <f>VLOOKUP(Tabla1[[#This Row],[DNI ]],RUBRO!$F$2:$O$9996,8,FALSE)</f>
        <v>56.55</v>
      </c>
      <c r="M167" s="88"/>
      <c r="N167" s="28"/>
      <c r="P167" s="28"/>
      <c r="Q167" s="31">
        <f>(Tabla1[[#This Row],[SALIDA]]-Tabla1[[#This Row],[FIN ]])+(Tabla1[[#This Row],[INICIO]]-Tabla1[[#This Row],[INGRESO]])</f>
        <v>0</v>
      </c>
      <c r="R167" s="13">
        <f t="shared" si="6"/>
        <v>0</v>
      </c>
      <c r="S167" s="31">
        <f t="shared" si="7"/>
        <v>0</v>
      </c>
      <c r="T167" s="136"/>
      <c r="U167" s="136"/>
      <c r="V167" s="137">
        <f>(Tabla1[[#This Row],[COS.BASE 3]]*0.25+Tabla1[[#This Row],[COS.BASE 3]])*Tabla1[[#This Row],[HORAS 25 % ]]</f>
        <v>0</v>
      </c>
      <c r="W167" s="138">
        <f>(Tabla1[[#This Row],[COS.BASE 3]]*0.35+Tabla1[[#This Row],[COS.BASE 3]])*Tabla1[[#This Row],[HORAS 35% ]]</f>
        <v>0</v>
      </c>
      <c r="X167" s="138">
        <f>SUM(Tabla1[[#This Row],[C.HORA.35]],Tabla1[[#This Row],[C.HORA.25]])</f>
        <v>0</v>
      </c>
      <c r="Y167" s="4"/>
      <c r="Z167" s="10">
        <f>Tabla1[[#This Row],[T.HORAS]]*24</f>
        <v>0</v>
      </c>
      <c r="AA167" s="4">
        <f>Tabla1[[#This Row],[H.NORMALES]]*24</f>
        <v>0</v>
      </c>
      <c r="AB167" s="10">
        <f>Tabla1[[#This Row],[H.EXTRAS]]*24</f>
        <v>0</v>
      </c>
      <c r="AC167" s="105">
        <f t="shared" si="8"/>
        <v>0</v>
      </c>
      <c r="AD167" s="120">
        <f>Tabla1[[#This Row],[COS.BASE 2]]/8</f>
        <v>0</v>
      </c>
      <c r="AE167" s="105">
        <f>Tabla1[[#This Row],[CST_H_E]]+Tabla1[[#This Row],[COS.BASE 2]]</f>
        <v>0</v>
      </c>
      <c r="AF167" s="106">
        <f>+_xlfn.IFNA(INDEX(RUBRO!$W$2:$AA$732,MATCH(Tabla1[[#This Row],[FECHA ]],RUBRO!$W$2:$W$732,0),5)," ")</f>
        <v>0</v>
      </c>
      <c r="AG167" s="10">
        <f>+_xlfn.IFNA(INDEX(RUBRO!$W$2:$AA$732,MATCH(Tabla1[[#This Row],[FECHA ]],RUBRO!$W$2:$W$732,0),2)," ")</f>
        <v>1</v>
      </c>
      <c r="AH167" s="40">
        <f>IFERROR(Tabla1[[#This Row],[F]]*Tabla1[[#This Row],[COS.B+E]]," ")</f>
        <v>0</v>
      </c>
      <c r="AI167" s="40">
        <f>IFERROR(Tabla1[[#This Row],[COS.B+E]]*Tabla1[[#This Row],[D]]," ")</f>
        <v>0</v>
      </c>
      <c r="AJ167" s="40" t="str">
        <f>IFERROR(Tabla1[[#This Row],[F]]*#REF!," ")</f>
        <v xml:space="preserve"> </v>
      </c>
      <c r="AK167" s="40" t="str">
        <f>IFERROR(#REF!*Tabla1[[#This Row],[D]]," ")</f>
        <v xml:space="preserve"> </v>
      </c>
      <c r="AL167" s="103"/>
      <c r="AM167" s="103"/>
      <c r="AN167" s="103"/>
      <c r="AO167" s="38">
        <f>+Tabla1[[#This Row],[COS.B+E]]+Tabla1[[#This Row],[COS.F1]]+Tabla1[[#This Row],[COS.D1]]+Tabla1[[#This Row],[ALIMENTACION]]+Tabla1[[#This Row],[PRESTAMO]]+AN167</f>
        <v>0</v>
      </c>
      <c r="AP167" s="38" t="e">
        <f>+#REF!+Tabla1[[#This Row],[COS F2]]+Tabla1[[#This Row],[COS D2]]+Tabla1[[#This Row],[ALIMENTACION]]+Tabla1[[#This Row],[PRESTAMO]]+Tabla1[[#This Row],[PASAJES]]</f>
        <v>#REF!</v>
      </c>
    </row>
    <row r="168" spans="1:42" x14ac:dyDescent="0.25">
      <c r="A168" s="2" t="str">
        <f>TEXT(Tabla1[[#This Row],[FECHA ]],"DDDDD")</f>
        <v>domingo</v>
      </c>
      <c r="B168" s="2" t="str">
        <f>_xlfn.IFNA(VLOOKUP(Tabla1[[#This Row],[DESTINO]],RUBRO!$Q$1:$R$9996,2,FALSE)," ")</f>
        <v>DESCANSO</v>
      </c>
      <c r="C168" s="104">
        <f>WEEKNUM(Tabla1[[#This Row],[FECHA ]],2)</f>
        <v>19</v>
      </c>
      <c r="D168" s="104" t="str">
        <f>TEXT(Tabla1[[#This Row],[FECHA ]],"MMM-YY")</f>
        <v>may-YY</v>
      </c>
      <c r="E168" s="104" t="str">
        <f>VLOOKUP(Tabla1[[#This Row],[DNI ]],RUBRO!$F$1:$O$9996,7,FALSE)</f>
        <v>5ta</v>
      </c>
      <c r="F168" s="104" t="str">
        <f>VLOOKUP(Tabla1[[#This Row],[DNI ]],RUBRO!$F$1:$O$88,3,FALSE)</f>
        <v>TECME-03</v>
      </c>
      <c r="G168" s="104" t="str">
        <f>VLOOKUP(Tabla1[[#This Row],[DNI ]],RUBRO!$F$1:$O$9996,5,FALSE)</f>
        <v>TECNICO ELECTRICO MONTAJISTA DE MAQUINARIA EXTRANJERA</v>
      </c>
      <c r="H168" s="66" t="str">
        <f>VLOOKUP(Tabla1[[#This Row],[DNI ]],RUBRO!$F$1:$O$9996,6,FALSE)</f>
        <v>TORRES RAMOS ANGY ANDREINA</v>
      </c>
      <c r="I168" s="94">
        <v>44325</v>
      </c>
      <c r="J168" s="10">
        <v>3</v>
      </c>
      <c r="K168" s="2">
        <v>76449683</v>
      </c>
      <c r="L168" s="4">
        <f>VLOOKUP(Tabla1[[#This Row],[DNI ]],RUBRO!$F$2:$O$9996,8,FALSE)</f>
        <v>73.87</v>
      </c>
      <c r="M168" s="88"/>
      <c r="N168" s="28"/>
      <c r="P168" s="28"/>
      <c r="Q168" s="31">
        <f>(Tabla1[[#This Row],[SALIDA]]-Tabla1[[#This Row],[FIN ]])+(Tabla1[[#This Row],[INICIO]]-Tabla1[[#This Row],[INGRESO]])</f>
        <v>0</v>
      </c>
      <c r="R168" s="13">
        <f t="shared" si="6"/>
        <v>0</v>
      </c>
      <c r="S168" s="31">
        <f t="shared" si="7"/>
        <v>0</v>
      </c>
      <c r="T168" s="136"/>
      <c r="U168" s="136"/>
      <c r="V168" s="137">
        <f>(Tabla1[[#This Row],[COS.BASE 3]]*0.25+Tabla1[[#This Row],[COS.BASE 3]])*Tabla1[[#This Row],[HORAS 25 % ]]</f>
        <v>0</v>
      </c>
      <c r="W168" s="138">
        <f>(Tabla1[[#This Row],[COS.BASE 3]]*0.35+Tabla1[[#This Row],[COS.BASE 3]])*Tabla1[[#This Row],[HORAS 35% ]]</f>
        <v>0</v>
      </c>
      <c r="X168" s="138">
        <f>SUM(Tabla1[[#This Row],[C.HORA.35]],Tabla1[[#This Row],[C.HORA.25]])</f>
        <v>0</v>
      </c>
      <c r="Y168" s="4"/>
      <c r="Z168" s="10">
        <f>Tabla1[[#This Row],[T.HORAS]]*24</f>
        <v>0</v>
      </c>
      <c r="AA168" s="4">
        <f>Tabla1[[#This Row],[H.NORMALES]]*24</f>
        <v>0</v>
      </c>
      <c r="AB168" s="10">
        <f>Tabla1[[#This Row],[H.EXTRAS]]*24</f>
        <v>0</v>
      </c>
      <c r="AC168" s="105">
        <f t="shared" si="8"/>
        <v>0</v>
      </c>
      <c r="AD168" s="120">
        <f>Tabla1[[#This Row],[COS.BASE 2]]/8</f>
        <v>0</v>
      </c>
      <c r="AE168" s="134">
        <f>Tabla1[[#This Row],[CST_H_E]]+Tabla1[[#This Row],[COS.BASE 2]]</f>
        <v>0</v>
      </c>
      <c r="AF168" s="106">
        <f>+_xlfn.IFNA(INDEX(RUBRO!$W$2:$AA$732,MATCH(Tabla1[[#This Row],[FECHA ]],RUBRO!$W$2:$W$732,0),5)," ")</f>
        <v>0</v>
      </c>
      <c r="AG168" s="10">
        <f>+_xlfn.IFNA(INDEX(RUBRO!$W$2:$AA$732,MATCH(Tabla1[[#This Row],[FECHA ]],RUBRO!$W$2:$W$732,0),2)," ")</f>
        <v>1</v>
      </c>
      <c r="AH168" s="40">
        <f>IFERROR(Tabla1[[#This Row],[F]]*Tabla1[[#This Row],[COS.B+E]]," ")</f>
        <v>0</v>
      </c>
      <c r="AI168" s="40">
        <f>IFERROR(Tabla1[[#This Row],[COS.B+E]]*Tabla1[[#This Row],[D]]," ")</f>
        <v>0</v>
      </c>
      <c r="AJ168" s="40" t="str">
        <f>IFERROR(Tabla1[[#This Row],[F]]*#REF!," ")</f>
        <v xml:space="preserve"> </v>
      </c>
      <c r="AK168" s="40" t="str">
        <f>IFERROR(#REF!*Tabla1[[#This Row],[D]]," ")</f>
        <v xml:space="preserve"> </v>
      </c>
      <c r="AL168" s="103"/>
      <c r="AM168" s="103"/>
      <c r="AN168" s="103"/>
      <c r="AO168" s="38">
        <f>+Tabla1[[#This Row],[COS.B+E]]+Tabla1[[#This Row],[COS.F1]]+Tabla1[[#This Row],[COS.D1]]+Tabla1[[#This Row],[ALIMENTACION]]+Tabla1[[#This Row],[PRESTAMO]]+AN168</f>
        <v>0</v>
      </c>
      <c r="AP168" s="38" t="e">
        <f>+#REF!+Tabla1[[#This Row],[COS F2]]+Tabla1[[#This Row],[COS D2]]+Tabla1[[#This Row],[ALIMENTACION]]+Tabla1[[#This Row],[PRESTAMO]]+Tabla1[[#This Row],[PASAJES]]</f>
        <v>#REF!</v>
      </c>
    </row>
    <row r="169" spans="1:42" x14ac:dyDescent="0.25">
      <c r="A169" s="2" t="str">
        <f>TEXT(Tabla1[[#This Row],[FECHA ]],"DDDDD")</f>
        <v>domingo</v>
      </c>
      <c r="B169" s="2" t="str">
        <f>_xlfn.IFNA(VLOOKUP(Tabla1[[#This Row],[DESTINO]],RUBRO!$Q$1:$R$9996,2,FALSE)," ")</f>
        <v>DESCANSO</v>
      </c>
      <c r="C169" s="104">
        <f>WEEKNUM(Tabla1[[#This Row],[FECHA ]],2)</f>
        <v>19</v>
      </c>
      <c r="D169" s="104" t="str">
        <f>TEXT(Tabla1[[#This Row],[FECHA ]],"MMM-YY")</f>
        <v>may-YY</v>
      </c>
      <c r="E169" s="104" t="str">
        <f>VLOOKUP(Tabla1[[#This Row],[DNI ]],RUBRO!$F$1:$O$9996,7,FALSE)</f>
        <v>5ta</v>
      </c>
      <c r="F169" s="104" t="str">
        <f>VLOOKUP(Tabla1[[#This Row],[DNI ]],RUBRO!$F$1:$O$88,3,FALSE)</f>
        <v>MEC-04</v>
      </c>
      <c r="G169" s="104" t="str">
        <f>VLOOKUP(Tabla1[[#This Row],[DNI ]],RUBRO!$F$1:$O$9996,5,FALSE)</f>
        <v>MECANICO MONTAJISTA DE MAQUINARIA EXTRANJERA</v>
      </c>
      <c r="H169" s="66" t="str">
        <f>VLOOKUP(Tabla1[[#This Row],[DNI ]],RUBRO!$F$1:$O$9996,6,FALSE)</f>
        <v>VARGAS TARRILLO GLOBER</v>
      </c>
      <c r="I169" s="94">
        <v>44325</v>
      </c>
      <c r="J169" s="10">
        <v>3</v>
      </c>
      <c r="K169" s="2">
        <v>43878459</v>
      </c>
      <c r="L169" s="4">
        <f>VLOOKUP(Tabla1[[#This Row],[DNI ]],RUBRO!$F$2:$O$9996,8,FALSE)</f>
        <v>79.78</v>
      </c>
      <c r="M169" s="88"/>
      <c r="N169" s="28"/>
      <c r="P169" s="28"/>
      <c r="Q169" s="31">
        <f>(Tabla1[[#This Row],[SALIDA]]-Tabla1[[#This Row],[FIN ]])+(Tabla1[[#This Row],[INICIO]]-Tabla1[[#This Row],[INGRESO]])</f>
        <v>0</v>
      </c>
      <c r="R169" s="13">
        <f t="shared" si="6"/>
        <v>0</v>
      </c>
      <c r="S169" s="31">
        <f t="shared" si="7"/>
        <v>0</v>
      </c>
      <c r="T169" s="136"/>
      <c r="U169" s="136"/>
      <c r="V169" s="137">
        <f>(Tabla1[[#This Row],[COS.BASE 3]]*0.25+Tabla1[[#This Row],[COS.BASE 3]])*Tabla1[[#This Row],[HORAS 25 % ]]</f>
        <v>0</v>
      </c>
      <c r="W169" s="138">
        <f>(Tabla1[[#This Row],[COS.BASE 3]]*0.35+Tabla1[[#This Row],[COS.BASE 3]])*Tabla1[[#This Row],[HORAS 35% ]]</f>
        <v>0</v>
      </c>
      <c r="X169" s="138">
        <f>SUM(Tabla1[[#This Row],[C.HORA.35]],Tabla1[[#This Row],[C.HORA.25]])</f>
        <v>0</v>
      </c>
      <c r="Y169" s="4"/>
      <c r="Z169" s="10">
        <f>Tabla1[[#This Row],[T.HORAS]]*24</f>
        <v>0</v>
      </c>
      <c r="AA169" s="4">
        <f>Tabla1[[#This Row],[H.NORMALES]]*24</f>
        <v>0</v>
      </c>
      <c r="AB169" s="10">
        <f>Tabla1[[#This Row],[H.EXTRAS]]*24</f>
        <v>0</v>
      </c>
      <c r="AC169" s="105">
        <f t="shared" si="8"/>
        <v>0</v>
      </c>
      <c r="AD169" s="120">
        <f>Tabla1[[#This Row],[COS.BASE 2]]/8</f>
        <v>0</v>
      </c>
      <c r="AE169" s="105">
        <f>Tabla1[[#This Row],[CST_H_E]]+Tabla1[[#This Row],[COS.BASE 2]]</f>
        <v>0</v>
      </c>
      <c r="AF169" s="106">
        <f>+_xlfn.IFNA(INDEX(RUBRO!$W$2:$AA$732,MATCH(Tabla1[[#This Row],[FECHA ]],RUBRO!$W$2:$W$732,0),5)," ")</f>
        <v>0</v>
      </c>
      <c r="AG169" s="10">
        <f>+_xlfn.IFNA(INDEX(RUBRO!$W$2:$AA$732,MATCH(Tabla1[[#This Row],[FECHA ]],RUBRO!$W$2:$W$732,0),2)," ")</f>
        <v>1</v>
      </c>
      <c r="AH169" s="40">
        <f>IFERROR(Tabla1[[#This Row],[F]]*Tabla1[[#This Row],[COS.B+E]]," ")</f>
        <v>0</v>
      </c>
      <c r="AI169" s="40">
        <f>IFERROR(Tabla1[[#This Row],[COS.B+E]]*Tabla1[[#This Row],[D]]," ")</f>
        <v>0</v>
      </c>
      <c r="AJ169" s="40" t="str">
        <f>IFERROR(Tabla1[[#This Row],[F]]*#REF!," ")</f>
        <v xml:space="preserve"> </v>
      </c>
      <c r="AK169" s="40" t="str">
        <f>IFERROR(#REF!*Tabla1[[#This Row],[D]]," ")</f>
        <v xml:space="preserve"> </v>
      </c>
      <c r="AL169" s="103"/>
      <c r="AM169" s="103"/>
      <c r="AN169" s="103"/>
      <c r="AO169" s="38">
        <f>+Tabla1[[#This Row],[COS.B+E]]+Tabla1[[#This Row],[COS.F1]]+Tabla1[[#This Row],[COS.D1]]+Tabla1[[#This Row],[ALIMENTACION]]+Tabla1[[#This Row],[PRESTAMO]]+AN169</f>
        <v>0</v>
      </c>
      <c r="AP169" s="38" t="e">
        <f>+#REF!+Tabla1[[#This Row],[COS F2]]+Tabla1[[#This Row],[COS D2]]+Tabla1[[#This Row],[ALIMENTACION]]+Tabla1[[#This Row],[PRESTAMO]]+Tabla1[[#This Row],[PASAJES]]</f>
        <v>#REF!</v>
      </c>
    </row>
    <row r="170" spans="1:42" x14ac:dyDescent="0.25">
      <c r="A170" s="2" t="str">
        <f>TEXT(Tabla1[[#This Row],[FECHA ]],"DDDDD")</f>
        <v>domingo</v>
      </c>
      <c r="B170" s="2" t="str">
        <f>_xlfn.IFNA(VLOOKUP(Tabla1[[#This Row],[DESTINO]],RUBRO!$Q$1:$R$9996,2,FALSE)," ")</f>
        <v>DESCANSO</v>
      </c>
      <c r="C170" s="104">
        <f>WEEKNUM(Tabla1[[#This Row],[FECHA ]],2)</f>
        <v>19</v>
      </c>
      <c r="D170" s="104" t="str">
        <f>TEXT(Tabla1[[#This Row],[FECHA ]],"MMM-YY")</f>
        <v>may-YY</v>
      </c>
      <c r="E170" s="104" t="str">
        <f>VLOOKUP(Tabla1[[#This Row],[DNI ]],RUBRO!$F$1:$O$9996,7,FALSE)</f>
        <v>5ta</v>
      </c>
      <c r="F170" s="104" t="str">
        <f>VLOOKUP(Tabla1[[#This Row],[DNI ]],RUBRO!$F$1:$O$88,3,FALSE)</f>
        <v>MEC-04</v>
      </c>
      <c r="G170" s="104" t="str">
        <f>VLOOKUP(Tabla1[[#This Row],[DNI ]],RUBRO!$F$1:$O$9996,5,FALSE)</f>
        <v>MECANICO MONTAJISTA DE MAQUINARIA EXTRANJERA</v>
      </c>
      <c r="H170" s="66" t="str">
        <f>VLOOKUP(Tabla1[[#This Row],[DNI ]],RUBRO!$F$1:$O$9996,6,FALSE)</f>
        <v>VARGAS TARRILLO OMAR ALEXANDER</v>
      </c>
      <c r="I170" s="94">
        <v>44325</v>
      </c>
      <c r="J170" s="10">
        <v>3</v>
      </c>
      <c r="K170" s="2">
        <v>46578402</v>
      </c>
      <c r="L170" s="4">
        <f>VLOOKUP(Tabla1[[#This Row],[DNI ]],RUBRO!$F$2:$O$9996,8,FALSE)</f>
        <v>103.42</v>
      </c>
      <c r="M170" s="88"/>
      <c r="N170" s="28"/>
      <c r="P170" s="28"/>
      <c r="Q170" s="31">
        <f>(Tabla1[[#This Row],[SALIDA]]-Tabla1[[#This Row],[FIN ]])+(Tabla1[[#This Row],[INICIO]]-Tabla1[[#This Row],[INGRESO]])</f>
        <v>0</v>
      </c>
      <c r="R170" s="13">
        <f t="shared" si="6"/>
        <v>0</v>
      </c>
      <c r="S170" s="31">
        <f t="shared" si="7"/>
        <v>0</v>
      </c>
      <c r="T170" s="136"/>
      <c r="U170" s="136"/>
      <c r="V170" s="137">
        <f>(Tabla1[[#This Row],[COS.BASE 3]]*0.25+Tabla1[[#This Row],[COS.BASE 3]])*Tabla1[[#This Row],[HORAS 25 % ]]</f>
        <v>0</v>
      </c>
      <c r="W170" s="138">
        <f>(Tabla1[[#This Row],[COS.BASE 3]]*0.35+Tabla1[[#This Row],[COS.BASE 3]])*Tabla1[[#This Row],[HORAS 35% ]]</f>
        <v>0</v>
      </c>
      <c r="X170" s="138">
        <f>SUM(Tabla1[[#This Row],[C.HORA.35]],Tabla1[[#This Row],[C.HORA.25]])</f>
        <v>0</v>
      </c>
      <c r="Y170" s="4"/>
      <c r="Z170" s="10">
        <f>Tabla1[[#This Row],[T.HORAS]]*24</f>
        <v>0</v>
      </c>
      <c r="AA170" s="4">
        <f>Tabla1[[#This Row],[H.NORMALES]]*24</f>
        <v>0</v>
      </c>
      <c r="AB170" s="10">
        <f>Tabla1[[#This Row],[H.EXTRAS]]*24</f>
        <v>0</v>
      </c>
      <c r="AC170" s="105">
        <f t="shared" si="8"/>
        <v>0</v>
      </c>
      <c r="AD170" s="120">
        <f>Tabla1[[#This Row],[COS.BASE 2]]/8</f>
        <v>0</v>
      </c>
      <c r="AE170" s="105">
        <f>Tabla1[[#This Row],[CST_H_E]]+Tabla1[[#This Row],[COS.BASE 2]]</f>
        <v>0</v>
      </c>
      <c r="AF170" s="106">
        <f>+_xlfn.IFNA(INDEX(RUBRO!$W$2:$AA$732,MATCH(Tabla1[[#This Row],[FECHA ]],RUBRO!$W$2:$W$732,0),5)," ")</f>
        <v>0</v>
      </c>
      <c r="AG170" s="10">
        <f>+_xlfn.IFNA(INDEX(RUBRO!$W$2:$AA$732,MATCH(Tabla1[[#This Row],[FECHA ]],RUBRO!$W$2:$W$732,0),2)," ")</f>
        <v>1</v>
      </c>
      <c r="AH170" s="40">
        <f>IFERROR(Tabla1[[#This Row],[F]]*Tabla1[[#This Row],[COS.B+E]]," ")</f>
        <v>0</v>
      </c>
      <c r="AI170" s="40">
        <f>IFERROR(Tabla1[[#This Row],[COS.B+E]]*Tabla1[[#This Row],[D]]," ")</f>
        <v>0</v>
      </c>
      <c r="AJ170" s="40" t="str">
        <f>IFERROR(Tabla1[[#This Row],[F]]*#REF!," ")</f>
        <v xml:space="preserve"> </v>
      </c>
      <c r="AK170" s="40" t="str">
        <f>IFERROR(#REF!*Tabla1[[#This Row],[D]]," ")</f>
        <v xml:space="preserve"> </v>
      </c>
      <c r="AL170" s="103"/>
      <c r="AM170" s="103"/>
      <c r="AN170" s="103"/>
      <c r="AO170" s="38">
        <f>+Tabla1[[#This Row],[COS.B+E]]+Tabla1[[#This Row],[COS.F1]]+Tabla1[[#This Row],[COS.D1]]+Tabla1[[#This Row],[ALIMENTACION]]+Tabla1[[#This Row],[PRESTAMO]]+AN170</f>
        <v>0</v>
      </c>
      <c r="AP170" s="38" t="e">
        <f>+#REF!+Tabla1[[#This Row],[COS F2]]+Tabla1[[#This Row],[COS D2]]+Tabla1[[#This Row],[ALIMENTACION]]+Tabla1[[#This Row],[PRESTAMO]]+Tabla1[[#This Row],[PASAJES]]</f>
        <v>#REF!</v>
      </c>
    </row>
    <row r="171" spans="1:42" x14ac:dyDescent="0.25">
      <c r="A171" s="2" t="str">
        <f>TEXT(Tabla1[[#This Row],[FECHA ]],"DDDDD")</f>
        <v>domingo</v>
      </c>
      <c r="B171" s="2" t="str">
        <f>_xlfn.IFNA(VLOOKUP(Tabla1[[#This Row],[DESTINO]],RUBRO!$Q$1:$R$9996,2,FALSE)," ")</f>
        <v>OBRA</v>
      </c>
      <c r="C171" s="104">
        <f>WEEKNUM(Tabla1[[#This Row],[FECHA ]],2)</f>
        <v>19</v>
      </c>
      <c r="D171" s="104" t="str">
        <f>TEXT(Tabla1[[#This Row],[FECHA ]],"MMM-YY")</f>
        <v>may-YY</v>
      </c>
      <c r="E171" s="104" t="str">
        <f>VLOOKUP(Tabla1[[#This Row],[DNI ]],RUBRO!$F$1:$O$9996,7,FALSE)</f>
        <v>5ta</v>
      </c>
      <c r="F171" s="104" t="e">
        <f>VLOOKUP(Tabla1[[#This Row],[DNI ]],RUBRO!$F$1:$O$88,3,FALSE)</f>
        <v>#N/A</v>
      </c>
      <c r="G171" s="104" t="str">
        <f>VLOOKUP(Tabla1[[#This Row],[DNI ]],RUBRO!$F$1:$O$9996,5,FALSE)</f>
        <v xml:space="preserve">PRACTICANTE </v>
      </c>
      <c r="H171" s="66" t="str">
        <f>VLOOKUP(Tabla1[[#This Row],[DNI ]],RUBRO!$F$1:$O$9996,6,FALSE)</f>
        <v>VASQUEZ CHUPILLON KEVIN</v>
      </c>
      <c r="I171" s="94">
        <v>44325</v>
      </c>
      <c r="J171" s="10">
        <v>2</v>
      </c>
      <c r="K171" s="2">
        <v>72814417</v>
      </c>
      <c r="L171" s="4">
        <f>VLOOKUP(Tabla1[[#This Row],[DNI ]],RUBRO!$F$2:$O$9996,8,FALSE)</f>
        <v>35.76</v>
      </c>
      <c r="M171" s="88">
        <v>0.29166666666666669</v>
      </c>
      <c r="N171" s="28">
        <v>0.54166666666666663</v>
      </c>
      <c r="O171" s="28">
        <v>0.58333333333333337</v>
      </c>
      <c r="P171" s="28">
        <v>0.89583333333333337</v>
      </c>
      <c r="Q171" s="31">
        <f>(Tabla1[[#This Row],[SALIDA]]-Tabla1[[#This Row],[FIN ]])+(Tabla1[[#This Row],[INICIO]]-Tabla1[[#This Row],[INGRESO]])</f>
        <v>0.5625</v>
      </c>
      <c r="R171" s="13">
        <f t="shared" si="6"/>
        <v>0.33333333333333331</v>
      </c>
      <c r="S171" s="31">
        <f t="shared" si="7"/>
        <v>0.22916666666666669</v>
      </c>
      <c r="T171" s="136"/>
      <c r="U171" s="136"/>
      <c r="V171" s="137">
        <f>(Tabla1[[#This Row],[COS.BASE 3]]*0.25+Tabla1[[#This Row],[COS.BASE 3]])*Tabla1[[#This Row],[HORAS 25 % ]]</f>
        <v>0</v>
      </c>
      <c r="W171" s="138">
        <f>(Tabla1[[#This Row],[COS.BASE 3]]*0.35+Tabla1[[#This Row],[COS.BASE 3]])*Tabla1[[#This Row],[HORAS 35% ]]</f>
        <v>0</v>
      </c>
      <c r="X171" s="138">
        <f>SUM(Tabla1[[#This Row],[C.HORA.35]],Tabla1[[#This Row],[C.HORA.25]])</f>
        <v>0</v>
      </c>
      <c r="Y171" s="4"/>
      <c r="Z171" s="10">
        <f>Tabla1[[#This Row],[T.HORAS]]*24</f>
        <v>13.5</v>
      </c>
      <c r="AA171" s="4">
        <f>Tabla1[[#This Row],[H.NORMALES]]*24</f>
        <v>8</v>
      </c>
      <c r="AB171" s="10">
        <f>Tabla1[[#This Row],[H.EXTRAS]]*24</f>
        <v>5.5</v>
      </c>
      <c r="AC171" s="105">
        <f t="shared" si="8"/>
        <v>35.76</v>
      </c>
      <c r="AD171" s="120">
        <f>Tabla1[[#This Row],[COS.BASE 2]]/8</f>
        <v>4.47</v>
      </c>
      <c r="AE171" s="105">
        <f>Tabla1[[#This Row],[CST_H_E]]+Tabla1[[#This Row],[COS.BASE 2]]</f>
        <v>35.76</v>
      </c>
      <c r="AF171" s="106">
        <f>+_xlfn.IFNA(INDEX(RUBRO!$W$2:$AA$732,MATCH(Tabla1[[#This Row],[FECHA ]],RUBRO!$W$2:$W$732,0),5)," ")</f>
        <v>0</v>
      </c>
      <c r="AG171" s="10">
        <f>+_xlfn.IFNA(INDEX(RUBRO!$W$2:$AA$732,MATCH(Tabla1[[#This Row],[FECHA ]],RUBRO!$W$2:$W$732,0),2)," ")</f>
        <v>1</v>
      </c>
      <c r="AH171" s="40">
        <f>IFERROR(Tabla1[[#This Row],[F]]*Tabla1[[#This Row],[COS.B+E]]," ")</f>
        <v>0</v>
      </c>
      <c r="AI171" s="40">
        <f>IFERROR(Tabla1[[#This Row],[COS.B+E]]*Tabla1[[#This Row],[D]]," ")</f>
        <v>35.76</v>
      </c>
      <c r="AJ171" s="40" t="str">
        <f>IFERROR(Tabla1[[#This Row],[F]]*#REF!," ")</f>
        <v xml:space="preserve"> </v>
      </c>
      <c r="AK171" s="40" t="str">
        <f>IFERROR(#REF!*Tabla1[[#This Row],[D]]," ")</f>
        <v xml:space="preserve"> </v>
      </c>
      <c r="AL171" s="103"/>
      <c r="AM171" s="103"/>
      <c r="AN171" s="103"/>
      <c r="AO171" s="38">
        <f>+Tabla1[[#This Row],[COS.B+E]]+Tabla1[[#This Row],[COS.F1]]+Tabla1[[#This Row],[COS.D1]]+Tabla1[[#This Row],[ALIMENTACION]]+Tabla1[[#This Row],[PRESTAMO]]+AN171</f>
        <v>71.52</v>
      </c>
      <c r="AP171" s="38" t="e">
        <f>+#REF!+Tabla1[[#This Row],[COS F2]]+Tabla1[[#This Row],[COS D2]]+Tabla1[[#This Row],[ALIMENTACION]]+Tabla1[[#This Row],[PRESTAMO]]+Tabla1[[#This Row],[PASAJES]]</f>
        <v>#REF!</v>
      </c>
    </row>
    <row r="172" spans="1:42" x14ac:dyDescent="0.25">
      <c r="A172" s="2" t="str">
        <f>TEXT(Tabla1[[#This Row],[FECHA ]],"DDDDD")</f>
        <v>domingo</v>
      </c>
      <c r="B172" s="2" t="str">
        <f>_xlfn.IFNA(VLOOKUP(Tabla1[[#This Row],[DESTINO]],RUBRO!$Q$1:$R$9996,2,FALSE)," ")</f>
        <v>DESCANSO</v>
      </c>
      <c r="C172" s="104">
        <f>WEEKNUM(Tabla1[[#This Row],[FECHA ]],2)</f>
        <v>19</v>
      </c>
      <c r="D172" s="104" t="str">
        <f>TEXT(Tabla1[[#This Row],[FECHA ]],"MMM-YY")</f>
        <v>may-YY</v>
      </c>
      <c r="E172" s="104" t="str">
        <f>VLOOKUP(Tabla1[[#This Row],[DNI ]],RUBRO!$F$1:$O$9996,7,FALSE)</f>
        <v>5ta</v>
      </c>
      <c r="F172" s="104" t="str">
        <f>VLOOKUP(Tabla1[[#This Row],[DNI ]],RUBRO!$F$1:$O$88,3,FALSE)</f>
        <v>MEC-04</v>
      </c>
      <c r="G172" s="104" t="str">
        <f>VLOOKUP(Tabla1[[#This Row],[DNI ]],RUBRO!$F$1:$O$9996,5,FALSE)</f>
        <v>MECANICO MONTAJISTA DE MAQUINARIA EXTRANJERA</v>
      </c>
      <c r="H172" s="66" t="str">
        <f>VLOOKUP(Tabla1[[#This Row],[DNI ]],RUBRO!$F$1:$O$9996,6,FALSE)</f>
        <v>VASQUEZ GAMBOA JUAN JOSE</v>
      </c>
      <c r="I172" s="94">
        <v>44325</v>
      </c>
      <c r="J172" s="10">
        <v>3</v>
      </c>
      <c r="K172" s="2">
        <v>45416906</v>
      </c>
      <c r="L172" s="4">
        <f>VLOOKUP(Tabla1[[#This Row],[DNI ]],RUBRO!$F$2:$O$9996,8,FALSE)</f>
        <v>87</v>
      </c>
      <c r="M172" s="88"/>
      <c r="N172" s="28"/>
      <c r="P172" s="28"/>
      <c r="Q172" s="31">
        <f>(Tabla1[[#This Row],[SALIDA]]-Tabla1[[#This Row],[FIN ]])+(Tabla1[[#This Row],[INICIO]]-Tabla1[[#This Row],[INGRESO]])</f>
        <v>0</v>
      </c>
      <c r="R172" s="13">
        <f t="shared" si="6"/>
        <v>0</v>
      </c>
      <c r="S172" s="31">
        <f t="shared" si="7"/>
        <v>0</v>
      </c>
      <c r="T172" s="136"/>
      <c r="U172" s="136"/>
      <c r="V172" s="137">
        <f>(Tabla1[[#This Row],[COS.BASE 3]]*0.25+Tabla1[[#This Row],[COS.BASE 3]])*Tabla1[[#This Row],[HORAS 25 % ]]</f>
        <v>0</v>
      </c>
      <c r="W172" s="138">
        <f>(Tabla1[[#This Row],[COS.BASE 3]]*0.35+Tabla1[[#This Row],[COS.BASE 3]])*Tabla1[[#This Row],[HORAS 35% ]]</f>
        <v>0</v>
      </c>
      <c r="X172" s="138">
        <f>SUM(Tabla1[[#This Row],[C.HORA.35]],Tabla1[[#This Row],[C.HORA.25]])</f>
        <v>0</v>
      </c>
      <c r="Y172" s="4"/>
      <c r="Z172" s="10">
        <f>Tabla1[[#This Row],[T.HORAS]]*24</f>
        <v>0</v>
      </c>
      <c r="AA172" s="4">
        <f>Tabla1[[#This Row],[H.NORMALES]]*24</f>
        <v>0</v>
      </c>
      <c r="AB172" s="10">
        <f>Tabla1[[#This Row],[H.EXTRAS]]*24</f>
        <v>0</v>
      </c>
      <c r="AC172" s="105">
        <f t="shared" si="8"/>
        <v>0</v>
      </c>
      <c r="AD172" s="120">
        <f>Tabla1[[#This Row],[COS.BASE 2]]/8</f>
        <v>0</v>
      </c>
      <c r="AE172" s="105">
        <f>Tabla1[[#This Row],[CST_H_E]]+Tabla1[[#This Row],[COS.BASE 2]]</f>
        <v>0</v>
      </c>
      <c r="AF172" s="106">
        <f>+_xlfn.IFNA(INDEX(RUBRO!$W$2:$AA$732,MATCH(Tabla1[[#This Row],[FECHA ]],RUBRO!$W$2:$W$732,0),5)," ")</f>
        <v>0</v>
      </c>
      <c r="AG172" s="10">
        <f>+_xlfn.IFNA(INDEX(RUBRO!$W$2:$AA$732,MATCH(Tabla1[[#This Row],[FECHA ]],RUBRO!$W$2:$W$732,0),2)," ")</f>
        <v>1</v>
      </c>
      <c r="AH172" s="40">
        <f>IFERROR(Tabla1[[#This Row],[F]]*Tabla1[[#This Row],[COS.B+E]]," ")</f>
        <v>0</v>
      </c>
      <c r="AI172" s="40">
        <f>IFERROR(Tabla1[[#This Row],[COS.B+E]]*Tabla1[[#This Row],[D]]," ")</f>
        <v>0</v>
      </c>
      <c r="AJ172" s="40" t="str">
        <f>IFERROR(Tabla1[[#This Row],[F]]*#REF!," ")</f>
        <v xml:space="preserve"> </v>
      </c>
      <c r="AK172" s="40" t="str">
        <f>IFERROR(#REF!*Tabla1[[#This Row],[D]]," ")</f>
        <v xml:space="preserve"> </v>
      </c>
      <c r="AL172" s="103"/>
      <c r="AM172" s="103"/>
      <c r="AN172" s="103"/>
      <c r="AO172" s="38">
        <f>+Tabla1[[#This Row],[COS.B+E]]+Tabla1[[#This Row],[COS.F1]]+Tabla1[[#This Row],[COS.D1]]+Tabla1[[#This Row],[ALIMENTACION]]+Tabla1[[#This Row],[PRESTAMO]]+AN172</f>
        <v>0</v>
      </c>
      <c r="AP172" s="38" t="e">
        <f>+#REF!+Tabla1[[#This Row],[COS F2]]+Tabla1[[#This Row],[COS D2]]+Tabla1[[#This Row],[ALIMENTACION]]+Tabla1[[#This Row],[PRESTAMO]]+Tabla1[[#This Row],[PASAJES]]</f>
        <v>#REF!</v>
      </c>
    </row>
    <row r="173" spans="1:42" x14ac:dyDescent="0.25">
      <c r="A173" s="2" t="str">
        <f>TEXT(Tabla1[[#This Row],[FECHA ]],"DDDDD")</f>
        <v>domingo</v>
      </c>
      <c r="B173" s="2" t="str">
        <f>_xlfn.IFNA(VLOOKUP(Tabla1[[#This Row],[DESTINO]],RUBRO!$Q$1:$R$9996,2,FALSE)," ")</f>
        <v>OBRA</v>
      </c>
      <c r="C173" s="104">
        <f>WEEKNUM(Tabla1[[#This Row],[FECHA ]],2)</f>
        <v>19</v>
      </c>
      <c r="D173" s="104" t="str">
        <f>TEXT(Tabla1[[#This Row],[FECHA ]],"MMM-YY")</f>
        <v>may-YY</v>
      </c>
      <c r="E173" s="104" t="str">
        <f>VLOOKUP(Tabla1[[#This Row],[DNI ]],RUBRO!$F$1:$O$9996,7,FALSE)</f>
        <v>5ta</v>
      </c>
      <c r="F173" s="104" t="str">
        <f>VLOOKUP(Tabla1[[#This Row],[DNI ]],RUBRO!$F$1:$O$88,3,FALSE)</f>
        <v>TEC-04</v>
      </c>
      <c r="G173" s="104" t="str">
        <f>VLOOKUP(Tabla1[[#This Row],[DNI ]],RUBRO!$F$1:$O$9996,5,FALSE)</f>
        <v>TECNICO MECANICO MONTAJISTA DE MAQUINARIA EXTRANJERA</v>
      </c>
      <c r="H173" s="66" t="str">
        <f>VLOOKUP(Tabla1[[#This Row],[DNI ]],RUBRO!$F$1:$O$9996,6,FALSE)</f>
        <v>VASQUEZ TARRILLO LUIS</v>
      </c>
      <c r="I173" s="94">
        <v>44325</v>
      </c>
      <c r="J173" s="10">
        <v>2</v>
      </c>
      <c r="K173" s="2">
        <v>44044783</v>
      </c>
      <c r="L173" s="4">
        <f>VLOOKUP(Tabla1[[#This Row],[DNI ]],RUBRO!$F$2:$O$9996,8,FALSE)</f>
        <v>70.92</v>
      </c>
      <c r="M173" s="88">
        <v>0.29166666666666669</v>
      </c>
      <c r="N173" s="28">
        <v>0.54166666666666663</v>
      </c>
      <c r="O173" s="28">
        <v>0.58333333333333337</v>
      </c>
      <c r="P173" s="28">
        <v>0.89583333333333337</v>
      </c>
      <c r="Q173" s="31">
        <f>(Tabla1[[#This Row],[SALIDA]]-Tabla1[[#This Row],[FIN ]])+(Tabla1[[#This Row],[INICIO]]-Tabla1[[#This Row],[INGRESO]])</f>
        <v>0.5625</v>
      </c>
      <c r="R173" s="13">
        <f t="shared" si="6"/>
        <v>0.33333333333333331</v>
      </c>
      <c r="S173" s="31">
        <f t="shared" si="7"/>
        <v>0.22916666666666669</v>
      </c>
      <c r="T173" s="136"/>
      <c r="U173" s="136"/>
      <c r="V173" s="137">
        <f>(Tabla1[[#This Row],[COS.BASE 3]]*0.25+Tabla1[[#This Row],[COS.BASE 3]])*Tabla1[[#This Row],[HORAS 25 % ]]</f>
        <v>0</v>
      </c>
      <c r="W173" s="138">
        <f>(Tabla1[[#This Row],[COS.BASE 3]]*0.35+Tabla1[[#This Row],[COS.BASE 3]])*Tabla1[[#This Row],[HORAS 35% ]]</f>
        <v>0</v>
      </c>
      <c r="X173" s="138">
        <f>SUM(Tabla1[[#This Row],[C.HORA.35]],Tabla1[[#This Row],[C.HORA.25]])</f>
        <v>0</v>
      </c>
      <c r="Y173" s="4"/>
      <c r="Z173" s="10">
        <f>Tabla1[[#This Row],[T.HORAS]]*24</f>
        <v>13.5</v>
      </c>
      <c r="AA173" s="4">
        <f>Tabla1[[#This Row],[H.NORMALES]]*24</f>
        <v>8</v>
      </c>
      <c r="AB173" s="10">
        <f>Tabla1[[#This Row],[H.EXTRAS]]*24</f>
        <v>5.5</v>
      </c>
      <c r="AC173" s="105">
        <f t="shared" si="8"/>
        <v>70.92</v>
      </c>
      <c r="AD173" s="120">
        <f>Tabla1[[#This Row],[COS.BASE 2]]/8</f>
        <v>8.8650000000000002</v>
      </c>
      <c r="AE173" s="105">
        <f>Tabla1[[#This Row],[CST_H_E]]+Tabla1[[#This Row],[COS.BASE 2]]</f>
        <v>70.92</v>
      </c>
      <c r="AF173" s="106">
        <f>+_xlfn.IFNA(INDEX(RUBRO!$W$2:$AA$732,MATCH(Tabla1[[#This Row],[FECHA ]],RUBRO!$W$2:$W$732,0),5)," ")</f>
        <v>0</v>
      </c>
      <c r="AG173" s="10">
        <f>+_xlfn.IFNA(INDEX(RUBRO!$W$2:$AA$732,MATCH(Tabla1[[#This Row],[FECHA ]],RUBRO!$W$2:$W$732,0),2)," ")</f>
        <v>1</v>
      </c>
      <c r="AH173" s="40">
        <f>IFERROR(Tabla1[[#This Row],[F]]*Tabla1[[#This Row],[COS.B+E]]," ")</f>
        <v>0</v>
      </c>
      <c r="AI173" s="40">
        <f>IFERROR(Tabla1[[#This Row],[COS.B+E]]*Tabla1[[#This Row],[D]]," ")</f>
        <v>70.92</v>
      </c>
      <c r="AJ173" s="40" t="str">
        <f>IFERROR(Tabla1[[#This Row],[F]]*#REF!," ")</f>
        <v xml:space="preserve"> </v>
      </c>
      <c r="AK173" s="40" t="str">
        <f>IFERROR(#REF!*Tabla1[[#This Row],[D]]," ")</f>
        <v xml:space="preserve"> </v>
      </c>
      <c r="AL173" s="103"/>
      <c r="AM173" s="103"/>
      <c r="AN173" s="103"/>
      <c r="AO173" s="38">
        <f>+Tabla1[[#This Row],[COS.B+E]]+Tabla1[[#This Row],[COS.F1]]+Tabla1[[#This Row],[COS.D1]]+Tabla1[[#This Row],[ALIMENTACION]]+Tabla1[[#This Row],[PRESTAMO]]+AN173</f>
        <v>141.84</v>
      </c>
      <c r="AP173" s="38" t="e">
        <f>+#REF!+Tabla1[[#This Row],[COS F2]]+Tabla1[[#This Row],[COS D2]]+Tabla1[[#This Row],[ALIMENTACION]]+Tabla1[[#This Row],[PRESTAMO]]+Tabla1[[#This Row],[PASAJES]]</f>
        <v>#REF!</v>
      </c>
    </row>
    <row r="174" spans="1:42" x14ac:dyDescent="0.25">
      <c r="A174" s="2" t="str">
        <f>TEXT(Tabla1[[#This Row],[FECHA ]],"DDDDD")</f>
        <v>domingo</v>
      </c>
      <c r="B174" s="2" t="str">
        <f>_xlfn.IFNA(VLOOKUP(Tabla1[[#This Row],[DESTINO]],RUBRO!$Q$1:$R$9996,2,FALSE)," ")</f>
        <v>DESCANSO</v>
      </c>
      <c r="C174" s="104">
        <f>WEEKNUM(Tabla1[[#This Row],[FECHA ]],2)</f>
        <v>19</v>
      </c>
      <c r="D174" s="104" t="str">
        <f>TEXT(Tabla1[[#This Row],[FECHA ]],"MMM-YY")</f>
        <v>may-YY</v>
      </c>
      <c r="E174" s="104" t="str">
        <f>VLOOKUP(Tabla1[[#This Row],[DNI ]],RUBRO!$F$1:$O$9996,7,FALSE)</f>
        <v>5ta</v>
      </c>
      <c r="F174" s="104" t="str">
        <f>VLOOKUP(Tabla1[[#This Row],[DNI ]],RUBRO!$F$1:$O$88,3,FALSE)</f>
        <v>MAEME-03</v>
      </c>
      <c r="G174" s="104" t="str">
        <f>VLOOKUP(Tabla1[[#This Row],[DNI ]],RUBRO!$F$1:$O$9996,5,FALSE)</f>
        <v>MAESTRO ELECTRICO MONTAJISTA DE MAQUINARIA EXTRANJERA</v>
      </c>
      <c r="H174" s="66" t="str">
        <f>VLOOKUP(Tabla1[[#This Row],[DNI ]],RUBRO!$F$1:$O$9996,6,FALSE)</f>
        <v xml:space="preserve">VELASQUEZ LIZA JOSE ROGELIO </v>
      </c>
      <c r="I174" s="94">
        <v>44325</v>
      </c>
      <c r="J174" s="10">
        <v>3</v>
      </c>
      <c r="K174" s="2">
        <v>44685832</v>
      </c>
      <c r="L174" s="4">
        <f>VLOOKUP(Tabla1[[#This Row],[DNI ]],RUBRO!$F$2:$O$9996,8,FALSE)</f>
        <v>88.47</v>
      </c>
      <c r="M174" s="88"/>
      <c r="N174" s="28"/>
      <c r="P174" s="28"/>
      <c r="Q174" s="31">
        <f>(Tabla1[[#This Row],[SALIDA]]-Tabla1[[#This Row],[FIN ]])+(Tabla1[[#This Row],[INICIO]]-Tabla1[[#This Row],[INGRESO]])</f>
        <v>0</v>
      </c>
      <c r="R174" s="13">
        <f t="shared" si="6"/>
        <v>0</v>
      </c>
      <c r="S174" s="31">
        <f t="shared" si="7"/>
        <v>0</v>
      </c>
      <c r="T174" s="136"/>
      <c r="U174" s="136"/>
      <c r="V174" s="137">
        <f>(Tabla1[[#This Row],[COS.BASE 3]]*0.25+Tabla1[[#This Row],[COS.BASE 3]])*Tabla1[[#This Row],[HORAS 25 % ]]</f>
        <v>0</v>
      </c>
      <c r="W174" s="138">
        <f>(Tabla1[[#This Row],[COS.BASE 3]]*0.35+Tabla1[[#This Row],[COS.BASE 3]])*Tabla1[[#This Row],[HORAS 35% ]]</f>
        <v>0</v>
      </c>
      <c r="X174" s="138">
        <f>SUM(Tabla1[[#This Row],[C.HORA.35]],Tabla1[[#This Row],[C.HORA.25]])</f>
        <v>0</v>
      </c>
      <c r="Y174" s="4"/>
      <c r="Z174" s="10">
        <f>Tabla1[[#This Row],[T.HORAS]]*24</f>
        <v>0</v>
      </c>
      <c r="AA174" s="4">
        <f>Tabla1[[#This Row],[H.NORMALES]]*24</f>
        <v>0</v>
      </c>
      <c r="AB174" s="10">
        <f>Tabla1[[#This Row],[H.EXTRAS]]*24</f>
        <v>0</v>
      </c>
      <c r="AC174" s="105">
        <f t="shared" si="8"/>
        <v>0</v>
      </c>
      <c r="AD174" s="120">
        <f>Tabla1[[#This Row],[COS.BASE 2]]/8</f>
        <v>0</v>
      </c>
      <c r="AE174" s="105">
        <f>Tabla1[[#This Row],[CST_H_E]]+Tabla1[[#This Row],[COS.BASE 2]]</f>
        <v>0</v>
      </c>
      <c r="AF174" s="106">
        <f>+_xlfn.IFNA(INDEX(RUBRO!$W$2:$AA$732,MATCH(Tabla1[[#This Row],[FECHA ]],RUBRO!$W$2:$W$732,0),5)," ")</f>
        <v>0</v>
      </c>
      <c r="AG174" s="10">
        <f>+_xlfn.IFNA(INDEX(RUBRO!$W$2:$AA$732,MATCH(Tabla1[[#This Row],[FECHA ]],RUBRO!$W$2:$W$732,0),2)," ")</f>
        <v>1</v>
      </c>
      <c r="AH174" s="40">
        <f>IFERROR(Tabla1[[#This Row],[F]]*Tabla1[[#This Row],[COS.B+E]]," ")</f>
        <v>0</v>
      </c>
      <c r="AI174" s="40">
        <f>IFERROR(Tabla1[[#This Row],[COS.B+E]]*Tabla1[[#This Row],[D]]," ")</f>
        <v>0</v>
      </c>
      <c r="AJ174" s="40" t="str">
        <f>IFERROR(Tabla1[[#This Row],[F]]*#REF!," ")</f>
        <v xml:space="preserve"> </v>
      </c>
      <c r="AK174" s="40" t="str">
        <f>IFERROR(#REF!*Tabla1[[#This Row],[D]]," ")</f>
        <v xml:space="preserve"> </v>
      </c>
      <c r="AL174" s="103"/>
      <c r="AM174" s="103"/>
      <c r="AN174" s="103"/>
      <c r="AO174" s="38">
        <f>+Tabla1[[#This Row],[COS.B+E]]+Tabla1[[#This Row],[COS.F1]]+Tabla1[[#This Row],[COS.D1]]+Tabla1[[#This Row],[ALIMENTACION]]+Tabla1[[#This Row],[PRESTAMO]]+AN174</f>
        <v>0</v>
      </c>
      <c r="AP174" s="38" t="e">
        <f>+#REF!+Tabla1[[#This Row],[COS F2]]+Tabla1[[#This Row],[COS D2]]+Tabla1[[#This Row],[ALIMENTACION]]+Tabla1[[#This Row],[PRESTAMO]]+Tabla1[[#This Row],[PASAJES]]</f>
        <v>#REF!</v>
      </c>
    </row>
    <row r="175" spans="1:42" x14ac:dyDescent="0.25">
      <c r="A175" s="2" t="str">
        <f>TEXT(Tabla1[[#This Row],[FECHA ]],"DDDDD")</f>
        <v>domingo</v>
      </c>
      <c r="B175" s="2" t="str">
        <f>_xlfn.IFNA(VLOOKUP(Tabla1[[#This Row],[DESTINO]],RUBRO!$Q$1:$R$9996,2,FALSE)," ")</f>
        <v>DESCANSO</v>
      </c>
      <c r="C175" s="104">
        <f>WEEKNUM(Tabla1[[#This Row],[FECHA ]],2)</f>
        <v>19</v>
      </c>
      <c r="D175" s="104" t="str">
        <f>TEXT(Tabla1[[#This Row],[FECHA ]],"MMM-YY")</f>
        <v>may-YY</v>
      </c>
      <c r="E175" s="104" t="str">
        <f>VLOOKUP(Tabla1[[#This Row],[DNI ]],RUBRO!$F$1:$O$9996,7,FALSE)</f>
        <v>5ta</v>
      </c>
      <c r="F175" s="104" t="str">
        <f>VLOOKUP(Tabla1[[#This Row],[DNI ]],RUBRO!$F$1:$O$88,3,FALSE)</f>
        <v>TEC-05</v>
      </c>
      <c r="G175" s="104" t="str">
        <f>VLOOKUP(Tabla1[[#This Row],[DNI ]],RUBRO!$F$1:$O$9996,5,FALSE)</f>
        <v>TECNICO MECANICO MONTAJISTA DE NAVE INDUSTRIAL</v>
      </c>
      <c r="H175" s="66" t="str">
        <f>VLOOKUP(Tabla1[[#This Row],[DNI ]],RUBRO!$F$1:$O$9996,6,FALSE)</f>
        <v>VENTURA CUBAS ALEXANDER JOHAN</v>
      </c>
      <c r="I175" s="94">
        <v>44325</v>
      </c>
      <c r="J175" s="10">
        <v>3</v>
      </c>
      <c r="K175" s="2">
        <v>47749907</v>
      </c>
      <c r="L175" s="4">
        <f>VLOOKUP(Tabla1[[#This Row],[DNI ]],RUBRO!$F$2:$O$9996,8,FALSE)</f>
        <v>80</v>
      </c>
      <c r="M175" s="88"/>
      <c r="N175" s="28"/>
      <c r="P175" s="28"/>
      <c r="Q175" s="31">
        <f>(Tabla1[[#This Row],[SALIDA]]-Tabla1[[#This Row],[FIN ]])+(Tabla1[[#This Row],[INICIO]]-Tabla1[[#This Row],[INGRESO]])</f>
        <v>0</v>
      </c>
      <c r="R175" s="13">
        <f t="shared" si="6"/>
        <v>0</v>
      </c>
      <c r="S175" s="31">
        <f t="shared" si="7"/>
        <v>0</v>
      </c>
      <c r="T175" s="136"/>
      <c r="U175" s="136"/>
      <c r="V175" s="137">
        <f>(Tabla1[[#This Row],[COS.BASE 3]]*0.25+Tabla1[[#This Row],[COS.BASE 3]])*Tabla1[[#This Row],[HORAS 25 % ]]</f>
        <v>0</v>
      </c>
      <c r="W175" s="138">
        <f>(Tabla1[[#This Row],[COS.BASE 3]]*0.35+Tabla1[[#This Row],[COS.BASE 3]])*Tabla1[[#This Row],[HORAS 35% ]]</f>
        <v>0</v>
      </c>
      <c r="X175" s="138">
        <f>SUM(Tabla1[[#This Row],[C.HORA.35]],Tabla1[[#This Row],[C.HORA.25]])</f>
        <v>0</v>
      </c>
      <c r="Y175" s="4"/>
      <c r="Z175" s="10">
        <f>Tabla1[[#This Row],[T.HORAS]]*24</f>
        <v>0</v>
      </c>
      <c r="AA175" s="4">
        <f>Tabla1[[#This Row],[H.NORMALES]]*24</f>
        <v>0</v>
      </c>
      <c r="AB175" s="10">
        <f>Tabla1[[#This Row],[H.EXTRAS]]*24</f>
        <v>0</v>
      </c>
      <c r="AC175" s="105">
        <f t="shared" si="8"/>
        <v>0</v>
      </c>
      <c r="AD175" s="120">
        <f>Tabla1[[#This Row],[COS.BASE 2]]/8</f>
        <v>0</v>
      </c>
      <c r="AE175" s="105">
        <f>Tabla1[[#This Row],[CST_H_E]]+Tabla1[[#This Row],[COS.BASE 2]]</f>
        <v>0</v>
      </c>
      <c r="AF175" s="106">
        <f>+_xlfn.IFNA(INDEX(RUBRO!$W$2:$AA$732,MATCH(Tabla1[[#This Row],[FECHA ]],RUBRO!$W$2:$W$732,0),5)," ")</f>
        <v>0</v>
      </c>
      <c r="AG175" s="10">
        <f>+_xlfn.IFNA(INDEX(RUBRO!$W$2:$AA$732,MATCH(Tabla1[[#This Row],[FECHA ]],RUBRO!$W$2:$W$732,0),2)," ")</f>
        <v>1</v>
      </c>
      <c r="AH175" s="40">
        <f>IFERROR(Tabla1[[#This Row],[F]]*Tabla1[[#This Row],[COS.B+E]]," ")</f>
        <v>0</v>
      </c>
      <c r="AI175" s="40">
        <f>IFERROR(Tabla1[[#This Row],[COS.B+E]]*Tabla1[[#This Row],[D]]," ")</f>
        <v>0</v>
      </c>
      <c r="AJ175" s="40" t="str">
        <f>IFERROR(Tabla1[[#This Row],[F]]*#REF!," ")</f>
        <v xml:space="preserve"> </v>
      </c>
      <c r="AK175" s="40" t="str">
        <f>IFERROR(#REF!*Tabla1[[#This Row],[D]]," ")</f>
        <v xml:space="preserve"> </v>
      </c>
      <c r="AL175" s="103"/>
      <c r="AM175" s="103"/>
      <c r="AN175" s="103"/>
      <c r="AO175" s="38">
        <f>+Tabla1[[#This Row],[COS.B+E]]+Tabla1[[#This Row],[COS.F1]]+Tabla1[[#This Row],[COS.D1]]+Tabla1[[#This Row],[ALIMENTACION]]+Tabla1[[#This Row],[PRESTAMO]]+AN175</f>
        <v>0</v>
      </c>
      <c r="AP175" s="38" t="e">
        <f>+#REF!+Tabla1[[#This Row],[COS F2]]+Tabla1[[#This Row],[COS D2]]+Tabla1[[#This Row],[ALIMENTACION]]+Tabla1[[#This Row],[PRESTAMO]]+Tabla1[[#This Row],[PASAJES]]</f>
        <v>#REF!</v>
      </c>
    </row>
    <row r="176" spans="1:42" x14ac:dyDescent="0.25">
      <c r="A176" s="2" t="str">
        <f>TEXT(Tabla1[[#This Row],[FECHA ]],"DDDDD")</f>
        <v>domingo</v>
      </c>
      <c r="B176" s="2" t="str">
        <f>_xlfn.IFNA(VLOOKUP(Tabla1[[#This Row],[DESTINO]],RUBRO!$Q$1:$R$9996,2,FALSE)," ")</f>
        <v>DESCANSO</v>
      </c>
      <c r="C176" s="104">
        <f>WEEKNUM(Tabla1[[#This Row],[FECHA ]],2)</f>
        <v>19</v>
      </c>
      <c r="D176" s="104" t="str">
        <f>TEXT(Tabla1[[#This Row],[FECHA ]],"MMM-YY")</f>
        <v>may-YY</v>
      </c>
      <c r="E176" s="104" t="str">
        <f>VLOOKUP(Tabla1[[#This Row],[DNI ]],RUBRO!$F$1:$O$9996,7,FALSE)</f>
        <v>5ta</v>
      </c>
      <c r="F176" s="104" t="str">
        <f>VLOOKUP(Tabla1[[#This Row],[DNI ]],RUBRO!$F$1:$O$88,3,FALSE)</f>
        <v>MAE-08</v>
      </c>
      <c r="G176" s="104" t="str">
        <f>VLOOKUP(Tabla1[[#This Row],[DNI ]],RUBRO!$F$1:$O$9996,5,FALSE)</f>
        <v>MAESTRO PINTOR</v>
      </c>
      <c r="H176" s="66" t="str">
        <f>VLOOKUP(Tabla1[[#This Row],[DNI ]],RUBRO!$F$1:$O$9996,6,FALSE)</f>
        <v>ZETA DELGADO DERWIS YENNER</v>
      </c>
      <c r="I176" s="94">
        <v>44325</v>
      </c>
      <c r="J176" s="10">
        <v>3</v>
      </c>
      <c r="K176" s="2">
        <v>46859101</v>
      </c>
      <c r="L176" s="4">
        <f>VLOOKUP(Tabla1[[#This Row],[DNI ]],RUBRO!$F$2:$O$9996,8,FALSE)</f>
        <v>70</v>
      </c>
      <c r="M176" s="88"/>
      <c r="N176" s="28"/>
      <c r="P176" s="28"/>
      <c r="Q176" s="31">
        <f>(Tabla1[[#This Row],[SALIDA]]-Tabla1[[#This Row],[FIN ]])+(Tabla1[[#This Row],[INICIO]]-Tabla1[[#This Row],[INGRESO]])</f>
        <v>0</v>
      </c>
      <c r="R176" s="13">
        <f t="shared" si="6"/>
        <v>0</v>
      </c>
      <c r="S176" s="31">
        <f t="shared" si="7"/>
        <v>0</v>
      </c>
      <c r="T176" s="136"/>
      <c r="U176" s="136"/>
      <c r="V176" s="137">
        <f>(Tabla1[[#This Row],[COS.BASE 3]]*0.25+Tabla1[[#This Row],[COS.BASE 3]])*Tabla1[[#This Row],[HORAS 25 % ]]</f>
        <v>0</v>
      </c>
      <c r="W176" s="138">
        <f>(Tabla1[[#This Row],[COS.BASE 3]]*0.35+Tabla1[[#This Row],[COS.BASE 3]])*Tabla1[[#This Row],[HORAS 35% ]]</f>
        <v>0</v>
      </c>
      <c r="X176" s="138">
        <f>SUM(Tabla1[[#This Row],[C.HORA.35]],Tabla1[[#This Row],[C.HORA.25]])</f>
        <v>0</v>
      </c>
      <c r="Y176" s="4"/>
      <c r="Z176" s="10">
        <f>Tabla1[[#This Row],[T.HORAS]]*24</f>
        <v>0</v>
      </c>
      <c r="AA176" s="4">
        <f>Tabla1[[#This Row],[H.NORMALES]]*24</f>
        <v>0</v>
      </c>
      <c r="AB176" s="10">
        <f>Tabla1[[#This Row],[H.EXTRAS]]*24</f>
        <v>0</v>
      </c>
      <c r="AC176" s="105">
        <f t="shared" si="8"/>
        <v>0</v>
      </c>
      <c r="AD176" s="120">
        <f>Tabla1[[#This Row],[COS.BASE 2]]/8</f>
        <v>0</v>
      </c>
      <c r="AE176" s="105">
        <f>Tabla1[[#This Row],[CST_H_E]]+Tabla1[[#This Row],[COS.BASE 2]]</f>
        <v>0</v>
      </c>
      <c r="AF176" s="106">
        <f>+_xlfn.IFNA(INDEX(RUBRO!$W$2:$AA$732,MATCH(Tabla1[[#This Row],[FECHA ]],RUBRO!$W$2:$W$732,0),5)," ")</f>
        <v>0</v>
      </c>
      <c r="AG176" s="10">
        <f>+_xlfn.IFNA(INDEX(RUBRO!$W$2:$AA$732,MATCH(Tabla1[[#This Row],[FECHA ]],RUBRO!$W$2:$W$732,0),2)," ")</f>
        <v>1</v>
      </c>
      <c r="AH176" s="40">
        <f>IFERROR(Tabla1[[#This Row],[F]]*Tabla1[[#This Row],[COS.B+E]]," ")</f>
        <v>0</v>
      </c>
      <c r="AI176" s="40">
        <f>IFERROR(Tabla1[[#This Row],[COS.B+E]]*Tabla1[[#This Row],[D]]," ")</f>
        <v>0</v>
      </c>
      <c r="AJ176" s="40" t="str">
        <f>IFERROR(Tabla1[[#This Row],[F]]*#REF!," ")</f>
        <v xml:space="preserve"> </v>
      </c>
      <c r="AK176" s="40" t="str">
        <f>IFERROR(#REF!*Tabla1[[#This Row],[D]]," ")</f>
        <v xml:space="preserve"> </v>
      </c>
      <c r="AL176" s="103"/>
      <c r="AM176" s="103"/>
      <c r="AN176" s="103"/>
      <c r="AO176" s="38">
        <f>+Tabla1[[#This Row],[COS.B+E]]+Tabla1[[#This Row],[COS.F1]]+Tabla1[[#This Row],[COS.D1]]+Tabla1[[#This Row],[ALIMENTACION]]+Tabla1[[#This Row],[PRESTAMO]]+AN176</f>
        <v>0</v>
      </c>
      <c r="AP176" s="38" t="e">
        <f>+#REF!+Tabla1[[#This Row],[COS F2]]+Tabla1[[#This Row],[COS D2]]+Tabla1[[#This Row],[ALIMENTACION]]+Tabla1[[#This Row],[PRESTAMO]]+Tabla1[[#This Row],[PASAJES]]</f>
        <v>#REF!</v>
      </c>
    </row>
    <row r="177" spans="1:42" x14ac:dyDescent="0.25">
      <c r="A177" s="2" t="str">
        <f>TEXT(Tabla1[[#This Row],[FECHA ]],"DDDDD")</f>
        <v>lunes</v>
      </c>
      <c r="B177" s="2" t="str">
        <f>_xlfn.IFNA(VLOOKUP(Tabla1[[#This Row],[DESTINO]],RUBRO!$Q$1:$R$9996,2,FALSE)," ")</f>
        <v>PLANTA</v>
      </c>
      <c r="C177" s="104">
        <f>WEEKNUM(Tabla1[[#This Row],[FECHA ]],2)</f>
        <v>20</v>
      </c>
      <c r="D177" s="104" t="str">
        <f>TEXT(Tabla1[[#This Row],[FECHA ]],"MMM-YY")</f>
        <v>may-YY</v>
      </c>
      <c r="E177" s="104" t="str">
        <f>VLOOKUP(Tabla1[[#This Row],[DNI ]],RUBRO!$F$1:$O$9996,7,FALSE)</f>
        <v>5ta</v>
      </c>
      <c r="F177" s="104" t="str">
        <f>VLOOKUP(Tabla1[[#This Row],[DNI ]],RUBRO!$F$1:$O$88,3,FALSE)</f>
        <v>TEC-02</v>
      </c>
      <c r="G177" s="104" t="str">
        <f>VLOOKUP(Tabla1[[#This Row],[DNI ]],RUBRO!$F$1:$O$9996,5,FALSE)</f>
        <v>TECNICO MECANICO MONTAJISTA DE MAQUINARIA</v>
      </c>
      <c r="H177" s="66" t="str">
        <f>VLOOKUP(Tabla1[[#This Row],[DNI ]],RUBRO!$F$1:$O$9996,6,FALSE)</f>
        <v>ALVAREZ ALVINES JUAN MANUEL</v>
      </c>
      <c r="I177" s="94">
        <v>44326</v>
      </c>
      <c r="J177" s="10">
        <v>1</v>
      </c>
      <c r="K177" s="2">
        <v>46108491</v>
      </c>
      <c r="L177" s="4">
        <f>VLOOKUP(Tabla1[[#This Row],[DNI ]],RUBRO!$F$2:$O$9996,8,FALSE)</f>
        <v>50</v>
      </c>
      <c r="M177" s="88">
        <v>0.29166666666666669</v>
      </c>
      <c r="N177" s="28">
        <v>0.54166666666666663</v>
      </c>
      <c r="O177" s="28">
        <v>0.58333333333333337</v>
      </c>
      <c r="P177" s="28">
        <v>0.70833333333333337</v>
      </c>
      <c r="Q177" s="31">
        <f>(Tabla1[[#This Row],[SALIDA]]-Tabla1[[#This Row],[FIN ]])+(Tabla1[[#This Row],[INICIO]]-Tabla1[[#This Row],[INGRESO]])</f>
        <v>0.37499999999999994</v>
      </c>
      <c r="R177" s="13">
        <f t="shared" si="6"/>
        <v>0.37499999999999994</v>
      </c>
      <c r="S177" s="31">
        <f t="shared" si="7"/>
        <v>0</v>
      </c>
      <c r="T177" s="136"/>
      <c r="U177" s="136"/>
      <c r="V177" s="137">
        <f>(Tabla1[[#This Row],[COS.BASE 3]]*0.25+Tabla1[[#This Row],[COS.BASE 3]])*Tabla1[[#This Row],[HORAS 25 % ]]</f>
        <v>0</v>
      </c>
      <c r="W177" s="138">
        <f>(Tabla1[[#This Row],[COS.BASE 3]]*0.35+Tabla1[[#This Row],[COS.BASE 3]])*Tabla1[[#This Row],[HORAS 35% ]]</f>
        <v>0</v>
      </c>
      <c r="X177" s="138">
        <f>SUM(Tabla1[[#This Row],[C.HORA.35]],Tabla1[[#This Row],[C.HORA.25]])</f>
        <v>0</v>
      </c>
      <c r="Y177" s="4"/>
      <c r="Z177" s="10">
        <f>Tabla1[[#This Row],[T.HORAS]]*24</f>
        <v>8.9999999999999982</v>
      </c>
      <c r="AA177" s="4">
        <f>Tabla1[[#This Row],[H.NORMALES]]*24</f>
        <v>8.9999999999999982</v>
      </c>
      <c r="AB177" s="10">
        <f>Tabla1[[#This Row],[H.EXTRAS]]*24</f>
        <v>0</v>
      </c>
      <c r="AC177" s="105">
        <f t="shared" si="8"/>
        <v>49.999999999999986</v>
      </c>
      <c r="AD177" s="120">
        <f>Tabla1[[#This Row],[COS.BASE 2]]/8</f>
        <v>6.2499999999999982</v>
      </c>
      <c r="AE177" s="105">
        <f>Tabla1[[#This Row],[CST_H_E]]+Tabla1[[#This Row],[COS.BASE 2]]</f>
        <v>49.999999999999986</v>
      </c>
      <c r="AF177" s="106">
        <f>+_xlfn.IFNA(INDEX(RUBRO!$W$2:$AA$732,MATCH(Tabla1[[#This Row],[FECHA ]],RUBRO!$W$2:$W$732,0),5)," ")</f>
        <v>0</v>
      </c>
      <c r="AG177" s="10">
        <f>+_xlfn.IFNA(INDEX(RUBRO!$W$2:$AA$732,MATCH(Tabla1[[#This Row],[FECHA ]],RUBRO!$W$2:$W$732,0),2)," ")</f>
        <v>0</v>
      </c>
      <c r="AH177" s="40">
        <f>IFERROR(Tabla1[[#This Row],[F]]*Tabla1[[#This Row],[COS.B+E]]," ")</f>
        <v>0</v>
      </c>
      <c r="AI177" s="40">
        <f>IFERROR(Tabla1[[#This Row],[COS.B+E]]*Tabla1[[#This Row],[D]]," ")</f>
        <v>0</v>
      </c>
      <c r="AJ177" s="40" t="str">
        <f>IFERROR(Tabla1[[#This Row],[F]]*#REF!," ")</f>
        <v xml:space="preserve"> </v>
      </c>
      <c r="AK177" s="40" t="str">
        <f>IFERROR(#REF!*Tabla1[[#This Row],[D]]," ")</f>
        <v xml:space="preserve"> </v>
      </c>
      <c r="AL177" s="103"/>
      <c r="AM177" s="103"/>
      <c r="AN177" s="103"/>
      <c r="AO177" s="38">
        <f>+Tabla1[[#This Row],[COS.B+E]]+Tabla1[[#This Row],[COS.F1]]+Tabla1[[#This Row],[COS.D1]]+Tabla1[[#This Row],[ALIMENTACION]]+Tabla1[[#This Row],[PRESTAMO]]+AN177</f>
        <v>49.999999999999986</v>
      </c>
      <c r="AP177" s="38" t="e">
        <f>+#REF!+Tabla1[[#This Row],[COS F2]]+Tabla1[[#This Row],[COS D2]]+Tabla1[[#This Row],[ALIMENTACION]]+Tabla1[[#This Row],[PRESTAMO]]+Tabla1[[#This Row],[PASAJES]]</f>
        <v>#REF!</v>
      </c>
    </row>
    <row r="178" spans="1:42" x14ac:dyDescent="0.25">
      <c r="A178" s="2" t="str">
        <f>TEXT(Tabla1[[#This Row],[FECHA ]],"DDDDD")</f>
        <v>lunes</v>
      </c>
      <c r="B178" s="2" t="str">
        <f>_xlfn.IFNA(VLOOKUP(Tabla1[[#This Row],[DESTINO]],RUBRO!$Q$1:$R$9996,2,FALSE)," ")</f>
        <v>PLANTA</v>
      </c>
      <c r="C178" s="104">
        <f>WEEKNUM(Tabla1[[#This Row],[FECHA ]],2)</f>
        <v>20</v>
      </c>
      <c r="D178" s="104" t="str">
        <f>TEXT(Tabla1[[#This Row],[FECHA ]],"MMM-YY")</f>
        <v>may-YY</v>
      </c>
      <c r="E178" s="104" t="str">
        <f>VLOOKUP(Tabla1[[#This Row],[DNI ]],RUBRO!$F$1:$O$9996,7,FALSE)</f>
        <v>4ta</v>
      </c>
      <c r="F178" s="104" t="str">
        <f>VLOOKUP(Tabla1[[#This Row],[DNI ]],RUBRO!$F$1:$O$88,3,FALSE)</f>
        <v>OPE-03</v>
      </c>
      <c r="G178" s="104" t="str">
        <f>VLOOKUP(Tabla1[[#This Row],[DNI ]],RUBRO!$F$1:$O$9996,5,FALSE)</f>
        <v>OPERARIO ELECTRICO</v>
      </c>
      <c r="H178" s="66" t="str">
        <f>VLOOKUP(Tabla1[[#This Row],[DNI ]],RUBRO!$F$1:$O$9996,6,FALSE)</f>
        <v>AYALA RAMIREZ RUBEN ISAI</v>
      </c>
      <c r="I178" s="94">
        <v>44326</v>
      </c>
      <c r="J178" s="10">
        <v>1</v>
      </c>
      <c r="K178" s="2">
        <v>75557820</v>
      </c>
      <c r="L178" s="4">
        <f>VLOOKUP(Tabla1[[#This Row],[DNI ]],RUBRO!$F$2:$O$9996,8,FALSE)</f>
        <v>50</v>
      </c>
      <c r="M178" s="88">
        <v>0.29166666666666669</v>
      </c>
      <c r="N178" s="28">
        <v>0.54166666666666663</v>
      </c>
      <c r="O178" s="28">
        <v>0.58333333333333337</v>
      </c>
      <c r="P178" s="28">
        <v>0.70833333333333337</v>
      </c>
      <c r="Q178" s="31">
        <f>(Tabla1[[#This Row],[SALIDA]]-Tabla1[[#This Row],[FIN ]])+(Tabla1[[#This Row],[INICIO]]-Tabla1[[#This Row],[INGRESO]])</f>
        <v>0.37499999999999994</v>
      </c>
      <c r="R178" s="13">
        <f t="shared" si="6"/>
        <v>0.37499999999999994</v>
      </c>
      <c r="S178" s="31">
        <f t="shared" si="7"/>
        <v>0</v>
      </c>
      <c r="T178" s="136"/>
      <c r="U178" s="136"/>
      <c r="V178" s="137">
        <f>(Tabla1[[#This Row],[COS.BASE 3]]*0.25+Tabla1[[#This Row],[COS.BASE 3]])*Tabla1[[#This Row],[HORAS 25 % ]]</f>
        <v>0</v>
      </c>
      <c r="W178" s="138">
        <f>(Tabla1[[#This Row],[COS.BASE 3]]*0.35+Tabla1[[#This Row],[COS.BASE 3]])*Tabla1[[#This Row],[HORAS 35% ]]</f>
        <v>0</v>
      </c>
      <c r="X178" s="138">
        <f>SUM(Tabla1[[#This Row],[C.HORA.35]],Tabla1[[#This Row],[C.HORA.25]])</f>
        <v>0</v>
      </c>
      <c r="Y178" s="4"/>
      <c r="Z178" s="10">
        <f>Tabla1[[#This Row],[T.HORAS]]*24</f>
        <v>8.9999999999999982</v>
      </c>
      <c r="AA178" s="4">
        <f>Tabla1[[#This Row],[H.NORMALES]]*24</f>
        <v>8.9999999999999982</v>
      </c>
      <c r="AB178" s="10">
        <f>Tabla1[[#This Row],[H.EXTRAS]]*24</f>
        <v>0</v>
      </c>
      <c r="AC178" s="105">
        <f t="shared" si="8"/>
        <v>49.999999999999986</v>
      </c>
      <c r="AD178" s="120">
        <f>Tabla1[[#This Row],[COS.BASE 2]]/8</f>
        <v>6.2499999999999982</v>
      </c>
      <c r="AE178" s="105">
        <f>Tabla1[[#This Row],[CST_H_E]]+Tabla1[[#This Row],[COS.BASE 2]]</f>
        <v>49.999999999999986</v>
      </c>
      <c r="AF178" s="106">
        <f>+_xlfn.IFNA(INDEX(RUBRO!$W$2:$AA$732,MATCH(Tabla1[[#This Row],[FECHA ]],RUBRO!$W$2:$W$732,0),5)," ")</f>
        <v>0</v>
      </c>
      <c r="AG178" s="10">
        <f>+_xlfn.IFNA(INDEX(RUBRO!$W$2:$AA$732,MATCH(Tabla1[[#This Row],[FECHA ]],RUBRO!$W$2:$W$732,0),2)," ")</f>
        <v>0</v>
      </c>
      <c r="AH178" s="40">
        <f>IFERROR(Tabla1[[#This Row],[F]]*Tabla1[[#This Row],[COS.B+E]]," ")</f>
        <v>0</v>
      </c>
      <c r="AI178" s="40">
        <f>IFERROR(Tabla1[[#This Row],[COS.B+E]]*Tabla1[[#This Row],[D]]," ")</f>
        <v>0</v>
      </c>
      <c r="AJ178" s="40" t="str">
        <f>IFERROR(Tabla1[[#This Row],[F]]*#REF!," ")</f>
        <v xml:space="preserve"> </v>
      </c>
      <c r="AK178" s="40" t="str">
        <f>IFERROR(#REF!*Tabla1[[#This Row],[D]]," ")</f>
        <v xml:space="preserve"> </v>
      </c>
      <c r="AL178" s="103"/>
      <c r="AM178" s="103"/>
      <c r="AN178" s="103"/>
      <c r="AO178" s="38">
        <f>+Tabla1[[#This Row],[COS.B+E]]+Tabla1[[#This Row],[COS.F1]]+Tabla1[[#This Row],[COS.D1]]+Tabla1[[#This Row],[ALIMENTACION]]+Tabla1[[#This Row],[PRESTAMO]]+AN178</f>
        <v>49.999999999999986</v>
      </c>
      <c r="AP178" s="38" t="e">
        <f>+#REF!+Tabla1[[#This Row],[COS F2]]+Tabla1[[#This Row],[COS D2]]+Tabla1[[#This Row],[ALIMENTACION]]+Tabla1[[#This Row],[PRESTAMO]]+Tabla1[[#This Row],[PASAJES]]</f>
        <v>#REF!</v>
      </c>
    </row>
    <row r="179" spans="1:42" x14ac:dyDescent="0.25">
      <c r="A179" s="2" t="str">
        <f>TEXT(Tabla1[[#This Row],[FECHA ]],"DDDDD")</f>
        <v>lunes</v>
      </c>
      <c r="B179" s="2" t="str">
        <f>_xlfn.IFNA(VLOOKUP(Tabla1[[#This Row],[DESTINO]],RUBRO!$Q$1:$R$9996,2,FALSE)," ")</f>
        <v>OBRA</v>
      </c>
      <c r="C179" s="104">
        <f>WEEKNUM(Tabla1[[#This Row],[FECHA ]],2)</f>
        <v>20</v>
      </c>
      <c r="D179" s="104" t="str">
        <f>TEXT(Tabla1[[#This Row],[FECHA ]],"MMM-YY")</f>
        <v>may-YY</v>
      </c>
      <c r="E179" s="104" t="str">
        <f>VLOOKUP(Tabla1[[#This Row],[DNI ]],RUBRO!$F$1:$O$9996,7,FALSE)</f>
        <v>5ta</v>
      </c>
      <c r="F179" s="104" t="str">
        <f>VLOOKUP(Tabla1[[#This Row],[DNI ]],RUBRO!$F$1:$O$88,3,FALSE)</f>
        <v>OPE-03</v>
      </c>
      <c r="G179" s="104" t="str">
        <f>VLOOKUP(Tabla1[[#This Row],[DNI ]],RUBRO!$F$1:$O$9996,5,FALSE)</f>
        <v>OPERARIO ELECTRICO</v>
      </c>
      <c r="H179" s="66" t="str">
        <f>VLOOKUP(Tabla1[[#This Row],[DNI ]],RUBRO!$F$1:$O$9996,6,FALSE)</f>
        <v>BARRAGAN SALAZAR JHONATAN PEDRO</v>
      </c>
      <c r="I179" s="94">
        <v>44326</v>
      </c>
      <c r="J179" s="10">
        <v>2</v>
      </c>
      <c r="K179" s="2">
        <v>46801821</v>
      </c>
      <c r="L179" s="4">
        <f>VLOOKUP(Tabla1[[#This Row],[DNI ]],RUBRO!$F$2:$O$9996,8,FALSE)</f>
        <v>43.5</v>
      </c>
      <c r="M179" s="88">
        <v>0.29166666666666669</v>
      </c>
      <c r="N179" s="28">
        <v>0.54166666666666663</v>
      </c>
      <c r="O179" s="28">
        <v>0.58333333333333337</v>
      </c>
      <c r="P179" s="28">
        <v>0.75</v>
      </c>
      <c r="Q179" s="31">
        <f>(Tabla1[[#This Row],[SALIDA]]-Tabla1[[#This Row],[FIN ]])+(Tabla1[[#This Row],[INICIO]]-Tabla1[[#This Row],[INGRESO]])</f>
        <v>0.41666666666666657</v>
      </c>
      <c r="R179" s="13">
        <f t="shared" si="6"/>
        <v>0.33333333333333331</v>
      </c>
      <c r="S179" s="31">
        <f t="shared" si="7"/>
        <v>8.3333333333333259E-2</v>
      </c>
      <c r="T179" s="136"/>
      <c r="U179" s="136"/>
      <c r="V179" s="137">
        <f>(Tabla1[[#This Row],[COS.BASE 3]]*0.25+Tabla1[[#This Row],[COS.BASE 3]])*Tabla1[[#This Row],[HORAS 25 % ]]</f>
        <v>0</v>
      </c>
      <c r="W179" s="138">
        <f>(Tabla1[[#This Row],[COS.BASE 3]]*0.35+Tabla1[[#This Row],[COS.BASE 3]])*Tabla1[[#This Row],[HORAS 35% ]]</f>
        <v>0</v>
      </c>
      <c r="X179" s="138">
        <f>SUM(Tabla1[[#This Row],[C.HORA.35]],Tabla1[[#This Row],[C.HORA.25]])</f>
        <v>0</v>
      </c>
      <c r="Y179" s="4"/>
      <c r="Z179" s="10">
        <f>Tabla1[[#This Row],[T.HORAS]]*24</f>
        <v>9.9999999999999982</v>
      </c>
      <c r="AA179" s="4">
        <f>Tabla1[[#This Row],[H.NORMALES]]*24</f>
        <v>8</v>
      </c>
      <c r="AB179" s="10">
        <f>Tabla1[[#This Row],[H.EXTRAS]]*24</f>
        <v>1.9999999999999982</v>
      </c>
      <c r="AC179" s="105">
        <f t="shared" si="8"/>
        <v>43.5</v>
      </c>
      <c r="AD179" s="120">
        <f>Tabla1[[#This Row],[COS.BASE 2]]/8</f>
        <v>5.4375</v>
      </c>
      <c r="AE179" s="105">
        <f>Tabla1[[#This Row],[CST_H_E]]+Tabla1[[#This Row],[COS.BASE 2]]</f>
        <v>43.5</v>
      </c>
      <c r="AF179" s="106">
        <f>+_xlfn.IFNA(INDEX(RUBRO!$W$2:$AA$732,MATCH(Tabla1[[#This Row],[FECHA ]],RUBRO!$W$2:$W$732,0),5)," ")</f>
        <v>0</v>
      </c>
      <c r="AG179" s="10">
        <f>+_xlfn.IFNA(INDEX(RUBRO!$W$2:$AA$732,MATCH(Tabla1[[#This Row],[FECHA ]],RUBRO!$W$2:$W$732,0),2)," ")</f>
        <v>0</v>
      </c>
      <c r="AH179" s="40">
        <f>IFERROR(Tabla1[[#This Row],[F]]*Tabla1[[#This Row],[COS.B+E]]," ")</f>
        <v>0</v>
      </c>
      <c r="AI179" s="40">
        <f>IFERROR(Tabla1[[#This Row],[COS.B+E]]*Tabla1[[#This Row],[D]]," ")</f>
        <v>0</v>
      </c>
      <c r="AJ179" s="40" t="str">
        <f>IFERROR(Tabla1[[#This Row],[F]]*#REF!," ")</f>
        <v xml:space="preserve"> </v>
      </c>
      <c r="AK179" s="40" t="str">
        <f>IFERROR(#REF!*Tabla1[[#This Row],[D]]," ")</f>
        <v xml:space="preserve"> </v>
      </c>
      <c r="AL179" s="103"/>
      <c r="AM179" s="103"/>
      <c r="AN179" s="103"/>
      <c r="AO179" s="38">
        <f>+Tabla1[[#This Row],[COS.B+E]]+Tabla1[[#This Row],[COS.F1]]+Tabla1[[#This Row],[COS.D1]]+Tabla1[[#This Row],[ALIMENTACION]]+Tabla1[[#This Row],[PRESTAMO]]+AN179</f>
        <v>43.5</v>
      </c>
      <c r="AP179" s="38" t="e">
        <f>+#REF!+Tabla1[[#This Row],[COS F2]]+Tabla1[[#This Row],[COS D2]]+Tabla1[[#This Row],[ALIMENTACION]]+Tabla1[[#This Row],[PRESTAMO]]+Tabla1[[#This Row],[PASAJES]]</f>
        <v>#REF!</v>
      </c>
    </row>
    <row r="180" spans="1:42" x14ac:dyDescent="0.25">
      <c r="A180" s="2" t="str">
        <f>TEXT(Tabla1[[#This Row],[FECHA ]],"DDDDD")</f>
        <v>lunes</v>
      </c>
      <c r="B180" s="2" t="str">
        <f>_xlfn.IFNA(VLOOKUP(Tabla1[[#This Row],[DESTINO]],RUBRO!$Q$1:$R$9996,2,FALSE)," ")</f>
        <v>PLANTA</v>
      </c>
      <c r="C180" s="104">
        <f>WEEKNUM(Tabla1[[#This Row],[FECHA ]],2)</f>
        <v>20</v>
      </c>
      <c r="D180" s="104" t="str">
        <f>TEXT(Tabla1[[#This Row],[FECHA ]],"MMM-YY")</f>
        <v>may-YY</v>
      </c>
      <c r="E180" s="104" t="str">
        <f>VLOOKUP(Tabla1[[#This Row],[DNI ]],RUBRO!$F$1:$O$9996,7,FALSE)</f>
        <v>5ta</v>
      </c>
      <c r="F180" s="104" t="str">
        <f>VLOOKUP(Tabla1[[#This Row],[DNI ]],RUBRO!$F$1:$O$88,3,FALSE)</f>
        <v>OPE-01</v>
      </c>
      <c r="G180" s="104" t="str">
        <f>VLOOKUP(Tabla1[[#This Row],[DNI ]],RUBRO!$F$1:$O$9996,5,FALSE)</f>
        <v>OPERARIO SOLDADOR</v>
      </c>
      <c r="H180" s="66" t="str">
        <f>VLOOKUP(Tabla1[[#This Row],[DNI ]],RUBRO!$F$1:$O$9996,6,FALSE)</f>
        <v>BENDEZU PISCO JORGE GUILLERMO</v>
      </c>
      <c r="I180" s="94">
        <v>44326</v>
      </c>
      <c r="J180" s="10">
        <v>1</v>
      </c>
      <c r="K180" s="2">
        <v>10664396</v>
      </c>
      <c r="L180" s="4">
        <f>VLOOKUP(Tabla1[[#This Row],[DNI ]],RUBRO!$F$2:$O$9996,8,FALSE)</f>
        <v>60</v>
      </c>
      <c r="M180" s="88">
        <v>0.29166666666666669</v>
      </c>
      <c r="N180" s="28">
        <v>0.54166666666666663</v>
      </c>
      <c r="O180" s="28">
        <v>0.58333333333333337</v>
      </c>
      <c r="P180" s="28">
        <v>0.70833333333333337</v>
      </c>
      <c r="Q180" s="31">
        <f>(Tabla1[[#This Row],[SALIDA]]-Tabla1[[#This Row],[FIN ]])+(Tabla1[[#This Row],[INICIO]]-Tabla1[[#This Row],[INGRESO]])</f>
        <v>0.37499999999999994</v>
      </c>
      <c r="R180" s="13">
        <f t="shared" si="6"/>
        <v>0.37499999999999994</v>
      </c>
      <c r="S180" s="31">
        <f t="shared" si="7"/>
        <v>0</v>
      </c>
      <c r="T180" s="136"/>
      <c r="U180" s="136"/>
      <c r="V180" s="137">
        <f>(Tabla1[[#This Row],[COS.BASE 3]]*0.25+Tabla1[[#This Row],[COS.BASE 3]])*Tabla1[[#This Row],[HORAS 25 % ]]</f>
        <v>0</v>
      </c>
      <c r="W180" s="138">
        <f>(Tabla1[[#This Row],[COS.BASE 3]]*0.35+Tabla1[[#This Row],[COS.BASE 3]])*Tabla1[[#This Row],[HORAS 35% ]]</f>
        <v>0</v>
      </c>
      <c r="X180" s="138">
        <f>SUM(Tabla1[[#This Row],[C.HORA.35]],Tabla1[[#This Row],[C.HORA.25]])</f>
        <v>0</v>
      </c>
      <c r="Y180" s="4"/>
      <c r="Z180" s="10">
        <f>Tabla1[[#This Row],[T.HORAS]]*24</f>
        <v>8.9999999999999982</v>
      </c>
      <c r="AA180" s="4">
        <f>Tabla1[[#This Row],[H.NORMALES]]*24</f>
        <v>8.9999999999999982</v>
      </c>
      <c r="AB180" s="10">
        <f>Tabla1[[#This Row],[H.EXTRAS]]*24</f>
        <v>0</v>
      </c>
      <c r="AC180" s="105">
        <f t="shared" si="8"/>
        <v>59.999999999999993</v>
      </c>
      <c r="AD180" s="120">
        <f>Tabla1[[#This Row],[COS.BASE 2]]/8</f>
        <v>7.4999999999999991</v>
      </c>
      <c r="AE180" s="105">
        <f>Tabla1[[#This Row],[CST_H_E]]+Tabla1[[#This Row],[COS.BASE 2]]</f>
        <v>59.999999999999993</v>
      </c>
      <c r="AF180" s="106">
        <f>+_xlfn.IFNA(INDEX(RUBRO!$W$2:$AA$732,MATCH(Tabla1[[#This Row],[FECHA ]],RUBRO!$W$2:$W$732,0),5)," ")</f>
        <v>0</v>
      </c>
      <c r="AG180" s="10">
        <f>+_xlfn.IFNA(INDEX(RUBRO!$W$2:$AA$732,MATCH(Tabla1[[#This Row],[FECHA ]],RUBRO!$W$2:$W$732,0),2)," ")</f>
        <v>0</v>
      </c>
      <c r="AH180" s="40">
        <f>IFERROR(Tabla1[[#This Row],[F]]*Tabla1[[#This Row],[COS.B+E]]," ")</f>
        <v>0</v>
      </c>
      <c r="AI180" s="40">
        <f>IFERROR(Tabla1[[#This Row],[COS.B+E]]*Tabla1[[#This Row],[D]]," ")</f>
        <v>0</v>
      </c>
      <c r="AJ180" s="40" t="str">
        <f>IFERROR(Tabla1[[#This Row],[F]]*#REF!," ")</f>
        <v xml:space="preserve"> </v>
      </c>
      <c r="AK180" s="40" t="str">
        <f>IFERROR(#REF!*Tabla1[[#This Row],[D]]," ")</f>
        <v xml:space="preserve"> </v>
      </c>
      <c r="AL180" s="103"/>
      <c r="AM180" s="103"/>
      <c r="AN180" s="103"/>
      <c r="AO180" s="38">
        <f>+Tabla1[[#This Row],[COS.B+E]]+Tabla1[[#This Row],[COS.F1]]+Tabla1[[#This Row],[COS.D1]]+Tabla1[[#This Row],[ALIMENTACION]]+Tabla1[[#This Row],[PRESTAMO]]+AN180</f>
        <v>59.999999999999993</v>
      </c>
      <c r="AP180" s="38" t="e">
        <f>+#REF!+Tabla1[[#This Row],[COS F2]]+Tabla1[[#This Row],[COS D2]]+Tabla1[[#This Row],[ALIMENTACION]]+Tabla1[[#This Row],[PRESTAMO]]+Tabla1[[#This Row],[PASAJES]]</f>
        <v>#REF!</v>
      </c>
    </row>
    <row r="181" spans="1:42" x14ac:dyDescent="0.25">
      <c r="A181" s="2" t="str">
        <f>TEXT(Tabla1[[#This Row],[FECHA ]],"DDDDD")</f>
        <v>lunes</v>
      </c>
      <c r="B181" s="2" t="str">
        <f>_xlfn.IFNA(VLOOKUP(Tabla1[[#This Row],[DESTINO]],RUBRO!$Q$1:$R$9996,2,FALSE)," ")</f>
        <v>FALTA</v>
      </c>
      <c r="C181" s="104">
        <f>WEEKNUM(Tabla1[[#This Row],[FECHA ]],2)</f>
        <v>20</v>
      </c>
      <c r="D181" s="104" t="str">
        <f>TEXT(Tabla1[[#This Row],[FECHA ]],"MMM-YY")</f>
        <v>may-YY</v>
      </c>
      <c r="E181" s="104" t="str">
        <f>VLOOKUP(Tabla1[[#This Row],[DNI ]],RUBRO!$F$1:$O$9996,7,FALSE)</f>
        <v>4ta</v>
      </c>
      <c r="F181" s="104" t="str">
        <f>VLOOKUP(Tabla1[[#This Row],[DNI ]],RUBRO!$F$1:$O$88,3,FALSE)</f>
        <v>OPE-01</v>
      </c>
      <c r="G181" s="104" t="str">
        <f>VLOOKUP(Tabla1[[#This Row],[DNI ]],RUBRO!$F$1:$O$9996,5,FALSE)</f>
        <v>OPERARIO SOLDADOR</v>
      </c>
      <c r="H181" s="66" t="str">
        <f>VLOOKUP(Tabla1[[#This Row],[DNI ]],RUBRO!$F$1:$O$9996,6,FALSE)</f>
        <v>BONILLA CHAVEZ LUIS DANIEL</v>
      </c>
      <c r="I181" s="94">
        <v>44326</v>
      </c>
      <c r="J181" s="10">
        <v>4</v>
      </c>
      <c r="K181" s="2">
        <v>71995358</v>
      </c>
      <c r="L181" s="4">
        <f>VLOOKUP(Tabla1[[#This Row],[DNI ]],RUBRO!$F$2:$O$9996,8,FALSE)</f>
        <v>45</v>
      </c>
      <c r="M181" s="88"/>
      <c r="N181" s="28"/>
      <c r="P181" s="28"/>
      <c r="Q181" s="31">
        <f>(Tabla1[[#This Row],[SALIDA]]-Tabla1[[#This Row],[FIN ]])+(Tabla1[[#This Row],[INICIO]]-Tabla1[[#This Row],[INGRESO]])</f>
        <v>0</v>
      </c>
      <c r="R181" s="13">
        <f t="shared" si="6"/>
        <v>0</v>
      </c>
      <c r="S181" s="31">
        <f t="shared" si="7"/>
        <v>0</v>
      </c>
      <c r="T181" s="136"/>
      <c r="U181" s="136"/>
      <c r="V181" s="137">
        <f>(Tabla1[[#This Row],[COS.BASE 3]]*0.25+Tabla1[[#This Row],[COS.BASE 3]])*Tabla1[[#This Row],[HORAS 25 % ]]</f>
        <v>0</v>
      </c>
      <c r="W181" s="138">
        <f>(Tabla1[[#This Row],[COS.BASE 3]]*0.35+Tabla1[[#This Row],[COS.BASE 3]])*Tabla1[[#This Row],[HORAS 35% ]]</f>
        <v>0</v>
      </c>
      <c r="X181" s="138">
        <f>SUM(Tabla1[[#This Row],[C.HORA.35]],Tabla1[[#This Row],[C.HORA.25]])</f>
        <v>0</v>
      </c>
      <c r="Y181" s="4"/>
      <c r="Z181" s="10">
        <f>Tabla1[[#This Row],[T.HORAS]]*24</f>
        <v>0</v>
      </c>
      <c r="AA181" s="4">
        <f>Tabla1[[#This Row],[H.NORMALES]]*24</f>
        <v>0</v>
      </c>
      <c r="AB181" s="10">
        <f>Tabla1[[#This Row],[H.EXTRAS]]*24</f>
        <v>0</v>
      </c>
      <c r="AC181" s="105">
        <f t="shared" si="8"/>
        <v>0</v>
      </c>
      <c r="AD181" s="120">
        <f>Tabla1[[#This Row],[COS.BASE 2]]/8</f>
        <v>0</v>
      </c>
      <c r="AE181" s="105">
        <f>Tabla1[[#This Row],[CST_H_E]]+Tabla1[[#This Row],[COS.BASE 2]]</f>
        <v>0</v>
      </c>
      <c r="AF181" s="106">
        <f>+_xlfn.IFNA(INDEX(RUBRO!$W$2:$AA$732,MATCH(Tabla1[[#This Row],[FECHA ]],RUBRO!$W$2:$W$732,0),5)," ")</f>
        <v>0</v>
      </c>
      <c r="AG181" s="10">
        <f>+_xlfn.IFNA(INDEX(RUBRO!$W$2:$AA$732,MATCH(Tabla1[[#This Row],[FECHA ]],RUBRO!$W$2:$W$732,0),2)," ")</f>
        <v>0</v>
      </c>
      <c r="AH181" s="40">
        <f>IFERROR(Tabla1[[#This Row],[F]]*Tabla1[[#This Row],[COS.B+E]]," ")</f>
        <v>0</v>
      </c>
      <c r="AI181" s="40">
        <f>IFERROR(Tabla1[[#This Row],[COS.B+E]]*Tabla1[[#This Row],[D]]," ")</f>
        <v>0</v>
      </c>
      <c r="AJ181" s="40" t="str">
        <f>IFERROR(Tabla1[[#This Row],[F]]*#REF!," ")</f>
        <v xml:space="preserve"> </v>
      </c>
      <c r="AK181" s="40" t="str">
        <f>IFERROR(#REF!*Tabla1[[#This Row],[D]]," ")</f>
        <v xml:space="preserve"> </v>
      </c>
      <c r="AL181" s="103"/>
      <c r="AM181" s="103"/>
      <c r="AN181" s="103"/>
      <c r="AO181" s="38">
        <f>+Tabla1[[#This Row],[COS.B+E]]+Tabla1[[#This Row],[COS.F1]]+Tabla1[[#This Row],[COS.D1]]+Tabla1[[#This Row],[ALIMENTACION]]+Tabla1[[#This Row],[PRESTAMO]]+AN181</f>
        <v>0</v>
      </c>
      <c r="AP181" s="38" t="e">
        <f>+#REF!+Tabla1[[#This Row],[COS F2]]+Tabla1[[#This Row],[COS D2]]+Tabla1[[#This Row],[ALIMENTACION]]+Tabla1[[#This Row],[PRESTAMO]]+Tabla1[[#This Row],[PASAJES]]</f>
        <v>#REF!</v>
      </c>
    </row>
    <row r="182" spans="1:42" x14ac:dyDescent="0.25">
      <c r="A182" s="2" t="str">
        <f>TEXT(Tabla1[[#This Row],[FECHA ]],"DDDDD")</f>
        <v>lunes</v>
      </c>
      <c r="B182" s="2" t="str">
        <f>_xlfn.IFNA(VLOOKUP(Tabla1[[#This Row],[DESTINO]],RUBRO!$Q$1:$R$9996,2,FALSE)," ")</f>
        <v>OBRA</v>
      </c>
      <c r="C182" s="104">
        <f>WEEKNUM(Tabla1[[#This Row],[FECHA ]],2)</f>
        <v>20</v>
      </c>
      <c r="D182" s="104" t="str">
        <f>TEXT(Tabla1[[#This Row],[FECHA ]],"MMM-YY")</f>
        <v>may-YY</v>
      </c>
      <c r="E182" s="104" t="str">
        <f>VLOOKUP(Tabla1[[#This Row],[DNI ]],RUBRO!$F$1:$O$9996,7,FALSE)</f>
        <v>5ta</v>
      </c>
      <c r="F182" s="104" t="str">
        <f>VLOOKUP(Tabla1[[#This Row],[DNI ]],RUBRO!$F$1:$O$88,3,FALSE)</f>
        <v>MEC-04</v>
      </c>
      <c r="G182" s="104" t="str">
        <f>VLOOKUP(Tabla1[[#This Row],[DNI ]],RUBRO!$F$1:$O$9996,5,FALSE)</f>
        <v>MECANICO MONTAJISTA DE MAQUINARIA EXTRANJERA</v>
      </c>
      <c r="H182" s="66" t="str">
        <f>VLOOKUP(Tabla1[[#This Row],[DNI ]],RUBRO!$F$1:$O$9996,6,FALSE)</f>
        <v>BUSTAMANTE GONZALES CARLOS</v>
      </c>
      <c r="I182" s="94">
        <v>44326</v>
      </c>
      <c r="J182" s="10">
        <v>2</v>
      </c>
      <c r="K182" s="2">
        <v>27291529</v>
      </c>
      <c r="L182" s="4">
        <f>VLOOKUP(Tabla1[[#This Row],[DNI ]],RUBRO!$F$2:$O$9996,8,FALSE)</f>
        <v>72.540000000000006</v>
      </c>
      <c r="M182" s="88">
        <v>0.29166666666666669</v>
      </c>
      <c r="N182" s="28">
        <v>0.54166666666666663</v>
      </c>
      <c r="O182" s="28">
        <v>0.58333333333333337</v>
      </c>
      <c r="P182" s="28">
        <v>0.75</v>
      </c>
      <c r="Q182" s="31">
        <f>(Tabla1[[#This Row],[SALIDA]]-Tabla1[[#This Row],[FIN ]])+(Tabla1[[#This Row],[INICIO]]-Tabla1[[#This Row],[INGRESO]])</f>
        <v>0.41666666666666657</v>
      </c>
      <c r="R182" s="13">
        <f t="shared" si="6"/>
        <v>0.33333333333333331</v>
      </c>
      <c r="S182" s="31">
        <f t="shared" si="7"/>
        <v>8.3333333333333259E-2</v>
      </c>
      <c r="T182" s="136"/>
      <c r="U182" s="136"/>
      <c r="V182" s="137">
        <f>(Tabla1[[#This Row],[COS.BASE 3]]*0.25+Tabla1[[#This Row],[COS.BASE 3]])*Tabla1[[#This Row],[HORAS 25 % ]]</f>
        <v>0</v>
      </c>
      <c r="W182" s="138">
        <f>(Tabla1[[#This Row],[COS.BASE 3]]*0.35+Tabla1[[#This Row],[COS.BASE 3]])*Tabla1[[#This Row],[HORAS 35% ]]</f>
        <v>0</v>
      </c>
      <c r="X182" s="138">
        <f>SUM(Tabla1[[#This Row],[C.HORA.35]],Tabla1[[#This Row],[C.HORA.25]])</f>
        <v>0</v>
      </c>
      <c r="Y182" s="4"/>
      <c r="Z182" s="10">
        <f>Tabla1[[#This Row],[T.HORAS]]*24</f>
        <v>9.9999999999999982</v>
      </c>
      <c r="AA182" s="4">
        <f>Tabla1[[#This Row],[H.NORMALES]]*24</f>
        <v>8</v>
      </c>
      <c r="AB182" s="10">
        <f>Tabla1[[#This Row],[H.EXTRAS]]*24</f>
        <v>1.9999999999999982</v>
      </c>
      <c r="AC182" s="105">
        <f t="shared" si="8"/>
        <v>72.540000000000006</v>
      </c>
      <c r="AD182" s="120">
        <f>Tabla1[[#This Row],[COS.BASE 2]]/8</f>
        <v>9.0675000000000008</v>
      </c>
      <c r="AE182" s="105">
        <f>Tabla1[[#This Row],[CST_H_E]]+Tabla1[[#This Row],[COS.BASE 2]]</f>
        <v>72.540000000000006</v>
      </c>
      <c r="AF182" s="106">
        <f>+_xlfn.IFNA(INDEX(RUBRO!$W$2:$AA$732,MATCH(Tabla1[[#This Row],[FECHA ]],RUBRO!$W$2:$W$732,0),5)," ")</f>
        <v>0</v>
      </c>
      <c r="AG182" s="10">
        <f>+_xlfn.IFNA(INDEX(RUBRO!$W$2:$AA$732,MATCH(Tabla1[[#This Row],[FECHA ]],RUBRO!$W$2:$W$732,0),2)," ")</f>
        <v>0</v>
      </c>
      <c r="AH182" s="40">
        <f>IFERROR(Tabla1[[#This Row],[F]]*Tabla1[[#This Row],[COS.B+E]]," ")</f>
        <v>0</v>
      </c>
      <c r="AI182" s="40">
        <f>IFERROR(Tabla1[[#This Row],[COS.B+E]]*Tabla1[[#This Row],[D]]," ")</f>
        <v>0</v>
      </c>
      <c r="AJ182" s="40" t="str">
        <f>IFERROR(Tabla1[[#This Row],[F]]*#REF!," ")</f>
        <v xml:space="preserve"> </v>
      </c>
      <c r="AK182" s="40" t="str">
        <f>IFERROR(#REF!*Tabla1[[#This Row],[D]]," ")</f>
        <v xml:space="preserve"> </v>
      </c>
      <c r="AL182" s="103"/>
      <c r="AM182" s="103"/>
      <c r="AN182" s="103"/>
      <c r="AO182" s="38">
        <f>+Tabla1[[#This Row],[COS.B+E]]+Tabla1[[#This Row],[COS.F1]]+Tabla1[[#This Row],[COS.D1]]+Tabla1[[#This Row],[ALIMENTACION]]+Tabla1[[#This Row],[PRESTAMO]]+AN182</f>
        <v>72.540000000000006</v>
      </c>
      <c r="AP182" s="38" t="e">
        <f>+#REF!+Tabla1[[#This Row],[COS F2]]+Tabla1[[#This Row],[COS D2]]+Tabla1[[#This Row],[ALIMENTACION]]+Tabla1[[#This Row],[PRESTAMO]]+Tabla1[[#This Row],[PASAJES]]</f>
        <v>#REF!</v>
      </c>
    </row>
    <row r="183" spans="1:42" x14ac:dyDescent="0.25">
      <c r="A183" s="2" t="str">
        <f>TEXT(Tabla1[[#This Row],[FECHA ]],"DDDDD")</f>
        <v>lunes</v>
      </c>
      <c r="B183" s="2" t="str">
        <f>_xlfn.IFNA(VLOOKUP(Tabla1[[#This Row],[DESTINO]],RUBRO!$Q$1:$R$9996,2,FALSE)," ")</f>
        <v>PLANTA</v>
      </c>
      <c r="C183" s="104">
        <f>WEEKNUM(Tabla1[[#This Row],[FECHA ]],2)</f>
        <v>20</v>
      </c>
      <c r="D183" s="104" t="str">
        <f>TEXT(Tabla1[[#This Row],[FECHA ]],"MMM-YY")</f>
        <v>may-YY</v>
      </c>
      <c r="E183" s="104" t="str">
        <f>VLOOKUP(Tabla1[[#This Row],[DNI ]],RUBRO!$F$1:$O$9996,7,FALSE)</f>
        <v>5ta</v>
      </c>
      <c r="F183" s="104" t="str">
        <f>VLOOKUP(Tabla1[[#This Row],[DNI ]],RUBRO!$F$1:$O$88,3,FALSE)</f>
        <v>TECMN-03</v>
      </c>
      <c r="G183" s="104" t="str">
        <f>VLOOKUP(Tabla1[[#This Row],[DNI ]],RUBRO!$F$1:$O$9996,5,FALSE)</f>
        <v>TECNICO ELECTRICO MONTAJISTA DE MAQUINARIA</v>
      </c>
      <c r="H183" s="66" t="str">
        <f>VLOOKUP(Tabla1[[#This Row],[DNI ]],RUBRO!$F$1:$O$9996,6,FALSE)</f>
        <v>CAMIZAN CUNIAS LENDER NEYDEN</v>
      </c>
      <c r="I183" s="94">
        <v>44326</v>
      </c>
      <c r="J183" s="10">
        <v>1</v>
      </c>
      <c r="K183" s="2">
        <v>47711616</v>
      </c>
      <c r="L183" s="4">
        <f>VLOOKUP(Tabla1[[#This Row],[DNI ]],RUBRO!$F$2:$O$9996,8,FALSE)</f>
        <v>47.73</v>
      </c>
      <c r="M183" s="88">
        <v>0.29166666666666669</v>
      </c>
      <c r="N183" s="28">
        <v>0.54166666666666663</v>
      </c>
      <c r="O183" s="28">
        <v>0.58333333333333337</v>
      </c>
      <c r="P183" s="28">
        <v>0.70833333333333337</v>
      </c>
      <c r="Q183" s="31">
        <f>(Tabla1[[#This Row],[SALIDA]]-Tabla1[[#This Row],[FIN ]])+(Tabla1[[#This Row],[INICIO]]-Tabla1[[#This Row],[INGRESO]])</f>
        <v>0.37499999999999994</v>
      </c>
      <c r="R183" s="13">
        <f t="shared" si="6"/>
        <v>0.37499999999999994</v>
      </c>
      <c r="S183" s="31">
        <f t="shared" si="7"/>
        <v>0</v>
      </c>
      <c r="T183" s="136"/>
      <c r="U183" s="136"/>
      <c r="V183" s="137">
        <f>(Tabla1[[#This Row],[COS.BASE 3]]*0.25+Tabla1[[#This Row],[COS.BASE 3]])*Tabla1[[#This Row],[HORAS 25 % ]]</f>
        <v>0</v>
      </c>
      <c r="W183" s="138">
        <f>(Tabla1[[#This Row],[COS.BASE 3]]*0.35+Tabla1[[#This Row],[COS.BASE 3]])*Tabla1[[#This Row],[HORAS 35% ]]</f>
        <v>0</v>
      </c>
      <c r="X183" s="138">
        <f>SUM(Tabla1[[#This Row],[C.HORA.35]],Tabla1[[#This Row],[C.HORA.25]])</f>
        <v>0</v>
      </c>
      <c r="Y183" s="4"/>
      <c r="Z183" s="10">
        <f>Tabla1[[#This Row],[T.HORAS]]*24</f>
        <v>8.9999999999999982</v>
      </c>
      <c r="AA183" s="4">
        <f>Tabla1[[#This Row],[H.NORMALES]]*24</f>
        <v>8.9999999999999982</v>
      </c>
      <c r="AB183" s="10">
        <f>Tabla1[[#This Row],[H.EXTRAS]]*24</f>
        <v>0</v>
      </c>
      <c r="AC183" s="105">
        <f t="shared" si="8"/>
        <v>47.729999999999983</v>
      </c>
      <c r="AD183" s="120">
        <f>Tabla1[[#This Row],[COS.BASE 2]]/8</f>
        <v>5.9662499999999978</v>
      </c>
      <c r="AE183" s="105">
        <f>Tabla1[[#This Row],[CST_H_E]]+Tabla1[[#This Row],[COS.BASE 2]]</f>
        <v>47.729999999999983</v>
      </c>
      <c r="AF183" s="106">
        <f>+_xlfn.IFNA(INDEX(RUBRO!$W$2:$AA$732,MATCH(Tabla1[[#This Row],[FECHA ]],RUBRO!$W$2:$W$732,0),5)," ")</f>
        <v>0</v>
      </c>
      <c r="AG183" s="10">
        <f>+_xlfn.IFNA(INDEX(RUBRO!$W$2:$AA$732,MATCH(Tabla1[[#This Row],[FECHA ]],RUBRO!$W$2:$W$732,0),2)," ")</f>
        <v>0</v>
      </c>
      <c r="AH183" s="40">
        <f>IFERROR(Tabla1[[#This Row],[F]]*Tabla1[[#This Row],[COS.B+E]]," ")</f>
        <v>0</v>
      </c>
      <c r="AI183" s="40">
        <f>IFERROR(Tabla1[[#This Row],[COS.B+E]]*Tabla1[[#This Row],[D]]," ")</f>
        <v>0</v>
      </c>
      <c r="AJ183" s="40" t="str">
        <f>IFERROR(Tabla1[[#This Row],[F]]*#REF!," ")</f>
        <v xml:space="preserve"> </v>
      </c>
      <c r="AK183" s="40" t="str">
        <f>IFERROR(#REF!*Tabla1[[#This Row],[D]]," ")</f>
        <v xml:space="preserve"> </v>
      </c>
      <c r="AL183" s="103"/>
      <c r="AM183" s="103"/>
      <c r="AN183" s="103"/>
      <c r="AO183" s="38">
        <f>+Tabla1[[#This Row],[COS.B+E]]+Tabla1[[#This Row],[COS.F1]]+Tabla1[[#This Row],[COS.D1]]+Tabla1[[#This Row],[ALIMENTACION]]+Tabla1[[#This Row],[PRESTAMO]]+AN183</f>
        <v>47.729999999999983</v>
      </c>
      <c r="AP183" s="38" t="e">
        <f>+#REF!+Tabla1[[#This Row],[COS F2]]+Tabla1[[#This Row],[COS D2]]+Tabla1[[#This Row],[ALIMENTACION]]+Tabla1[[#This Row],[PRESTAMO]]+Tabla1[[#This Row],[PASAJES]]</f>
        <v>#REF!</v>
      </c>
    </row>
    <row r="184" spans="1:42" x14ac:dyDescent="0.25">
      <c r="A184" s="2" t="str">
        <f>TEXT(Tabla1[[#This Row],[FECHA ]],"DDDDD")</f>
        <v>lunes</v>
      </c>
      <c r="B184" s="2" t="str">
        <f>_xlfn.IFNA(VLOOKUP(Tabla1[[#This Row],[DESTINO]],RUBRO!$Q$1:$R$9996,2,FALSE)," ")</f>
        <v>OBRA</v>
      </c>
      <c r="C184" s="104">
        <f>WEEKNUM(Tabla1[[#This Row],[FECHA ]],2)</f>
        <v>20</v>
      </c>
      <c r="D184" s="104" t="str">
        <f>TEXT(Tabla1[[#This Row],[FECHA ]],"MMM-YY")</f>
        <v>may-YY</v>
      </c>
      <c r="E184" s="104" t="str">
        <f>VLOOKUP(Tabla1[[#This Row],[DNI ]],RUBRO!$F$1:$O$9996,7,FALSE)</f>
        <v>5ta</v>
      </c>
      <c r="F184" s="104" t="str">
        <f>VLOOKUP(Tabla1[[#This Row],[DNI ]],RUBRO!$F$1:$O$88,3,FALSE)</f>
        <v>TEC-05</v>
      </c>
      <c r="G184" s="104" t="str">
        <f>VLOOKUP(Tabla1[[#This Row],[DNI ]],RUBRO!$F$1:$O$9996,5,FALSE)</f>
        <v>TECNICO MECANICO MONTAJISTA DE NAVE INDUSTRIAL</v>
      </c>
      <c r="H184" s="66" t="str">
        <f>VLOOKUP(Tabla1[[#This Row],[DNI ]],RUBRO!$F$1:$O$9996,6,FALSE)</f>
        <v>CAVERO ANCAJIMA JHONATAN</v>
      </c>
      <c r="I184" s="94">
        <v>44326</v>
      </c>
      <c r="J184" s="10">
        <v>2</v>
      </c>
      <c r="K184" s="2">
        <v>48237026</v>
      </c>
      <c r="L184" s="4">
        <f>VLOOKUP(Tabla1[[#This Row],[DNI ]],RUBRO!$F$2:$O$9996,8,FALSE)</f>
        <v>52.2</v>
      </c>
      <c r="M184" s="88">
        <v>0.29166666666666669</v>
      </c>
      <c r="N184" s="28"/>
      <c r="P184" s="28">
        <v>0.58333333333333337</v>
      </c>
      <c r="Q184" s="31">
        <f>(Tabla1[[#This Row],[SALIDA]]-Tabla1[[#This Row],[FIN ]])+(Tabla1[[#This Row],[INICIO]]-Tabla1[[#This Row],[INGRESO]])</f>
        <v>0.29166666666666669</v>
      </c>
      <c r="R184" s="13">
        <f t="shared" si="6"/>
        <v>0.29166666666666669</v>
      </c>
      <c r="S184" s="31">
        <f t="shared" si="7"/>
        <v>0</v>
      </c>
      <c r="T184" s="136"/>
      <c r="U184" s="136"/>
      <c r="V184" s="137">
        <f>(Tabla1[[#This Row],[COS.BASE 3]]*0.25+Tabla1[[#This Row],[COS.BASE 3]])*Tabla1[[#This Row],[HORAS 25 % ]]</f>
        <v>0</v>
      </c>
      <c r="W184" s="138">
        <f>(Tabla1[[#This Row],[COS.BASE 3]]*0.35+Tabla1[[#This Row],[COS.BASE 3]])*Tabla1[[#This Row],[HORAS 35% ]]</f>
        <v>0</v>
      </c>
      <c r="X184" s="138">
        <f>SUM(Tabla1[[#This Row],[C.HORA.35]],Tabla1[[#This Row],[C.HORA.25]])</f>
        <v>0</v>
      </c>
      <c r="Y184" s="4"/>
      <c r="Z184" s="10">
        <f>Tabla1[[#This Row],[T.HORAS]]*24</f>
        <v>7</v>
      </c>
      <c r="AA184" s="4">
        <f>Tabla1[[#This Row],[H.NORMALES]]*24</f>
        <v>7</v>
      </c>
      <c r="AB184" s="10">
        <f>Tabla1[[#This Row],[H.EXTRAS]]*24</f>
        <v>0</v>
      </c>
      <c r="AC184" s="105">
        <f t="shared" si="8"/>
        <v>45.675000000000004</v>
      </c>
      <c r="AD184" s="120">
        <f>Tabla1[[#This Row],[COS.BASE 2]]/8</f>
        <v>5.7093750000000005</v>
      </c>
      <c r="AE184" s="105">
        <f>Tabla1[[#This Row],[CST_H_E]]+Tabla1[[#This Row],[COS.BASE 2]]</f>
        <v>45.675000000000004</v>
      </c>
      <c r="AF184" s="106">
        <f>+_xlfn.IFNA(INDEX(RUBRO!$W$2:$AA$732,MATCH(Tabla1[[#This Row],[FECHA ]],RUBRO!$W$2:$W$732,0),5)," ")</f>
        <v>0</v>
      </c>
      <c r="AG184" s="10">
        <f>+_xlfn.IFNA(INDEX(RUBRO!$W$2:$AA$732,MATCH(Tabla1[[#This Row],[FECHA ]],RUBRO!$W$2:$W$732,0),2)," ")</f>
        <v>0</v>
      </c>
      <c r="AH184" s="40">
        <f>IFERROR(Tabla1[[#This Row],[F]]*Tabla1[[#This Row],[COS.B+E]]," ")</f>
        <v>0</v>
      </c>
      <c r="AI184" s="40">
        <f>IFERROR(Tabla1[[#This Row],[COS.B+E]]*Tabla1[[#This Row],[D]]," ")</f>
        <v>0</v>
      </c>
      <c r="AJ184" s="40" t="str">
        <f>IFERROR(Tabla1[[#This Row],[F]]*#REF!," ")</f>
        <v xml:space="preserve"> </v>
      </c>
      <c r="AK184" s="40" t="str">
        <f>IFERROR(#REF!*Tabla1[[#This Row],[D]]," ")</f>
        <v xml:space="preserve"> </v>
      </c>
      <c r="AL184" s="103"/>
      <c r="AM184" s="103"/>
      <c r="AN184" s="103"/>
      <c r="AO184" s="38">
        <f>+Tabla1[[#This Row],[COS.B+E]]+Tabla1[[#This Row],[COS.F1]]+Tabla1[[#This Row],[COS.D1]]+Tabla1[[#This Row],[ALIMENTACION]]+Tabla1[[#This Row],[PRESTAMO]]+AN184</f>
        <v>45.675000000000004</v>
      </c>
      <c r="AP184" s="38" t="e">
        <f>+#REF!+Tabla1[[#This Row],[COS F2]]+Tabla1[[#This Row],[COS D2]]+Tabla1[[#This Row],[ALIMENTACION]]+Tabla1[[#This Row],[PRESTAMO]]+Tabla1[[#This Row],[PASAJES]]</f>
        <v>#REF!</v>
      </c>
    </row>
    <row r="185" spans="1:42" x14ac:dyDescent="0.25">
      <c r="A185" s="2" t="str">
        <f>TEXT(Tabla1[[#This Row],[FECHA ]],"DDDDD")</f>
        <v>lunes</v>
      </c>
      <c r="B185" s="2" t="str">
        <f>_xlfn.IFNA(VLOOKUP(Tabla1[[#This Row],[DESTINO]],RUBRO!$Q$1:$R$9996,2,FALSE)," ")</f>
        <v>FALTA</v>
      </c>
      <c r="C185" s="104">
        <f>WEEKNUM(Tabla1[[#This Row],[FECHA ]],2)</f>
        <v>20</v>
      </c>
      <c r="D185" s="104" t="str">
        <f>TEXT(Tabla1[[#This Row],[FECHA ]],"MMM-YY")</f>
        <v>may-YY</v>
      </c>
      <c r="E185" s="104" t="str">
        <f>VLOOKUP(Tabla1[[#This Row],[DNI ]],RUBRO!$F$1:$O$9996,7,FALSE)</f>
        <v>5ta</v>
      </c>
      <c r="F185" s="104" t="str">
        <f>VLOOKUP(Tabla1[[#This Row],[DNI ]],RUBRO!$F$1:$O$88,3,FALSE)</f>
        <v>TECME-03</v>
      </c>
      <c r="G185" s="104" t="str">
        <f>VLOOKUP(Tabla1[[#This Row],[DNI ]],RUBRO!$F$1:$O$9996,5,FALSE)</f>
        <v>TECNICO ELECTRICO MONTAJISTA DE MAQUINARIA EXTRANJERA</v>
      </c>
      <c r="H185" s="66" t="str">
        <f>VLOOKUP(Tabla1[[#This Row],[DNI ]],RUBRO!$F$1:$O$9996,6,FALSE)</f>
        <v>CHAQUILA JIMENEZ VICTOR JHEYNER</v>
      </c>
      <c r="I185" s="94">
        <v>44326</v>
      </c>
      <c r="J185" s="10">
        <v>4</v>
      </c>
      <c r="K185" s="2">
        <v>47055982</v>
      </c>
      <c r="L185" s="4">
        <f>VLOOKUP(Tabla1[[#This Row],[DNI ]],RUBRO!$F$2:$O$9996,8,FALSE)</f>
        <v>73.72</v>
      </c>
      <c r="M185" s="88"/>
      <c r="N185" s="28"/>
      <c r="P185" s="28"/>
      <c r="Q185" s="31">
        <f>(Tabla1[[#This Row],[SALIDA]]-Tabla1[[#This Row],[FIN ]])+(Tabla1[[#This Row],[INICIO]]-Tabla1[[#This Row],[INGRESO]])</f>
        <v>0</v>
      </c>
      <c r="R185" s="13">
        <f t="shared" si="6"/>
        <v>0</v>
      </c>
      <c r="S185" s="31">
        <f t="shared" si="7"/>
        <v>0</v>
      </c>
      <c r="T185" s="136"/>
      <c r="U185" s="136"/>
      <c r="V185" s="137">
        <f>(Tabla1[[#This Row],[COS.BASE 3]]*0.25+Tabla1[[#This Row],[COS.BASE 3]])*Tabla1[[#This Row],[HORAS 25 % ]]</f>
        <v>0</v>
      </c>
      <c r="W185" s="138">
        <f>(Tabla1[[#This Row],[COS.BASE 3]]*0.35+Tabla1[[#This Row],[COS.BASE 3]])*Tabla1[[#This Row],[HORAS 35% ]]</f>
        <v>0</v>
      </c>
      <c r="X185" s="138">
        <f>SUM(Tabla1[[#This Row],[C.HORA.35]],Tabla1[[#This Row],[C.HORA.25]])</f>
        <v>0</v>
      </c>
      <c r="Y185" s="4"/>
      <c r="Z185" s="10">
        <f>Tabla1[[#This Row],[T.HORAS]]*24</f>
        <v>0</v>
      </c>
      <c r="AA185" s="4">
        <f>Tabla1[[#This Row],[H.NORMALES]]*24</f>
        <v>0</v>
      </c>
      <c r="AB185" s="10">
        <f>Tabla1[[#This Row],[H.EXTRAS]]*24</f>
        <v>0</v>
      </c>
      <c r="AC185" s="105">
        <f t="shared" si="8"/>
        <v>0</v>
      </c>
      <c r="AD185" s="120">
        <f>Tabla1[[#This Row],[COS.BASE 2]]/8</f>
        <v>0</v>
      </c>
      <c r="AE185" s="105">
        <f>Tabla1[[#This Row],[CST_H_E]]+Tabla1[[#This Row],[COS.BASE 2]]</f>
        <v>0</v>
      </c>
      <c r="AF185" s="106">
        <f>+_xlfn.IFNA(INDEX(RUBRO!$W$2:$AA$732,MATCH(Tabla1[[#This Row],[FECHA ]],RUBRO!$W$2:$W$732,0),5)," ")</f>
        <v>0</v>
      </c>
      <c r="AG185" s="10">
        <f>+_xlfn.IFNA(INDEX(RUBRO!$W$2:$AA$732,MATCH(Tabla1[[#This Row],[FECHA ]],RUBRO!$W$2:$W$732,0),2)," ")</f>
        <v>0</v>
      </c>
      <c r="AH185" s="40">
        <f>IFERROR(Tabla1[[#This Row],[F]]*Tabla1[[#This Row],[COS.B+E]]," ")</f>
        <v>0</v>
      </c>
      <c r="AI185" s="40">
        <f>IFERROR(Tabla1[[#This Row],[COS.B+E]]*Tabla1[[#This Row],[D]]," ")</f>
        <v>0</v>
      </c>
      <c r="AJ185" s="40" t="str">
        <f>IFERROR(Tabla1[[#This Row],[F]]*#REF!," ")</f>
        <v xml:space="preserve"> </v>
      </c>
      <c r="AK185" s="40" t="str">
        <f>IFERROR(#REF!*Tabla1[[#This Row],[D]]," ")</f>
        <v xml:space="preserve"> </v>
      </c>
      <c r="AL185" s="103"/>
      <c r="AM185" s="103"/>
      <c r="AN185" s="103"/>
      <c r="AO185" s="38">
        <f>+Tabla1[[#This Row],[COS.B+E]]+Tabla1[[#This Row],[COS.F1]]+Tabla1[[#This Row],[COS.D1]]+Tabla1[[#This Row],[ALIMENTACION]]+Tabla1[[#This Row],[PRESTAMO]]+AN185</f>
        <v>0</v>
      </c>
      <c r="AP185" s="38" t="e">
        <f>+#REF!+Tabla1[[#This Row],[COS F2]]+Tabla1[[#This Row],[COS D2]]+Tabla1[[#This Row],[ALIMENTACION]]+Tabla1[[#This Row],[PRESTAMO]]+Tabla1[[#This Row],[PASAJES]]</f>
        <v>#REF!</v>
      </c>
    </row>
    <row r="186" spans="1:42" x14ac:dyDescent="0.25">
      <c r="A186" s="2" t="str">
        <f>TEXT(Tabla1[[#This Row],[FECHA ]],"DDDDD")</f>
        <v>lunes</v>
      </c>
      <c r="B186" s="2" t="str">
        <f>_xlfn.IFNA(VLOOKUP(Tabla1[[#This Row],[DESTINO]],RUBRO!$Q$1:$R$9996,2,FALSE)," ")</f>
        <v>FALTA</v>
      </c>
      <c r="C186" s="104">
        <f>WEEKNUM(Tabla1[[#This Row],[FECHA ]],2)</f>
        <v>20</v>
      </c>
      <c r="D186" s="104" t="str">
        <f>TEXT(Tabla1[[#This Row],[FECHA ]],"MMM-YY")</f>
        <v>may-YY</v>
      </c>
      <c r="E186" s="104" t="str">
        <f>VLOOKUP(Tabla1[[#This Row],[DNI ]],RUBRO!$F$1:$O$9996,7,FALSE)</f>
        <v>5ta</v>
      </c>
      <c r="F186" s="104" t="e">
        <f>VLOOKUP(Tabla1[[#This Row],[DNI ]],RUBRO!$F$1:$O$88,3,FALSE)</f>
        <v>#N/A</v>
      </c>
      <c r="G186" s="104" t="str">
        <f>VLOOKUP(Tabla1[[#This Row],[DNI ]],RUBRO!$F$1:$O$9996,5,FALSE)</f>
        <v>AYUDANTE DE PRODUCCION</v>
      </c>
      <c r="H186" s="66" t="str">
        <f>VLOOKUP(Tabla1[[#This Row],[DNI ]],RUBRO!$F$1:$O$9996,6,FALSE)</f>
        <v>COPIA BALDERA NILSON</v>
      </c>
      <c r="I186" s="94">
        <v>44326</v>
      </c>
      <c r="J186" s="10">
        <v>4</v>
      </c>
      <c r="K186" s="2">
        <v>48359730</v>
      </c>
      <c r="L186" s="4">
        <f>VLOOKUP(Tabla1[[#This Row],[DNI ]],RUBRO!$F$2:$O$9996,8,FALSE)</f>
        <v>55</v>
      </c>
      <c r="M186" s="88"/>
      <c r="N186" s="28"/>
      <c r="P186" s="28"/>
      <c r="Q186" s="31">
        <f>(Tabla1[[#This Row],[SALIDA]]-Tabla1[[#This Row],[FIN ]])+(Tabla1[[#This Row],[INICIO]]-Tabla1[[#This Row],[INGRESO]])</f>
        <v>0</v>
      </c>
      <c r="R186" s="13">
        <f t="shared" si="6"/>
        <v>0</v>
      </c>
      <c r="S186" s="31">
        <f t="shared" si="7"/>
        <v>0</v>
      </c>
      <c r="T186" s="136"/>
      <c r="U186" s="136"/>
      <c r="V186" s="137">
        <f>(Tabla1[[#This Row],[COS.BASE 3]]*0.25+Tabla1[[#This Row],[COS.BASE 3]])*Tabla1[[#This Row],[HORAS 25 % ]]</f>
        <v>0</v>
      </c>
      <c r="W186" s="138">
        <f>(Tabla1[[#This Row],[COS.BASE 3]]*0.35+Tabla1[[#This Row],[COS.BASE 3]])*Tabla1[[#This Row],[HORAS 35% ]]</f>
        <v>0</v>
      </c>
      <c r="X186" s="138">
        <f>SUM(Tabla1[[#This Row],[C.HORA.35]],Tabla1[[#This Row],[C.HORA.25]])</f>
        <v>0</v>
      </c>
      <c r="Y186" s="4"/>
      <c r="Z186" s="10">
        <f>Tabla1[[#This Row],[T.HORAS]]*24</f>
        <v>0</v>
      </c>
      <c r="AA186" s="4">
        <f>Tabla1[[#This Row],[H.NORMALES]]*24</f>
        <v>0</v>
      </c>
      <c r="AB186" s="10">
        <f>Tabla1[[#This Row],[H.EXTRAS]]*24</f>
        <v>0</v>
      </c>
      <c r="AC186" s="105">
        <f t="shared" si="8"/>
        <v>0</v>
      </c>
      <c r="AD186" s="120">
        <f>Tabla1[[#This Row],[COS.BASE 2]]/8</f>
        <v>0</v>
      </c>
      <c r="AE186" s="105">
        <f>Tabla1[[#This Row],[CST_H_E]]+Tabla1[[#This Row],[COS.BASE 2]]</f>
        <v>0</v>
      </c>
      <c r="AF186" s="106">
        <f>+_xlfn.IFNA(INDEX(RUBRO!$W$2:$AA$732,MATCH(Tabla1[[#This Row],[FECHA ]],RUBRO!$W$2:$W$732,0),5)," ")</f>
        <v>0</v>
      </c>
      <c r="AG186" s="10">
        <f>+_xlfn.IFNA(INDEX(RUBRO!$W$2:$AA$732,MATCH(Tabla1[[#This Row],[FECHA ]],RUBRO!$W$2:$W$732,0),2)," ")</f>
        <v>0</v>
      </c>
      <c r="AH186" s="40">
        <f>IFERROR(Tabla1[[#This Row],[F]]*Tabla1[[#This Row],[COS.B+E]]," ")</f>
        <v>0</v>
      </c>
      <c r="AI186" s="40">
        <f>IFERROR(Tabla1[[#This Row],[COS.B+E]]*Tabla1[[#This Row],[D]]," ")</f>
        <v>0</v>
      </c>
      <c r="AJ186" s="40" t="str">
        <f>IFERROR(Tabla1[[#This Row],[F]]*#REF!," ")</f>
        <v xml:space="preserve"> </v>
      </c>
      <c r="AK186" s="40" t="str">
        <f>IFERROR(#REF!*Tabla1[[#This Row],[D]]," ")</f>
        <v xml:space="preserve"> </v>
      </c>
      <c r="AL186" s="103"/>
      <c r="AM186" s="103"/>
      <c r="AN186" s="103"/>
      <c r="AO186" s="38">
        <f>+Tabla1[[#This Row],[COS.B+E]]+Tabla1[[#This Row],[COS.F1]]+Tabla1[[#This Row],[COS.D1]]+Tabla1[[#This Row],[ALIMENTACION]]+Tabla1[[#This Row],[PRESTAMO]]+AN186</f>
        <v>0</v>
      </c>
      <c r="AP186" s="38" t="e">
        <f>+#REF!+Tabla1[[#This Row],[COS F2]]+Tabla1[[#This Row],[COS D2]]+Tabla1[[#This Row],[ALIMENTACION]]+Tabla1[[#This Row],[PRESTAMO]]+Tabla1[[#This Row],[PASAJES]]</f>
        <v>#REF!</v>
      </c>
    </row>
    <row r="187" spans="1:42" x14ac:dyDescent="0.25">
      <c r="A187" s="2" t="str">
        <f>TEXT(Tabla1[[#This Row],[FECHA ]],"DDDDD")</f>
        <v>lunes</v>
      </c>
      <c r="B187" s="2" t="str">
        <f>_xlfn.IFNA(VLOOKUP(Tabla1[[#This Row],[DESTINO]],RUBRO!$Q$1:$R$9996,2,FALSE)," ")</f>
        <v>PLANTA</v>
      </c>
      <c r="C187" s="104">
        <f>WEEKNUM(Tabla1[[#This Row],[FECHA ]],2)</f>
        <v>20</v>
      </c>
      <c r="D187" s="104" t="str">
        <f>TEXT(Tabla1[[#This Row],[FECHA ]],"MMM-YY")</f>
        <v>may-YY</v>
      </c>
      <c r="E187" s="104" t="str">
        <f>VLOOKUP(Tabla1[[#This Row],[DNI ]],RUBRO!$F$1:$O$9996,7,FALSE)</f>
        <v>5ta</v>
      </c>
      <c r="F187" s="104" t="str">
        <f>VLOOKUP(Tabla1[[#This Row],[DNI ]],RUBRO!$F$1:$O$88,3,FALSE)</f>
        <v>OPE-01</v>
      </c>
      <c r="G187" s="104" t="str">
        <f>VLOOKUP(Tabla1[[#This Row],[DNI ]],RUBRO!$F$1:$O$9996,5,FALSE)</f>
        <v>OPERARIO SOLDADOR</v>
      </c>
      <c r="H187" s="66" t="str">
        <f>VLOOKUP(Tabla1[[#This Row],[DNI ]],RUBRO!$F$1:$O$9996,6,FALSE)</f>
        <v>CORDOVA OJEDA JHON GIAMPIERRE</v>
      </c>
      <c r="I187" s="94">
        <v>44326</v>
      </c>
      <c r="J187" s="10">
        <v>1</v>
      </c>
      <c r="K187" s="2">
        <v>74359947</v>
      </c>
      <c r="L187" s="4">
        <f>VLOOKUP(Tabla1[[#This Row],[DNI ]],RUBRO!$F$2:$O$9996,8,FALSE)</f>
        <v>57.62</v>
      </c>
      <c r="M187" s="88">
        <v>0.29166666666666669</v>
      </c>
      <c r="N187" s="28">
        <v>0.54166666666666663</v>
      </c>
      <c r="O187" s="28">
        <v>0.58333333333333337</v>
      </c>
      <c r="P187" s="28">
        <v>0.79166666666666663</v>
      </c>
      <c r="Q187" s="31">
        <f>(Tabla1[[#This Row],[SALIDA]]-Tabla1[[#This Row],[FIN ]])+(Tabla1[[#This Row],[INICIO]]-Tabla1[[#This Row],[INGRESO]])</f>
        <v>0.4583333333333332</v>
      </c>
      <c r="R187" s="13">
        <f t="shared" si="6"/>
        <v>0.375</v>
      </c>
      <c r="S187" s="31">
        <f t="shared" si="7"/>
        <v>8.3333333333333204E-2</v>
      </c>
      <c r="T187" s="136"/>
      <c r="U187" s="136"/>
      <c r="V187" s="137">
        <f>(Tabla1[[#This Row],[COS.BASE 3]]*0.25+Tabla1[[#This Row],[COS.BASE 3]])*Tabla1[[#This Row],[HORAS 25 % ]]</f>
        <v>0</v>
      </c>
      <c r="W187" s="138">
        <f>(Tabla1[[#This Row],[COS.BASE 3]]*0.35+Tabla1[[#This Row],[COS.BASE 3]])*Tabla1[[#This Row],[HORAS 35% ]]</f>
        <v>0</v>
      </c>
      <c r="X187" s="138">
        <f>SUM(Tabla1[[#This Row],[C.HORA.35]],Tabla1[[#This Row],[C.HORA.25]])</f>
        <v>0</v>
      </c>
      <c r="Y187" s="4"/>
      <c r="Z187" s="10">
        <f>Tabla1[[#This Row],[T.HORAS]]*24</f>
        <v>10.999999999999996</v>
      </c>
      <c r="AA187" s="4">
        <f>Tabla1[[#This Row],[H.NORMALES]]*24</f>
        <v>9</v>
      </c>
      <c r="AB187" s="10">
        <f>Tabla1[[#This Row],[H.EXTRAS]]*24</f>
        <v>1.9999999999999969</v>
      </c>
      <c r="AC187" s="105">
        <f t="shared" si="8"/>
        <v>57.62</v>
      </c>
      <c r="AD187" s="120">
        <f>Tabla1[[#This Row],[COS.BASE 2]]/8</f>
        <v>7.2024999999999997</v>
      </c>
      <c r="AE187" s="105">
        <f>Tabla1[[#This Row],[CST_H_E]]+Tabla1[[#This Row],[COS.BASE 2]]</f>
        <v>57.62</v>
      </c>
      <c r="AF187" s="106">
        <f>+_xlfn.IFNA(INDEX(RUBRO!$W$2:$AA$732,MATCH(Tabla1[[#This Row],[FECHA ]],RUBRO!$W$2:$W$732,0),5)," ")</f>
        <v>0</v>
      </c>
      <c r="AG187" s="10">
        <f>+_xlfn.IFNA(INDEX(RUBRO!$W$2:$AA$732,MATCH(Tabla1[[#This Row],[FECHA ]],RUBRO!$W$2:$W$732,0),2)," ")</f>
        <v>0</v>
      </c>
      <c r="AH187" s="40">
        <f>IFERROR(Tabla1[[#This Row],[F]]*Tabla1[[#This Row],[COS.B+E]]," ")</f>
        <v>0</v>
      </c>
      <c r="AI187" s="40">
        <f>IFERROR(Tabla1[[#This Row],[COS.B+E]]*Tabla1[[#This Row],[D]]," ")</f>
        <v>0</v>
      </c>
      <c r="AJ187" s="40" t="str">
        <f>IFERROR(Tabla1[[#This Row],[F]]*#REF!," ")</f>
        <v xml:space="preserve"> </v>
      </c>
      <c r="AK187" s="40" t="str">
        <f>IFERROR(#REF!*Tabla1[[#This Row],[D]]," ")</f>
        <v xml:space="preserve"> </v>
      </c>
      <c r="AL187" s="103"/>
      <c r="AM187" s="103"/>
      <c r="AN187" s="103"/>
      <c r="AO187" s="38">
        <f>+Tabla1[[#This Row],[COS.B+E]]+Tabla1[[#This Row],[COS.F1]]+Tabla1[[#This Row],[COS.D1]]+Tabla1[[#This Row],[ALIMENTACION]]+Tabla1[[#This Row],[PRESTAMO]]+AN187</f>
        <v>57.62</v>
      </c>
      <c r="AP187" s="38" t="e">
        <f>+#REF!+Tabla1[[#This Row],[COS F2]]+Tabla1[[#This Row],[COS D2]]+Tabla1[[#This Row],[ALIMENTACION]]+Tabla1[[#This Row],[PRESTAMO]]+Tabla1[[#This Row],[PASAJES]]</f>
        <v>#REF!</v>
      </c>
    </row>
    <row r="188" spans="1:42" x14ac:dyDescent="0.25">
      <c r="A188" s="2" t="str">
        <f>TEXT(Tabla1[[#This Row],[FECHA ]],"DDDDD")</f>
        <v>lunes</v>
      </c>
      <c r="B188" s="2" t="str">
        <f>_xlfn.IFNA(VLOOKUP(Tabla1[[#This Row],[DESTINO]],RUBRO!$Q$1:$R$9996,2,FALSE)," ")</f>
        <v>FALTA</v>
      </c>
      <c r="C188" s="104">
        <f>WEEKNUM(Tabla1[[#This Row],[FECHA ]],2)</f>
        <v>20</v>
      </c>
      <c r="D188" s="104" t="str">
        <f>TEXT(Tabla1[[#This Row],[FECHA ]],"MMM-YY")</f>
        <v>may-YY</v>
      </c>
      <c r="E188" s="104" t="str">
        <f>VLOOKUP(Tabla1[[#This Row],[DNI ]],RUBRO!$F$1:$O$9996,7,FALSE)</f>
        <v>5ta</v>
      </c>
      <c r="F188" s="104" t="str">
        <f>VLOOKUP(Tabla1[[#This Row],[DNI ]],RUBRO!$F$1:$O$88,3,FALSE)</f>
        <v>TEC-02</v>
      </c>
      <c r="G188" s="104" t="str">
        <f>VLOOKUP(Tabla1[[#This Row],[DNI ]],RUBRO!$F$1:$O$9996,5,FALSE)</f>
        <v>TECNICO MECANICO MONTAJISTA DE MAQUINARIA</v>
      </c>
      <c r="H188" s="66" t="str">
        <f>VLOOKUP(Tabla1[[#This Row],[DNI ]],RUBRO!$F$1:$O$9996,6,FALSE)</f>
        <v>CORREA TORRES NOYLER</v>
      </c>
      <c r="I188" s="94">
        <v>44326</v>
      </c>
      <c r="J188" s="10">
        <v>4</v>
      </c>
      <c r="K188" s="2">
        <v>47321409</v>
      </c>
      <c r="L188" s="4">
        <f>VLOOKUP(Tabla1[[#This Row],[DNI ]],RUBRO!$F$2:$O$9996,8,FALSE)</f>
        <v>65</v>
      </c>
      <c r="M188" s="88"/>
      <c r="N188" s="28"/>
      <c r="P188" s="28"/>
      <c r="Q188" s="31">
        <f>(Tabla1[[#This Row],[SALIDA]]-Tabla1[[#This Row],[FIN ]])+(Tabla1[[#This Row],[INICIO]]-Tabla1[[#This Row],[INGRESO]])</f>
        <v>0</v>
      </c>
      <c r="R188" s="13">
        <f t="shared" si="6"/>
        <v>0</v>
      </c>
      <c r="S188" s="31">
        <f t="shared" si="7"/>
        <v>0</v>
      </c>
      <c r="T188" s="136"/>
      <c r="U188" s="136"/>
      <c r="V188" s="137">
        <f>(Tabla1[[#This Row],[COS.BASE 3]]*0.25+Tabla1[[#This Row],[COS.BASE 3]])*Tabla1[[#This Row],[HORAS 25 % ]]</f>
        <v>0</v>
      </c>
      <c r="W188" s="138">
        <f>(Tabla1[[#This Row],[COS.BASE 3]]*0.35+Tabla1[[#This Row],[COS.BASE 3]])*Tabla1[[#This Row],[HORAS 35% ]]</f>
        <v>0</v>
      </c>
      <c r="X188" s="138">
        <f>SUM(Tabla1[[#This Row],[C.HORA.35]],Tabla1[[#This Row],[C.HORA.25]])</f>
        <v>0</v>
      </c>
      <c r="Y188" s="4"/>
      <c r="Z188" s="10">
        <f>Tabla1[[#This Row],[T.HORAS]]*24</f>
        <v>0</v>
      </c>
      <c r="AA188" s="4">
        <f>Tabla1[[#This Row],[H.NORMALES]]*24</f>
        <v>0</v>
      </c>
      <c r="AB188" s="10">
        <f>Tabla1[[#This Row],[H.EXTRAS]]*24</f>
        <v>0</v>
      </c>
      <c r="AC188" s="105">
        <f t="shared" si="8"/>
        <v>0</v>
      </c>
      <c r="AD188" s="120">
        <f>Tabla1[[#This Row],[COS.BASE 2]]/8</f>
        <v>0</v>
      </c>
      <c r="AE188" s="105">
        <f>Tabla1[[#This Row],[CST_H_E]]+Tabla1[[#This Row],[COS.BASE 2]]</f>
        <v>0</v>
      </c>
      <c r="AF188" s="106">
        <f>+_xlfn.IFNA(INDEX(RUBRO!$W$2:$AA$732,MATCH(Tabla1[[#This Row],[FECHA ]],RUBRO!$W$2:$W$732,0),5)," ")</f>
        <v>0</v>
      </c>
      <c r="AG188" s="10">
        <f>+_xlfn.IFNA(INDEX(RUBRO!$W$2:$AA$732,MATCH(Tabla1[[#This Row],[FECHA ]],RUBRO!$W$2:$W$732,0),2)," ")</f>
        <v>0</v>
      </c>
      <c r="AH188" s="40">
        <f>IFERROR(Tabla1[[#This Row],[F]]*Tabla1[[#This Row],[COS.B+E]]," ")</f>
        <v>0</v>
      </c>
      <c r="AI188" s="40">
        <f>IFERROR(Tabla1[[#This Row],[COS.B+E]]*Tabla1[[#This Row],[D]]," ")</f>
        <v>0</v>
      </c>
      <c r="AJ188" s="40" t="str">
        <f>IFERROR(Tabla1[[#This Row],[F]]*#REF!," ")</f>
        <v xml:space="preserve"> </v>
      </c>
      <c r="AK188" s="40" t="str">
        <f>IFERROR(#REF!*Tabla1[[#This Row],[D]]," ")</f>
        <v xml:space="preserve"> </v>
      </c>
      <c r="AL188" s="103"/>
      <c r="AM188" s="103"/>
      <c r="AN188" s="103"/>
      <c r="AO188" s="38">
        <f>+Tabla1[[#This Row],[COS.B+E]]+Tabla1[[#This Row],[COS.F1]]+Tabla1[[#This Row],[COS.D1]]+Tabla1[[#This Row],[ALIMENTACION]]+Tabla1[[#This Row],[PRESTAMO]]+AN188</f>
        <v>0</v>
      </c>
      <c r="AP188" s="38" t="e">
        <f>+#REF!+Tabla1[[#This Row],[COS F2]]+Tabla1[[#This Row],[COS D2]]+Tabla1[[#This Row],[ALIMENTACION]]+Tabla1[[#This Row],[PRESTAMO]]+Tabla1[[#This Row],[PASAJES]]</f>
        <v>#REF!</v>
      </c>
    </row>
    <row r="189" spans="1:42" x14ac:dyDescent="0.25">
      <c r="A189" s="2" t="str">
        <f>TEXT(Tabla1[[#This Row],[FECHA ]],"DDDDD")</f>
        <v>lunes</v>
      </c>
      <c r="B189" s="2" t="str">
        <f>_xlfn.IFNA(VLOOKUP(Tabla1[[#This Row],[DESTINO]],RUBRO!$Q$1:$R$9996,2,FALSE)," ")</f>
        <v>OBRA</v>
      </c>
      <c r="C189" s="104">
        <f>WEEKNUM(Tabla1[[#This Row],[FECHA ]],2)</f>
        <v>20</v>
      </c>
      <c r="D189" s="104" t="str">
        <f>TEXT(Tabla1[[#This Row],[FECHA ]],"MMM-YY")</f>
        <v>may-YY</v>
      </c>
      <c r="E189" s="104" t="str">
        <f>VLOOKUP(Tabla1[[#This Row],[DNI ]],RUBRO!$F$1:$O$9996,7,FALSE)</f>
        <v>5ta</v>
      </c>
      <c r="F189" s="104" t="str">
        <f>VLOOKUP(Tabla1[[#This Row],[DNI ]],RUBRO!$F$1:$O$88,3,FALSE)</f>
        <v>TEC-04</v>
      </c>
      <c r="G189" s="104" t="str">
        <f>VLOOKUP(Tabla1[[#This Row],[DNI ]],RUBRO!$F$1:$O$9996,5,FALSE)</f>
        <v>TECNICO MECANICO MONTAJISTA DE MAQUINARIA EXTRANJERA</v>
      </c>
      <c r="H189" s="66" t="str">
        <f>VLOOKUP(Tabla1[[#This Row],[DNI ]],RUBRO!$F$1:$O$9996,6,FALSE)</f>
        <v>CUYA CAYCHO DANIEL LORENZO</v>
      </c>
      <c r="I189" s="94">
        <v>44326</v>
      </c>
      <c r="J189" s="10">
        <v>2</v>
      </c>
      <c r="K189" s="2">
        <v>70133802</v>
      </c>
      <c r="L189" s="4">
        <f>VLOOKUP(Tabla1[[#This Row],[DNI ]],RUBRO!$F$2:$O$9996,8,FALSE)</f>
        <v>66.92</v>
      </c>
      <c r="M189" s="88">
        <v>0.29166666666666669</v>
      </c>
      <c r="N189" s="28">
        <v>0.54166666666666663</v>
      </c>
      <c r="O189" s="28">
        <v>0.58333333333333337</v>
      </c>
      <c r="P189" s="28">
        <v>0.75</v>
      </c>
      <c r="Q189" s="31">
        <f>(Tabla1[[#This Row],[SALIDA]]-Tabla1[[#This Row],[FIN ]])+(Tabla1[[#This Row],[INICIO]]-Tabla1[[#This Row],[INGRESO]])</f>
        <v>0.41666666666666657</v>
      </c>
      <c r="R189" s="13">
        <f t="shared" si="6"/>
        <v>0.33333333333333331</v>
      </c>
      <c r="S189" s="31">
        <f t="shared" si="7"/>
        <v>8.3333333333333259E-2</v>
      </c>
      <c r="T189" s="136"/>
      <c r="U189" s="136"/>
      <c r="V189" s="137">
        <f>(Tabla1[[#This Row],[COS.BASE 3]]*0.25+Tabla1[[#This Row],[COS.BASE 3]])*Tabla1[[#This Row],[HORAS 25 % ]]</f>
        <v>0</v>
      </c>
      <c r="W189" s="138">
        <f>(Tabla1[[#This Row],[COS.BASE 3]]*0.35+Tabla1[[#This Row],[COS.BASE 3]])*Tabla1[[#This Row],[HORAS 35% ]]</f>
        <v>0</v>
      </c>
      <c r="X189" s="138">
        <f>SUM(Tabla1[[#This Row],[C.HORA.35]],Tabla1[[#This Row],[C.HORA.25]])</f>
        <v>0</v>
      </c>
      <c r="Y189" s="4"/>
      <c r="Z189" s="10">
        <f>Tabla1[[#This Row],[T.HORAS]]*24</f>
        <v>9.9999999999999982</v>
      </c>
      <c r="AA189" s="4">
        <f>Tabla1[[#This Row],[H.NORMALES]]*24</f>
        <v>8</v>
      </c>
      <c r="AB189" s="10">
        <f>Tabla1[[#This Row],[H.EXTRAS]]*24</f>
        <v>1.9999999999999982</v>
      </c>
      <c r="AC189" s="105">
        <f t="shared" si="8"/>
        <v>66.92</v>
      </c>
      <c r="AD189" s="120">
        <f>Tabla1[[#This Row],[COS.BASE 2]]/8</f>
        <v>8.3650000000000002</v>
      </c>
      <c r="AE189" s="105">
        <f>Tabla1[[#This Row],[CST_H_E]]+Tabla1[[#This Row],[COS.BASE 2]]</f>
        <v>66.92</v>
      </c>
      <c r="AF189" s="106">
        <f>+_xlfn.IFNA(INDEX(RUBRO!$W$2:$AA$732,MATCH(Tabla1[[#This Row],[FECHA ]],RUBRO!$W$2:$W$732,0),5)," ")</f>
        <v>0</v>
      </c>
      <c r="AG189" s="10">
        <f>+_xlfn.IFNA(INDEX(RUBRO!$W$2:$AA$732,MATCH(Tabla1[[#This Row],[FECHA ]],RUBRO!$W$2:$W$732,0),2)," ")</f>
        <v>0</v>
      </c>
      <c r="AH189" s="40">
        <f>IFERROR(Tabla1[[#This Row],[F]]*Tabla1[[#This Row],[COS.B+E]]," ")</f>
        <v>0</v>
      </c>
      <c r="AI189" s="40">
        <f>IFERROR(Tabla1[[#This Row],[COS.B+E]]*Tabla1[[#This Row],[D]]," ")</f>
        <v>0</v>
      </c>
      <c r="AJ189" s="40" t="str">
        <f>IFERROR(Tabla1[[#This Row],[F]]*#REF!," ")</f>
        <v xml:space="preserve"> </v>
      </c>
      <c r="AK189" s="40" t="str">
        <f>IFERROR(#REF!*Tabla1[[#This Row],[D]]," ")</f>
        <v xml:space="preserve"> </v>
      </c>
      <c r="AL189" s="103"/>
      <c r="AM189" s="103"/>
      <c r="AN189" s="103"/>
      <c r="AO189" s="38">
        <f>+Tabla1[[#This Row],[COS.B+E]]+Tabla1[[#This Row],[COS.F1]]+Tabla1[[#This Row],[COS.D1]]+Tabla1[[#This Row],[ALIMENTACION]]+Tabla1[[#This Row],[PRESTAMO]]+AN189</f>
        <v>66.92</v>
      </c>
      <c r="AP189" s="38" t="e">
        <f>+#REF!+Tabla1[[#This Row],[COS F2]]+Tabla1[[#This Row],[COS D2]]+Tabla1[[#This Row],[ALIMENTACION]]+Tabla1[[#This Row],[PRESTAMO]]+Tabla1[[#This Row],[PASAJES]]</f>
        <v>#REF!</v>
      </c>
    </row>
    <row r="190" spans="1:42" x14ac:dyDescent="0.25">
      <c r="A190" s="2" t="str">
        <f>TEXT(Tabla1[[#This Row],[FECHA ]],"DDDDD")</f>
        <v>lunes</v>
      </c>
      <c r="B190" s="2" t="str">
        <f>_xlfn.IFNA(VLOOKUP(Tabla1[[#This Row],[DESTINO]],RUBRO!$Q$1:$R$9996,2,FALSE)," ")</f>
        <v>FALTA</v>
      </c>
      <c r="C190" s="104">
        <f>WEEKNUM(Tabla1[[#This Row],[FECHA ]],2)</f>
        <v>20</v>
      </c>
      <c r="D190" s="104" t="str">
        <f>TEXT(Tabla1[[#This Row],[FECHA ]],"MMM-YY")</f>
        <v>may-YY</v>
      </c>
      <c r="E190" s="104" t="str">
        <f>VLOOKUP(Tabla1[[#This Row],[DNI ]],RUBRO!$F$1:$O$9996,7,FALSE)</f>
        <v>4ta</v>
      </c>
      <c r="F190" s="104" t="e">
        <f>VLOOKUP(Tabla1[[#This Row],[DNI ]],RUBRO!$F$1:$O$88,3,FALSE)</f>
        <v>#N/A</v>
      </c>
      <c r="G190" s="104" t="str">
        <f>VLOOKUP(Tabla1[[#This Row],[DNI ]],RUBRO!$F$1:$O$9996,5,FALSE)</f>
        <v>TECNICO SOLDADOR</v>
      </c>
      <c r="H190" s="66" t="str">
        <f>VLOOKUP(Tabla1[[#This Row],[DNI ]],RUBRO!$F$1:$O$9996,6,FALSE)</f>
        <v>DAMIAN DAMIAN MIGUEL ANGEL</v>
      </c>
      <c r="I190" s="94">
        <v>44326</v>
      </c>
      <c r="J190" s="10">
        <v>4</v>
      </c>
      <c r="K190" s="2">
        <v>75494335</v>
      </c>
      <c r="L190" s="4">
        <f>VLOOKUP(Tabla1[[#This Row],[DNI ]],RUBRO!$F$2:$O$9996,8,FALSE)</f>
        <v>90</v>
      </c>
      <c r="M190" s="88"/>
      <c r="N190" s="28"/>
      <c r="P190" s="28"/>
      <c r="Q190" s="31">
        <f>(Tabla1[[#This Row],[SALIDA]]-Tabla1[[#This Row],[FIN ]])+(Tabla1[[#This Row],[INICIO]]-Tabla1[[#This Row],[INGRESO]])</f>
        <v>0</v>
      </c>
      <c r="R190" s="13">
        <f t="shared" si="6"/>
        <v>0</v>
      </c>
      <c r="S190" s="31">
        <f t="shared" si="7"/>
        <v>0</v>
      </c>
      <c r="T190" s="136"/>
      <c r="U190" s="136"/>
      <c r="V190" s="137">
        <f>(Tabla1[[#This Row],[COS.BASE 3]]*0.25+Tabla1[[#This Row],[COS.BASE 3]])*Tabla1[[#This Row],[HORAS 25 % ]]</f>
        <v>0</v>
      </c>
      <c r="W190" s="138">
        <f>(Tabla1[[#This Row],[COS.BASE 3]]*0.35+Tabla1[[#This Row],[COS.BASE 3]])*Tabla1[[#This Row],[HORAS 35% ]]</f>
        <v>0</v>
      </c>
      <c r="X190" s="138">
        <f>SUM(Tabla1[[#This Row],[C.HORA.35]],Tabla1[[#This Row],[C.HORA.25]])</f>
        <v>0</v>
      </c>
      <c r="Y190" s="4"/>
      <c r="Z190" s="10">
        <f>Tabla1[[#This Row],[T.HORAS]]*24</f>
        <v>0</v>
      </c>
      <c r="AA190" s="4">
        <f>Tabla1[[#This Row],[H.NORMALES]]*24</f>
        <v>0</v>
      </c>
      <c r="AB190" s="10">
        <f>Tabla1[[#This Row],[H.EXTRAS]]*24</f>
        <v>0</v>
      </c>
      <c r="AC190" s="105">
        <f t="shared" si="8"/>
        <v>0</v>
      </c>
      <c r="AD190" s="120">
        <f>Tabla1[[#This Row],[COS.BASE 2]]/8</f>
        <v>0</v>
      </c>
      <c r="AE190" s="105">
        <f>Tabla1[[#This Row],[CST_H_E]]+Tabla1[[#This Row],[COS.BASE 2]]</f>
        <v>0</v>
      </c>
      <c r="AF190" s="106">
        <f>+_xlfn.IFNA(INDEX(RUBRO!$W$2:$AA$732,MATCH(Tabla1[[#This Row],[FECHA ]],RUBRO!$W$2:$W$732,0),5)," ")</f>
        <v>0</v>
      </c>
      <c r="AG190" s="10">
        <f>+_xlfn.IFNA(INDEX(RUBRO!$W$2:$AA$732,MATCH(Tabla1[[#This Row],[FECHA ]],RUBRO!$W$2:$W$732,0),2)," ")</f>
        <v>0</v>
      </c>
      <c r="AH190" s="40">
        <f>IFERROR(Tabla1[[#This Row],[F]]*Tabla1[[#This Row],[COS.B+E]]," ")</f>
        <v>0</v>
      </c>
      <c r="AI190" s="40">
        <f>IFERROR(Tabla1[[#This Row],[COS.B+E]]*Tabla1[[#This Row],[D]]," ")</f>
        <v>0</v>
      </c>
      <c r="AJ190" s="40" t="str">
        <f>IFERROR(Tabla1[[#This Row],[F]]*#REF!," ")</f>
        <v xml:space="preserve"> </v>
      </c>
      <c r="AK190" s="40" t="str">
        <f>IFERROR(#REF!*Tabla1[[#This Row],[D]]," ")</f>
        <v xml:space="preserve"> </v>
      </c>
      <c r="AL190" s="103"/>
      <c r="AM190" s="103"/>
      <c r="AN190" s="103"/>
      <c r="AO190" s="38">
        <f>+Tabla1[[#This Row],[COS.B+E]]+Tabla1[[#This Row],[COS.F1]]+Tabla1[[#This Row],[COS.D1]]+Tabla1[[#This Row],[ALIMENTACION]]+Tabla1[[#This Row],[PRESTAMO]]+AN190</f>
        <v>0</v>
      </c>
      <c r="AP190" s="38" t="e">
        <f>+#REF!+Tabla1[[#This Row],[COS F2]]+Tabla1[[#This Row],[COS D2]]+Tabla1[[#This Row],[ALIMENTACION]]+Tabla1[[#This Row],[PRESTAMO]]+Tabla1[[#This Row],[PASAJES]]</f>
        <v>#REF!</v>
      </c>
    </row>
    <row r="191" spans="1:42" x14ac:dyDescent="0.25">
      <c r="A191" s="2" t="str">
        <f>TEXT(Tabla1[[#This Row],[FECHA ]],"DDDDD")</f>
        <v>lunes</v>
      </c>
      <c r="B191" s="2" t="str">
        <f>_xlfn.IFNA(VLOOKUP(Tabla1[[#This Row],[DESTINO]],RUBRO!$Q$1:$R$9996,2,FALSE)," ")</f>
        <v>PLANTA</v>
      </c>
      <c r="C191" s="104">
        <f>WEEKNUM(Tabla1[[#This Row],[FECHA ]],2)</f>
        <v>20</v>
      </c>
      <c r="D191" s="104" t="str">
        <f>TEXT(Tabla1[[#This Row],[FECHA ]],"MMM-YY")</f>
        <v>may-YY</v>
      </c>
      <c r="E191" s="104" t="str">
        <f>VLOOKUP(Tabla1[[#This Row],[DNI ]],RUBRO!$F$1:$O$9996,7,FALSE)</f>
        <v>5ta</v>
      </c>
      <c r="F191" s="104" t="e">
        <f>VLOOKUP(Tabla1[[#This Row],[DNI ]],RUBRO!$F$1:$O$88,3,FALSE)</f>
        <v>#N/A</v>
      </c>
      <c r="G191" s="104" t="str">
        <f>VLOOKUP(Tabla1[[#This Row],[DNI ]],RUBRO!$F$1:$O$9996,5,FALSE)</f>
        <v>AYUDANTE DE PRODUCCION</v>
      </c>
      <c r="H191" s="66" t="str">
        <f>VLOOKUP(Tabla1[[#This Row],[DNI ]],RUBRO!$F$1:$O$9996,6,FALSE)</f>
        <v xml:space="preserve">DELGADO CORONADO ROBERTO </v>
      </c>
      <c r="I191" s="94">
        <v>44326</v>
      </c>
      <c r="J191" s="10">
        <v>1</v>
      </c>
      <c r="K191" s="2">
        <v>76288149</v>
      </c>
      <c r="L191" s="4">
        <f>VLOOKUP(Tabla1[[#This Row],[DNI ]],RUBRO!$F$2:$O$9996,8,FALSE)</f>
        <v>44.32</v>
      </c>
      <c r="M191" s="88">
        <v>0.29166666666666669</v>
      </c>
      <c r="N191" s="28">
        <v>0.54166666666666663</v>
      </c>
      <c r="O191" s="28">
        <v>0.58333333333333337</v>
      </c>
      <c r="P191" s="28">
        <v>0.70833333333333337</v>
      </c>
      <c r="Q191" s="31">
        <f>(Tabla1[[#This Row],[SALIDA]]-Tabla1[[#This Row],[FIN ]])+(Tabla1[[#This Row],[INICIO]]-Tabla1[[#This Row],[INGRESO]])</f>
        <v>0.37499999999999994</v>
      </c>
      <c r="R191" s="13">
        <f t="shared" si="6"/>
        <v>0.37499999999999994</v>
      </c>
      <c r="S191" s="31">
        <f t="shared" si="7"/>
        <v>0</v>
      </c>
      <c r="T191" s="136"/>
      <c r="U191" s="136"/>
      <c r="V191" s="137">
        <f>(Tabla1[[#This Row],[COS.BASE 3]]*0.25+Tabla1[[#This Row],[COS.BASE 3]])*Tabla1[[#This Row],[HORAS 25 % ]]</f>
        <v>0</v>
      </c>
      <c r="W191" s="138">
        <f>(Tabla1[[#This Row],[COS.BASE 3]]*0.35+Tabla1[[#This Row],[COS.BASE 3]])*Tabla1[[#This Row],[HORAS 35% ]]</f>
        <v>0</v>
      </c>
      <c r="X191" s="138">
        <f>SUM(Tabla1[[#This Row],[C.HORA.35]],Tabla1[[#This Row],[C.HORA.25]])</f>
        <v>0</v>
      </c>
      <c r="Y191" s="4"/>
      <c r="Z191" s="10">
        <f>Tabla1[[#This Row],[T.HORAS]]*24</f>
        <v>8.9999999999999982</v>
      </c>
      <c r="AA191" s="4">
        <f>Tabla1[[#This Row],[H.NORMALES]]*24</f>
        <v>8.9999999999999982</v>
      </c>
      <c r="AB191" s="10">
        <f>Tabla1[[#This Row],[H.EXTRAS]]*24</f>
        <v>0</v>
      </c>
      <c r="AC191" s="105">
        <f t="shared" si="8"/>
        <v>44.319999999999986</v>
      </c>
      <c r="AD191" s="120">
        <f>Tabla1[[#This Row],[COS.BASE 2]]/8</f>
        <v>5.5399999999999983</v>
      </c>
      <c r="AE191" s="105">
        <f>Tabla1[[#This Row],[CST_H_E]]+Tabla1[[#This Row],[COS.BASE 2]]</f>
        <v>44.319999999999986</v>
      </c>
      <c r="AF191" s="106">
        <f>+_xlfn.IFNA(INDEX(RUBRO!$W$2:$AA$732,MATCH(Tabla1[[#This Row],[FECHA ]],RUBRO!$W$2:$W$732,0),5)," ")</f>
        <v>0</v>
      </c>
      <c r="AG191" s="10">
        <f>+_xlfn.IFNA(INDEX(RUBRO!$W$2:$AA$732,MATCH(Tabla1[[#This Row],[FECHA ]],RUBRO!$W$2:$W$732,0),2)," ")</f>
        <v>0</v>
      </c>
      <c r="AH191" s="40">
        <f>IFERROR(Tabla1[[#This Row],[F]]*Tabla1[[#This Row],[COS.B+E]]," ")</f>
        <v>0</v>
      </c>
      <c r="AI191" s="40">
        <f>IFERROR(Tabla1[[#This Row],[COS.B+E]]*Tabla1[[#This Row],[D]]," ")</f>
        <v>0</v>
      </c>
      <c r="AJ191" s="40" t="str">
        <f>IFERROR(Tabla1[[#This Row],[F]]*#REF!," ")</f>
        <v xml:space="preserve"> </v>
      </c>
      <c r="AK191" s="40" t="str">
        <f>IFERROR(#REF!*Tabla1[[#This Row],[D]]," ")</f>
        <v xml:space="preserve"> </v>
      </c>
      <c r="AL191" s="103"/>
      <c r="AM191" s="103"/>
      <c r="AN191" s="103"/>
      <c r="AO191" s="38">
        <f>+Tabla1[[#This Row],[COS.B+E]]+Tabla1[[#This Row],[COS.F1]]+Tabla1[[#This Row],[COS.D1]]+Tabla1[[#This Row],[ALIMENTACION]]+Tabla1[[#This Row],[PRESTAMO]]+AN191</f>
        <v>44.319999999999986</v>
      </c>
      <c r="AP191" s="38" t="e">
        <f>+#REF!+Tabla1[[#This Row],[COS F2]]+Tabla1[[#This Row],[COS D2]]+Tabla1[[#This Row],[ALIMENTACION]]+Tabla1[[#This Row],[PRESTAMO]]+Tabla1[[#This Row],[PASAJES]]</f>
        <v>#REF!</v>
      </c>
    </row>
    <row r="192" spans="1:42" x14ac:dyDescent="0.25">
      <c r="A192" s="2" t="str">
        <f>TEXT(Tabla1[[#This Row],[FECHA ]],"DDDDD")</f>
        <v>lunes</v>
      </c>
      <c r="B192" s="2" t="str">
        <f>_xlfn.IFNA(VLOOKUP(Tabla1[[#This Row],[DESTINO]],RUBRO!$Q$1:$R$9996,2,FALSE)," ")</f>
        <v>OBRA</v>
      </c>
      <c r="C192" s="104">
        <f>WEEKNUM(Tabla1[[#This Row],[FECHA ]],2)</f>
        <v>20</v>
      </c>
      <c r="D192" s="104" t="str">
        <f>TEXT(Tabla1[[#This Row],[FECHA ]],"MMM-YY")</f>
        <v>may-YY</v>
      </c>
      <c r="E192" s="104" t="str">
        <f>VLOOKUP(Tabla1[[#This Row],[DNI ]],RUBRO!$F$1:$O$9996,7,FALSE)</f>
        <v>5ta</v>
      </c>
      <c r="F192" s="104" t="e">
        <f>VLOOKUP(Tabla1[[#This Row],[DNI ]],RUBRO!$F$1:$O$88,3,FALSE)</f>
        <v>#N/A</v>
      </c>
      <c r="G192" s="104" t="str">
        <f>VLOOKUP(Tabla1[[#This Row],[DNI ]],RUBRO!$F$1:$O$9996,5,FALSE)</f>
        <v>AYUDANTE DE PRODUCCION</v>
      </c>
      <c r="H192" s="66" t="str">
        <f>VLOOKUP(Tabla1[[#This Row],[DNI ]],RUBRO!$F$1:$O$9996,6,FALSE)</f>
        <v>DIAZ CABREJOS KELVIN</v>
      </c>
      <c r="I192" s="94">
        <v>44326</v>
      </c>
      <c r="J192" s="10">
        <v>2</v>
      </c>
      <c r="K192" s="2">
        <v>75809362</v>
      </c>
      <c r="L192" s="4">
        <f>VLOOKUP(Tabla1[[#This Row],[DNI ]],RUBRO!$F$2:$O$9996,8,FALSE)</f>
        <v>65</v>
      </c>
      <c r="M192" s="88">
        <v>0.29166666666666669</v>
      </c>
      <c r="N192" s="28">
        <v>0.54166666666666663</v>
      </c>
      <c r="O192" s="28">
        <v>0.58333333333333337</v>
      </c>
      <c r="P192" s="28">
        <v>0.75</v>
      </c>
      <c r="Q192" s="31">
        <f>(Tabla1[[#This Row],[SALIDA]]-Tabla1[[#This Row],[FIN ]])+(Tabla1[[#This Row],[INICIO]]-Tabla1[[#This Row],[INGRESO]])</f>
        <v>0.41666666666666657</v>
      </c>
      <c r="R192" s="13">
        <f t="shared" si="6"/>
        <v>0.33333333333333331</v>
      </c>
      <c r="S192" s="31">
        <f t="shared" si="7"/>
        <v>8.3333333333333259E-2</v>
      </c>
      <c r="T192" s="136"/>
      <c r="U192" s="136"/>
      <c r="V192" s="137">
        <f>(Tabla1[[#This Row],[COS.BASE 3]]*0.25+Tabla1[[#This Row],[COS.BASE 3]])*Tabla1[[#This Row],[HORAS 25 % ]]</f>
        <v>0</v>
      </c>
      <c r="W192" s="138">
        <f>(Tabla1[[#This Row],[COS.BASE 3]]*0.35+Tabla1[[#This Row],[COS.BASE 3]])*Tabla1[[#This Row],[HORAS 35% ]]</f>
        <v>0</v>
      </c>
      <c r="X192" s="138">
        <f>SUM(Tabla1[[#This Row],[C.HORA.35]],Tabla1[[#This Row],[C.HORA.25]])</f>
        <v>0</v>
      </c>
      <c r="Y192" s="4"/>
      <c r="Z192" s="10">
        <f>Tabla1[[#This Row],[T.HORAS]]*24</f>
        <v>9.9999999999999982</v>
      </c>
      <c r="AA192" s="4">
        <f>Tabla1[[#This Row],[H.NORMALES]]*24</f>
        <v>8</v>
      </c>
      <c r="AB192" s="10">
        <f>Tabla1[[#This Row],[H.EXTRAS]]*24</f>
        <v>1.9999999999999982</v>
      </c>
      <c r="AC192" s="105">
        <f t="shared" si="8"/>
        <v>65</v>
      </c>
      <c r="AD192" s="120">
        <f>Tabla1[[#This Row],[COS.BASE 2]]/8</f>
        <v>8.125</v>
      </c>
      <c r="AE192" s="105">
        <f>Tabla1[[#This Row],[CST_H_E]]+Tabla1[[#This Row],[COS.BASE 2]]</f>
        <v>65</v>
      </c>
      <c r="AF192" s="106">
        <f>+_xlfn.IFNA(INDEX(RUBRO!$W$2:$AA$732,MATCH(Tabla1[[#This Row],[FECHA ]],RUBRO!$W$2:$W$732,0),5)," ")</f>
        <v>0</v>
      </c>
      <c r="AG192" s="10">
        <f>+_xlfn.IFNA(INDEX(RUBRO!$W$2:$AA$732,MATCH(Tabla1[[#This Row],[FECHA ]],RUBRO!$W$2:$W$732,0),2)," ")</f>
        <v>0</v>
      </c>
      <c r="AH192" s="40">
        <f>IFERROR(Tabla1[[#This Row],[F]]*Tabla1[[#This Row],[COS.B+E]]," ")</f>
        <v>0</v>
      </c>
      <c r="AI192" s="40">
        <f>IFERROR(Tabla1[[#This Row],[COS.B+E]]*Tabla1[[#This Row],[D]]," ")</f>
        <v>0</v>
      </c>
      <c r="AJ192" s="40" t="str">
        <f>IFERROR(Tabla1[[#This Row],[F]]*#REF!," ")</f>
        <v xml:space="preserve"> </v>
      </c>
      <c r="AK192" s="40" t="str">
        <f>IFERROR(#REF!*Tabla1[[#This Row],[D]]," ")</f>
        <v xml:space="preserve"> </v>
      </c>
      <c r="AL192" s="103"/>
      <c r="AM192" s="103"/>
      <c r="AN192" s="103"/>
      <c r="AO192" s="38">
        <f>+Tabla1[[#This Row],[COS.B+E]]+Tabla1[[#This Row],[COS.F1]]+Tabla1[[#This Row],[COS.D1]]+Tabla1[[#This Row],[ALIMENTACION]]+Tabla1[[#This Row],[PRESTAMO]]+AN192</f>
        <v>65</v>
      </c>
      <c r="AP192" s="38" t="e">
        <f>+#REF!+Tabla1[[#This Row],[COS F2]]+Tabla1[[#This Row],[COS D2]]+Tabla1[[#This Row],[ALIMENTACION]]+Tabla1[[#This Row],[PRESTAMO]]+Tabla1[[#This Row],[PASAJES]]</f>
        <v>#REF!</v>
      </c>
    </row>
    <row r="193" spans="1:42" x14ac:dyDescent="0.25">
      <c r="A193" s="2" t="str">
        <f>TEXT(Tabla1[[#This Row],[FECHA ]],"DDDDD")</f>
        <v>lunes</v>
      </c>
      <c r="B193" s="2" t="str">
        <f>_xlfn.IFNA(VLOOKUP(Tabla1[[#This Row],[DESTINO]],RUBRO!$Q$1:$R$9996,2,FALSE)," ")</f>
        <v>PLANTA</v>
      </c>
      <c r="C193" s="104">
        <f>WEEKNUM(Tabla1[[#This Row],[FECHA ]],2)</f>
        <v>20</v>
      </c>
      <c r="D193" s="104" t="str">
        <f>TEXT(Tabla1[[#This Row],[FECHA ]],"MMM-YY")</f>
        <v>may-YY</v>
      </c>
      <c r="E193" s="104" t="str">
        <f>VLOOKUP(Tabla1[[#This Row],[DNI ]],RUBRO!$F$1:$O$9996,7,FALSE)</f>
        <v>4ta</v>
      </c>
      <c r="F193" s="104" t="str">
        <f>VLOOKUP(Tabla1[[#This Row],[DNI ]],RUBRO!$F$1:$O$88,3,FALSE)</f>
        <v>OPE-01</v>
      </c>
      <c r="G193" s="104" t="str">
        <f>VLOOKUP(Tabla1[[#This Row],[DNI ]],RUBRO!$F$1:$O$9996,5,FALSE)</f>
        <v>OPERARIO SOLDADOR</v>
      </c>
      <c r="H193" s="66" t="str">
        <f>VLOOKUP(Tabla1[[#This Row],[DNI ]],RUBRO!$F$1:$O$9996,6,FALSE)</f>
        <v>ENRIQUEZ GONZALES MIGUEL ANGEL</v>
      </c>
      <c r="I193" s="94">
        <v>44326</v>
      </c>
      <c r="J193" s="10">
        <v>1</v>
      </c>
      <c r="K193" s="2">
        <v>42558469</v>
      </c>
      <c r="L193" s="4">
        <f>VLOOKUP(Tabla1[[#This Row],[DNI ]],RUBRO!$F$2:$O$9996,8,FALSE)</f>
        <v>60</v>
      </c>
      <c r="M193" s="88">
        <v>0.29166666666666669</v>
      </c>
      <c r="N193" s="28">
        <v>0.54166666666666663</v>
      </c>
      <c r="O193" s="28">
        <v>0.58333333333333337</v>
      </c>
      <c r="P193" s="28">
        <v>0.70833333333333337</v>
      </c>
      <c r="Q193" s="31">
        <f>(Tabla1[[#This Row],[SALIDA]]-Tabla1[[#This Row],[FIN ]])+(Tabla1[[#This Row],[INICIO]]-Tabla1[[#This Row],[INGRESO]])</f>
        <v>0.37499999999999994</v>
      </c>
      <c r="R193" s="13">
        <f t="shared" si="6"/>
        <v>0.37499999999999994</v>
      </c>
      <c r="S193" s="31">
        <f t="shared" si="7"/>
        <v>0</v>
      </c>
      <c r="T193" s="136"/>
      <c r="U193" s="136"/>
      <c r="V193" s="137">
        <f>(Tabla1[[#This Row],[COS.BASE 3]]*0.25+Tabla1[[#This Row],[COS.BASE 3]])*Tabla1[[#This Row],[HORAS 25 % ]]</f>
        <v>0</v>
      </c>
      <c r="W193" s="138">
        <f>(Tabla1[[#This Row],[COS.BASE 3]]*0.35+Tabla1[[#This Row],[COS.BASE 3]])*Tabla1[[#This Row],[HORAS 35% ]]</f>
        <v>0</v>
      </c>
      <c r="X193" s="138">
        <f>SUM(Tabla1[[#This Row],[C.HORA.35]],Tabla1[[#This Row],[C.HORA.25]])</f>
        <v>0</v>
      </c>
      <c r="Y193" s="4"/>
      <c r="Z193" s="10">
        <f>Tabla1[[#This Row],[T.HORAS]]*24</f>
        <v>8.9999999999999982</v>
      </c>
      <c r="AA193" s="4">
        <f>Tabla1[[#This Row],[H.NORMALES]]*24</f>
        <v>8.9999999999999982</v>
      </c>
      <c r="AB193" s="10">
        <f>Tabla1[[#This Row],[H.EXTRAS]]*24</f>
        <v>0</v>
      </c>
      <c r="AC193" s="105">
        <f t="shared" si="8"/>
        <v>59.999999999999993</v>
      </c>
      <c r="AD193" s="120">
        <f>Tabla1[[#This Row],[COS.BASE 2]]/8</f>
        <v>7.4999999999999991</v>
      </c>
      <c r="AE193" s="105">
        <f>Tabla1[[#This Row],[CST_H_E]]+Tabla1[[#This Row],[COS.BASE 2]]</f>
        <v>59.999999999999993</v>
      </c>
      <c r="AF193" s="106">
        <f>+_xlfn.IFNA(INDEX(RUBRO!$W$2:$AA$732,MATCH(Tabla1[[#This Row],[FECHA ]],RUBRO!$W$2:$W$732,0),5)," ")</f>
        <v>0</v>
      </c>
      <c r="AG193" s="10">
        <f>+_xlfn.IFNA(INDEX(RUBRO!$W$2:$AA$732,MATCH(Tabla1[[#This Row],[FECHA ]],RUBRO!$W$2:$W$732,0),2)," ")</f>
        <v>0</v>
      </c>
      <c r="AH193" s="40">
        <f>IFERROR(Tabla1[[#This Row],[F]]*Tabla1[[#This Row],[COS.B+E]]," ")</f>
        <v>0</v>
      </c>
      <c r="AI193" s="40">
        <f>IFERROR(Tabla1[[#This Row],[COS.B+E]]*Tabla1[[#This Row],[D]]," ")</f>
        <v>0</v>
      </c>
      <c r="AJ193" s="40" t="str">
        <f>IFERROR(Tabla1[[#This Row],[F]]*#REF!," ")</f>
        <v xml:space="preserve"> </v>
      </c>
      <c r="AK193" s="40" t="str">
        <f>IFERROR(#REF!*Tabla1[[#This Row],[D]]," ")</f>
        <v xml:space="preserve"> </v>
      </c>
      <c r="AL193" s="103"/>
      <c r="AM193" s="103"/>
      <c r="AN193" s="103"/>
      <c r="AO193" s="38">
        <f>+Tabla1[[#This Row],[COS.B+E]]+Tabla1[[#This Row],[COS.F1]]+Tabla1[[#This Row],[COS.D1]]+Tabla1[[#This Row],[ALIMENTACION]]+Tabla1[[#This Row],[PRESTAMO]]+AN193</f>
        <v>59.999999999999993</v>
      </c>
      <c r="AP193" s="38" t="e">
        <f>+#REF!+Tabla1[[#This Row],[COS F2]]+Tabla1[[#This Row],[COS D2]]+Tabla1[[#This Row],[ALIMENTACION]]+Tabla1[[#This Row],[PRESTAMO]]+Tabla1[[#This Row],[PASAJES]]</f>
        <v>#REF!</v>
      </c>
    </row>
    <row r="194" spans="1:42" x14ac:dyDescent="0.25">
      <c r="A194" s="2" t="str">
        <f>TEXT(Tabla1[[#This Row],[FECHA ]],"DDDDD")</f>
        <v>lunes</v>
      </c>
      <c r="B194" s="2" t="str">
        <f>_xlfn.IFNA(VLOOKUP(Tabla1[[#This Row],[DESTINO]],RUBRO!$Q$1:$R$9996,2,FALSE)," ")</f>
        <v>PLANTA</v>
      </c>
      <c r="C194" s="104">
        <f>WEEKNUM(Tabla1[[#This Row],[FECHA ]],2)</f>
        <v>20</v>
      </c>
      <c r="D194" s="104" t="str">
        <f>TEXT(Tabla1[[#This Row],[FECHA ]],"MMM-YY")</f>
        <v>may-YY</v>
      </c>
      <c r="E194" s="104" t="str">
        <f>VLOOKUP(Tabla1[[#This Row],[DNI ]],RUBRO!$F$1:$O$9996,7,FALSE)</f>
        <v>5ta</v>
      </c>
      <c r="F194" s="104" t="str">
        <f>VLOOKUP(Tabla1[[#This Row],[DNI ]],RUBRO!$F$1:$O$88,3,FALSE)</f>
        <v>MAE-02</v>
      </c>
      <c r="G194" s="104" t="str">
        <f>VLOOKUP(Tabla1[[#This Row],[DNI ]],RUBRO!$F$1:$O$9996,5,FALSE)</f>
        <v>MAESTRO MECANICO MONTAJISTA DE MAQUINARIA</v>
      </c>
      <c r="H194" s="66" t="str">
        <f>VLOOKUP(Tabla1[[#This Row],[DNI ]],RUBRO!$F$1:$O$9996,6,FALSE)</f>
        <v>GRAUS JUAREZ MIGUEL RICARDO</v>
      </c>
      <c r="I194" s="94">
        <v>44326</v>
      </c>
      <c r="J194" s="10">
        <v>1</v>
      </c>
      <c r="K194" s="2">
        <v>48046568</v>
      </c>
      <c r="L194" s="4">
        <f>VLOOKUP(Tabla1[[#This Row],[DNI ]],RUBRO!$F$2:$O$9996,8,FALSE)</f>
        <v>68.150000000000006</v>
      </c>
      <c r="M194" s="88">
        <v>0.29166666666666669</v>
      </c>
      <c r="N194" s="28">
        <v>0.54166666666666663</v>
      </c>
      <c r="O194" s="28">
        <v>0.58333333333333337</v>
      </c>
      <c r="P194" s="28">
        <v>0.70833333333333337</v>
      </c>
      <c r="Q194" s="31">
        <f>(Tabla1[[#This Row],[SALIDA]]-Tabla1[[#This Row],[FIN ]])+(Tabla1[[#This Row],[INICIO]]-Tabla1[[#This Row],[INGRESO]])</f>
        <v>0.37499999999999994</v>
      </c>
      <c r="R194" s="13">
        <f t="shared" si="6"/>
        <v>0.37499999999999994</v>
      </c>
      <c r="S194" s="31">
        <f t="shared" si="7"/>
        <v>0</v>
      </c>
      <c r="T194" s="136"/>
      <c r="U194" s="136"/>
      <c r="V194" s="137">
        <f>(Tabla1[[#This Row],[COS.BASE 3]]*0.25+Tabla1[[#This Row],[COS.BASE 3]])*Tabla1[[#This Row],[HORAS 25 % ]]</f>
        <v>0</v>
      </c>
      <c r="W194" s="138">
        <f>(Tabla1[[#This Row],[COS.BASE 3]]*0.35+Tabla1[[#This Row],[COS.BASE 3]])*Tabla1[[#This Row],[HORAS 35% ]]</f>
        <v>0</v>
      </c>
      <c r="X194" s="138">
        <f>SUM(Tabla1[[#This Row],[C.HORA.35]],Tabla1[[#This Row],[C.HORA.25]])</f>
        <v>0</v>
      </c>
      <c r="Y194" s="4"/>
      <c r="Z194" s="10">
        <f>Tabla1[[#This Row],[T.HORAS]]*24</f>
        <v>8.9999999999999982</v>
      </c>
      <c r="AA194" s="4">
        <f>Tabla1[[#This Row],[H.NORMALES]]*24</f>
        <v>8.9999999999999982</v>
      </c>
      <c r="AB194" s="10">
        <f>Tabla1[[#This Row],[H.EXTRAS]]*24</f>
        <v>0</v>
      </c>
      <c r="AC194" s="105">
        <f t="shared" si="8"/>
        <v>68.149999999999991</v>
      </c>
      <c r="AD194" s="120">
        <f>Tabla1[[#This Row],[COS.BASE 2]]/8</f>
        <v>8.5187499999999989</v>
      </c>
      <c r="AE194" s="105">
        <f>Tabla1[[#This Row],[CST_H_E]]+Tabla1[[#This Row],[COS.BASE 2]]</f>
        <v>68.149999999999991</v>
      </c>
      <c r="AF194" s="106">
        <f>+_xlfn.IFNA(INDEX(RUBRO!$W$2:$AA$732,MATCH(Tabla1[[#This Row],[FECHA ]],RUBRO!$W$2:$W$732,0),5)," ")</f>
        <v>0</v>
      </c>
      <c r="AG194" s="10">
        <f>+_xlfn.IFNA(INDEX(RUBRO!$W$2:$AA$732,MATCH(Tabla1[[#This Row],[FECHA ]],RUBRO!$W$2:$W$732,0),2)," ")</f>
        <v>0</v>
      </c>
      <c r="AH194" s="40">
        <f>IFERROR(Tabla1[[#This Row],[F]]*Tabla1[[#This Row],[COS.B+E]]," ")</f>
        <v>0</v>
      </c>
      <c r="AI194" s="40">
        <f>IFERROR(Tabla1[[#This Row],[COS.B+E]]*Tabla1[[#This Row],[D]]," ")</f>
        <v>0</v>
      </c>
      <c r="AJ194" s="40" t="str">
        <f>IFERROR(Tabla1[[#This Row],[F]]*#REF!," ")</f>
        <v xml:space="preserve"> </v>
      </c>
      <c r="AK194" s="40" t="str">
        <f>IFERROR(#REF!*Tabla1[[#This Row],[D]]," ")</f>
        <v xml:space="preserve"> </v>
      </c>
      <c r="AL194" s="103"/>
      <c r="AM194" s="103"/>
      <c r="AN194" s="103"/>
      <c r="AO194" s="38">
        <f>+Tabla1[[#This Row],[COS.B+E]]+Tabla1[[#This Row],[COS.F1]]+Tabla1[[#This Row],[COS.D1]]+Tabla1[[#This Row],[ALIMENTACION]]+Tabla1[[#This Row],[PRESTAMO]]+AN194</f>
        <v>68.149999999999991</v>
      </c>
      <c r="AP194" s="38" t="e">
        <f>+#REF!+Tabla1[[#This Row],[COS F2]]+Tabla1[[#This Row],[COS D2]]+Tabla1[[#This Row],[ALIMENTACION]]+Tabla1[[#This Row],[PRESTAMO]]+Tabla1[[#This Row],[PASAJES]]</f>
        <v>#REF!</v>
      </c>
    </row>
    <row r="195" spans="1:42" x14ac:dyDescent="0.25">
      <c r="A195" s="2" t="str">
        <f>TEXT(Tabla1[[#This Row],[FECHA ]],"DDDDD")</f>
        <v>lunes</v>
      </c>
      <c r="B195" s="2" t="str">
        <f>_xlfn.IFNA(VLOOKUP(Tabla1[[#This Row],[DESTINO]],RUBRO!$Q$1:$R$9996,2,FALSE)," ")</f>
        <v>PLANTA</v>
      </c>
      <c r="C195" s="104">
        <f>WEEKNUM(Tabla1[[#This Row],[FECHA ]],2)</f>
        <v>20</v>
      </c>
      <c r="D195" s="104" t="str">
        <f>TEXT(Tabla1[[#This Row],[FECHA ]],"MMM-YY")</f>
        <v>may-YY</v>
      </c>
      <c r="E195" s="104" t="str">
        <f>VLOOKUP(Tabla1[[#This Row],[DNI ]],RUBRO!$F$1:$O$9996,7,FALSE)</f>
        <v>5ta</v>
      </c>
      <c r="F195" s="104" t="e">
        <f>VLOOKUP(Tabla1[[#This Row],[DNI ]],RUBRO!$F$1:$O$88,3,FALSE)</f>
        <v>#N/A</v>
      </c>
      <c r="G195" s="104" t="str">
        <f>VLOOKUP(Tabla1[[#This Row],[DNI ]],RUBRO!$F$1:$O$9996,5,FALSE)</f>
        <v>AYUDANTE DE PRODUCCION</v>
      </c>
      <c r="H195" s="66" t="str">
        <f>VLOOKUP(Tabla1[[#This Row],[DNI ]],RUBRO!$F$1:$O$9996,6,FALSE)</f>
        <v>GUERRERO CORDOVA ISMAEL</v>
      </c>
      <c r="I195" s="94">
        <v>44326</v>
      </c>
      <c r="J195" s="10">
        <v>1</v>
      </c>
      <c r="K195" s="2">
        <v>75790434</v>
      </c>
      <c r="L195" s="4">
        <f>VLOOKUP(Tabla1[[#This Row],[DNI ]],RUBRO!$F$2:$O$9996,8,FALSE)</f>
        <v>35.81</v>
      </c>
      <c r="M195" s="88">
        <v>0.29166666666666669</v>
      </c>
      <c r="N195" s="28">
        <v>0.54166666666666663</v>
      </c>
      <c r="O195" s="28">
        <v>0.58333333333333337</v>
      </c>
      <c r="P195" s="28">
        <v>0.70833333333333337</v>
      </c>
      <c r="Q195" s="31">
        <f>(Tabla1[[#This Row],[SALIDA]]-Tabla1[[#This Row],[FIN ]])+(Tabla1[[#This Row],[INICIO]]-Tabla1[[#This Row],[INGRESO]])</f>
        <v>0.37499999999999994</v>
      </c>
      <c r="R195" s="13">
        <f t="shared" si="6"/>
        <v>0.37499999999999994</v>
      </c>
      <c r="S195" s="31">
        <f t="shared" si="7"/>
        <v>0</v>
      </c>
      <c r="T195" s="136"/>
      <c r="U195" s="136"/>
      <c r="V195" s="137">
        <f>(Tabla1[[#This Row],[COS.BASE 3]]*0.25+Tabla1[[#This Row],[COS.BASE 3]])*Tabla1[[#This Row],[HORAS 25 % ]]</f>
        <v>0</v>
      </c>
      <c r="W195" s="138">
        <f>(Tabla1[[#This Row],[COS.BASE 3]]*0.35+Tabla1[[#This Row],[COS.BASE 3]])*Tabla1[[#This Row],[HORAS 35% ]]</f>
        <v>0</v>
      </c>
      <c r="X195" s="138">
        <f>SUM(Tabla1[[#This Row],[C.HORA.35]],Tabla1[[#This Row],[C.HORA.25]])</f>
        <v>0</v>
      </c>
      <c r="Y195" s="4"/>
      <c r="Z195" s="10">
        <f>Tabla1[[#This Row],[T.HORAS]]*24</f>
        <v>8.9999999999999982</v>
      </c>
      <c r="AA195" s="4">
        <f>Tabla1[[#This Row],[H.NORMALES]]*24</f>
        <v>8.9999999999999982</v>
      </c>
      <c r="AB195" s="10">
        <f>Tabla1[[#This Row],[H.EXTRAS]]*24</f>
        <v>0</v>
      </c>
      <c r="AC195" s="105">
        <f t="shared" si="8"/>
        <v>35.809999999999995</v>
      </c>
      <c r="AD195" s="120">
        <f>Tabla1[[#This Row],[COS.BASE 2]]/8</f>
        <v>4.4762499999999994</v>
      </c>
      <c r="AE195" s="105">
        <f>Tabla1[[#This Row],[CST_H_E]]+Tabla1[[#This Row],[COS.BASE 2]]</f>
        <v>35.809999999999995</v>
      </c>
      <c r="AF195" s="106">
        <f>+_xlfn.IFNA(INDEX(RUBRO!$W$2:$AA$732,MATCH(Tabla1[[#This Row],[FECHA ]],RUBRO!$W$2:$W$732,0),5)," ")</f>
        <v>0</v>
      </c>
      <c r="AG195" s="10">
        <f>+_xlfn.IFNA(INDEX(RUBRO!$W$2:$AA$732,MATCH(Tabla1[[#This Row],[FECHA ]],RUBRO!$W$2:$W$732,0),2)," ")</f>
        <v>0</v>
      </c>
      <c r="AH195" s="40">
        <f>IFERROR(Tabla1[[#This Row],[F]]*Tabla1[[#This Row],[COS.B+E]]," ")</f>
        <v>0</v>
      </c>
      <c r="AI195" s="40">
        <f>IFERROR(Tabla1[[#This Row],[COS.B+E]]*Tabla1[[#This Row],[D]]," ")</f>
        <v>0</v>
      </c>
      <c r="AJ195" s="40" t="str">
        <f>IFERROR(Tabla1[[#This Row],[F]]*#REF!," ")</f>
        <v xml:space="preserve"> </v>
      </c>
      <c r="AK195" s="40" t="str">
        <f>IFERROR(#REF!*Tabla1[[#This Row],[D]]," ")</f>
        <v xml:space="preserve"> </v>
      </c>
      <c r="AL195" s="103"/>
      <c r="AM195" s="103"/>
      <c r="AN195" s="103"/>
      <c r="AO195" s="38">
        <f>+Tabla1[[#This Row],[COS.B+E]]+Tabla1[[#This Row],[COS.F1]]+Tabla1[[#This Row],[COS.D1]]+Tabla1[[#This Row],[ALIMENTACION]]+Tabla1[[#This Row],[PRESTAMO]]+AN195</f>
        <v>35.809999999999995</v>
      </c>
      <c r="AP195" s="38" t="e">
        <f>+#REF!+Tabla1[[#This Row],[COS F2]]+Tabla1[[#This Row],[COS D2]]+Tabla1[[#This Row],[ALIMENTACION]]+Tabla1[[#This Row],[PRESTAMO]]+Tabla1[[#This Row],[PASAJES]]</f>
        <v>#REF!</v>
      </c>
    </row>
    <row r="196" spans="1:42" x14ac:dyDescent="0.25">
      <c r="A196" s="2" t="str">
        <f>TEXT(Tabla1[[#This Row],[FECHA ]],"DDDDD")</f>
        <v>lunes</v>
      </c>
      <c r="B196" s="2" t="str">
        <f>_xlfn.IFNA(VLOOKUP(Tabla1[[#This Row],[DESTINO]],RUBRO!$Q$1:$R$9996,2,FALSE)," ")</f>
        <v>PLANTA</v>
      </c>
      <c r="C196" s="104">
        <f>WEEKNUM(Tabla1[[#This Row],[FECHA ]],2)</f>
        <v>20</v>
      </c>
      <c r="D196" s="104" t="str">
        <f>TEXT(Tabla1[[#This Row],[FECHA ]],"MMM-YY")</f>
        <v>may-YY</v>
      </c>
      <c r="E196" s="104" t="str">
        <f>VLOOKUP(Tabla1[[#This Row],[DNI ]],RUBRO!$F$1:$O$9996,7,FALSE)</f>
        <v>4ta</v>
      </c>
      <c r="F196" s="104" t="str">
        <f>VLOOKUP(Tabla1[[#This Row],[DNI ]],RUBRO!$F$1:$O$88,3,FALSE)</f>
        <v>TEC-01</v>
      </c>
      <c r="G196" s="104" t="str">
        <f>VLOOKUP(Tabla1[[#This Row],[DNI ]],RUBRO!$F$1:$O$9996,5,FALSE)</f>
        <v>TECNICO SOLDADOR</v>
      </c>
      <c r="H196" s="66" t="str">
        <f>VLOOKUP(Tabla1[[#This Row],[DNI ]],RUBRO!$F$1:$O$9996,6,FALSE)</f>
        <v>GUEVARA PACHERREZ ERICK DANIEL</v>
      </c>
      <c r="I196" s="94">
        <v>44326</v>
      </c>
      <c r="J196" s="10">
        <v>1</v>
      </c>
      <c r="K196" s="2">
        <v>45545014</v>
      </c>
      <c r="L196" s="4">
        <f>VLOOKUP(Tabla1[[#This Row],[DNI ]],RUBRO!$F$2:$O$9996,8,FALSE)</f>
        <v>60</v>
      </c>
      <c r="M196" s="88">
        <v>0.29166666666666669</v>
      </c>
      <c r="N196" s="28">
        <v>0.54166666666666663</v>
      </c>
      <c r="O196" s="28">
        <v>0.58333333333333337</v>
      </c>
      <c r="P196" s="28">
        <v>0.75</v>
      </c>
      <c r="Q196" s="31">
        <f>(Tabla1[[#This Row],[SALIDA]]-Tabla1[[#This Row],[FIN ]])+(Tabla1[[#This Row],[INICIO]]-Tabla1[[#This Row],[INGRESO]])</f>
        <v>0.41666666666666657</v>
      </c>
      <c r="R196" s="13">
        <f t="shared" si="6"/>
        <v>0.375</v>
      </c>
      <c r="S196" s="31">
        <f t="shared" si="7"/>
        <v>4.1666666666666574E-2</v>
      </c>
      <c r="T196" s="136"/>
      <c r="U196" s="136"/>
      <c r="V196" s="137">
        <f>(Tabla1[[#This Row],[COS.BASE 3]]*0.25+Tabla1[[#This Row],[COS.BASE 3]])*Tabla1[[#This Row],[HORAS 25 % ]]</f>
        <v>0</v>
      </c>
      <c r="W196" s="138">
        <f>(Tabla1[[#This Row],[COS.BASE 3]]*0.35+Tabla1[[#This Row],[COS.BASE 3]])*Tabla1[[#This Row],[HORAS 35% ]]</f>
        <v>0</v>
      </c>
      <c r="X196" s="138">
        <f>SUM(Tabla1[[#This Row],[C.HORA.35]],Tabla1[[#This Row],[C.HORA.25]])</f>
        <v>0</v>
      </c>
      <c r="Y196" s="4"/>
      <c r="Z196" s="10">
        <f>Tabla1[[#This Row],[T.HORAS]]*24</f>
        <v>9.9999999999999982</v>
      </c>
      <c r="AA196" s="4">
        <f>Tabla1[[#This Row],[H.NORMALES]]*24</f>
        <v>9</v>
      </c>
      <c r="AB196" s="10">
        <f>Tabla1[[#This Row],[H.EXTRAS]]*24</f>
        <v>0.99999999999999778</v>
      </c>
      <c r="AC196" s="105">
        <f t="shared" si="8"/>
        <v>60</v>
      </c>
      <c r="AD196" s="120">
        <f>Tabla1[[#This Row],[COS.BASE 2]]/8</f>
        <v>7.5</v>
      </c>
      <c r="AE196" s="105">
        <f>Tabla1[[#This Row],[CST_H_E]]+Tabla1[[#This Row],[COS.BASE 2]]</f>
        <v>60</v>
      </c>
      <c r="AF196" s="106">
        <f>+_xlfn.IFNA(INDEX(RUBRO!$W$2:$AA$732,MATCH(Tabla1[[#This Row],[FECHA ]],RUBRO!$W$2:$W$732,0),5)," ")</f>
        <v>0</v>
      </c>
      <c r="AG196" s="10">
        <f>+_xlfn.IFNA(INDEX(RUBRO!$W$2:$AA$732,MATCH(Tabla1[[#This Row],[FECHA ]],RUBRO!$W$2:$W$732,0),2)," ")</f>
        <v>0</v>
      </c>
      <c r="AH196" s="40">
        <f>IFERROR(Tabla1[[#This Row],[F]]*Tabla1[[#This Row],[COS.B+E]]," ")</f>
        <v>0</v>
      </c>
      <c r="AI196" s="40">
        <f>IFERROR(Tabla1[[#This Row],[COS.B+E]]*Tabla1[[#This Row],[D]]," ")</f>
        <v>0</v>
      </c>
      <c r="AJ196" s="40" t="str">
        <f>IFERROR(Tabla1[[#This Row],[F]]*#REF!," ")</f>
        <v xml:space="preserve"> </v>
      </c>
      <c r="AK196" s="40" t="str">
        <f>IFERROR(#REF!*Tabla1[[#This Row],[D]]," ")</f>
        <v xml:space="preserve"> </v>
      </c>
      <c r="AL196" s="103"/>
      <c r="AM196" s="103"/>
      <c r="AN196" s="103"/>
      <c r="AO196" s="38">
        <f>+Tabla1[[#This Row],[COS.B+E]]+Tabla1[[#This Row],[COS.F1]]+Tabla1[[#This Row],[COS.D1]]+Tabla1[[#This Row],[ALIMENTACION]]+Tabla1[[#This Row],[PRESTAMO]]+AN196</f>
        <v>60</v>
      </c>
      <c r="AP196" s="38" t="e">
        <f>+#REF!+Tabla1[[#This Row],[COS F2]]+Tabla1[[#This Row],[COS D2]]+Tabla1[[#This Row],[ALIMENTACION]]+Tabla1[[#This Row],[PRESTAMO]]+Tabla1[[#This Row],[PASAJES]]</f>
        <v>#REF!</v>
      </c>
    </row>
    <row r="197" spans="1:42" x14ac:dyDescent="0.25">
      <c r="A197" s="2" t="str">
        <f>TEXT(Tabla1[[#This Row],[FECHA ]],"DDDDD")</f>
        <v>lunes</v>
      </c>
      <c r="B197" s="2" t="str">
        <f>_xlfn.IFNA(VLOOKUP(Tabla1[[#This Row],[DESTINO]],RUBRO!$Q$1:$R$9996,2,FALSE)," ")</f>
        <v>OBRA</v>
      </c>
      <c r="C197" s="104">
        <f>WEEKNUM(Tabla1[[#This Row],[FECHA ]],2)</f>
        <v>20</v>
      </c>
      <c r="D197" s="104" t="str">
        <f>TEXT(Tabla1[[#This Row],[FECHA ]],"MMM-YY")</f>
        <v>may-YY</v>
      </c>
      <c r="E197" s="104" t="str">
        <f>VLOOKUP(Tabla1[[#This Row],[DNI ]],RUBRO!$F$1:$O$9996,7,FALSE)</f>
        <v>5ta</v>
      </c>
      <c r="F197" s="104" t="str">
        <f>VLOOKUP(Tabla1[[#This Row],[DNI ]],RUBRO!$F$1:$O$88,3,FALSE)</f>
        <v>X6</v>
      </c>
      <c r="G197" s="104" t="str">
        <f>VLOOKUP(Tabla1[[#This Row],[DNI ]],RUBRO!$F$1:$O$9996,5,FALSE)</f>
        <v>SUPERVISOR DE MONTAJE Y DESMONTAJE</v>
      </c>
      <c r="H197" s="66" t="str">
        <f>VLOOKUP(Tabla1[[#This Row],[DNI ]],RUBRO!$F$1:$O$9996,6,FALSE)</f>
        <v>HERRERA NAVARRO OSMER</v>
      </c>
      <c r="I197" s="94">
        <v>44326</v>
      </c>
      <c r="J197" s="10">
        <v>2</v>
      </c>
      <c r="K197" s="2">
        <v>45327555</v>
      </c>
      <c r="L197" s="4">
        <f>VLOOKUP(Tabla1[[#This Row],[DNI ]],RUBRO!$F$2:$O$9996,8,FALSE)</f>
        <v>62.31</v>
      </c>
      <c r="M197" s="88">
        <v>0.29166666666666669</v>
      </c>
      <c r="N197" s="28">
        <v>0.54166666666666663</v>
      </c>
      <c r="O197" s="28">
        <v>0.58333333333333337</v>
      </c>
      <c r="P197" s="28">
        <v>0.75</v>
      </c>
      <c r="Q197" s="31">
        <f>(Tabla1[[#This Row],[SALIDA]]-Tabla1[[#This Row],[FIN ]])+(Tabla1[[#This Row],[INICIO]]-Tabla1[[#This Row],[INGRESO]])</f>
        <v>0.41666666666666657</v>
      </c>
      <c r="R197" s="13">
        <f t="shared" si="6"/>
        <v>0.33333333333333331</v>
      </c>
      <c r="S197" s="31">
        <f t="shared" si="7"/>
        <v>8.3333333333333259E-2</v>
      </c>
      <c r="T197" s="136"/>
      <c r="U197" s="136"/>
      <c r="V197" s="137">
        <f>(Tabla1[[#This Row],[COS.BASE 3]]*0.25+Tabla1[[#This Row],[COS.BASE 3]])*Tabla1[[#This Row],[HORAS 25 % ]]</f>
        <v>0</v>
      </c>
      <c r="W197" s="138">
        <f>(Tabla1[[#This Row],[COS.BASE 3]]*0.35+Tabla1[[#This Row],[COS.BASE 3]])*Tabla1[[#This Row],[HORAS 35% ]]</f>
        <v>0</v>
      </c>
      <c r="X197" s="138">
        <f>SUM(Tabla1[[#This Row],[C.HORA.35]],Tabla1[[#This Row],[C.HORA.25]])</f>
        <v>0</v>
      </c>
      <c r="Y197" s="4"/>
      <c r="Z197" s="10">
        <f>Tabla1[[#This Row],[T.HORAS]]*24</f>
        <v>9.9999999999999982</v>
      </c>
      <c r="AA197" s="4">
        <f>Tabla1[[#This Row],[H.NORMALES]]*24</f>
        <v>8</v>
      </c>
      <c r="AB197" s="10">
        <f>Tabla1[[#This Row],[H.EXTRAS]]*24</f>
        <v>1.9999999999999982</v>
      </c>
      <c r="AC197" s="105">
        <f t="shared" si="8"/>
        <v>62.31</v>
      </c>
      <c r="AD197" s="120">
        <f>Tabla1[[#This Row],[COS.BASE 2]]/8</f>
        <v>7.7887500000000003</v>
      </c>
      <c r="AE197" s="105">
        <f>Tabla1[[#This Row],[CST_H_E]]+Tabla1[[#This Row],[COS.BASE 2]]</f>
        <v>62.31</v>
      </c>
      <c r="AF197" s="106">
        <f>+_xlfn.IFNA(INDEX(RUBRO!$W$2:$AA$732,MATCH(Tabla1[[#This Row],[FECHA ]],RUBRO!$W$2:$W$732,0),5)," ")</f>
        <v>0</v>
      </c>
      <c r="AG197" s="10">
        <f>+_xlfn.IFNA(INDEX(RUBRO!$W$2:$AA$732,MATCH(Tabla1[[#This Row],[FECHA ]],RUBRO!$W$2:$W$732,0),2)," ")</f>
        <v>0</v>
      </c>
      <c r="AH197" s="40">
        <f>IFERROR(Tabla1[[#This Row],[F]]*Tabla1[[#This Row],[COS.B+E]]," ")</f>
        <v>0</v>
      </c>
      <c r="AI197" s="40">
        <f>IFERROR(Tabla1[[#This Row],[COS.B+E]]*Tabla1[[#This Row],[D]]," ")</f>
        <v>0</v>
      </c>
      <c r="AJ197" s="40" t="str">
        <f>IFERROR(Tabla1[[#This Row],[F]]*#REF!," ")</f>
        <v xml:space="preserve"> </v>
      </c>
      <c r="AK197" s="40" t="str">
        <f>IFERROR(#REF!*Tabla1[[#This Row],[D]]," ")</f>
        <v xml:space="preserve"> </v>
      </c>
      <c r="AL197" s="103"/>
      <c r="AM197" s="103"/>
      <c r="AN197" s="103"/>
      <c r="AO197" s="38">
        <f>+Tabla1[[#This Row],[COS.B+E]]+Tabla1[[#This Row],[COS.F1]]+Tabla1[[#This Row],[COS.D1]]+Tabla1[[#This Row],[ALIMENTACION]]+Tabla1[[#This Row],[PRESTAMO]]+AN197</f>
        <v>62.31</v>
      </c>
      <c r="AP197" s="38" t="e">
        <f>+#REF!+Tabla1[[#This Row],[COS F2]]+Tabla1[[#This Row],[COS D2]]+Tabla1[[#This Row],[ALIMENTACION]]+Tabla1[[#This Row],[PRESTAMO]]+Tabla1[[#This Row],[PASAJES]]</f>
        <v>#REF!</v>
      </c>
    </row>
    <row r="198" spans="1:42" x14ac:dyDescent="0.25">
      <c r="A198" s="2" t="str">
        <f>TEXT(Tabla1[[#This Row],[FECHA ]],"DDDDD")</f>
        <v>lunes</v>
      </c>
      <c r="B198" s="2" t="str">
        <f>_xlfn.IFNA(VLOOKUP(Tabla1[[#This Row],[DESTINO]],RUBRO!$Q$1:$R$9996,2,FALSE)," ")</f>
        <v>PLANTA</v>
      </c>
      <c r="C198" s="104">
        <f>WEEKNUM(Tabla1[[#This Row],[FECHA ]],2)</f>
        <v>20</v>
      </c>
      <c r="D198" s="104" t="str">
        <f>TEXT(Tabla1[[#This Row],[FECHA ]],"MMM-YY")</f>
        <v>may-YY</v>
      </c>
      <c r="E198" s="104" t="str">
        <f>VLOOKUP(Tabla1[[#This Row],[DNI ]],RUBRO!$F$1:$O$9996,7,FALSE)</f>
        <v>5ta</v>
      </c>
      <c r="F198" s="104" t="str">
        <f>VLOOKUP(Tabla1[[#This Row],[DNI ]],RUBRO!$F$1:$O$88,3,FALSE)</f>
        <v>TEC-04</v>
      </c>
      <c r="G198" s="104" t="str">
        <f>VLOOKUP(Tabla1[[#This Row],[DNI ]],RUBRO!$F$1:$O$9996,5,FALSE)</f>
        <v>TECNICO MECANICO MONTAJISTA DE MAQUINARIA EXTRANJERA</v>
      </c>
      <c r="H198" s="66" t="str">
        <f>VLOOKUP(Tabla1[[#This Row],[DNI ]],RUBRO!$F$1:$O$9996,6,FALSE)</f>
        <v>IDROGO CHAVEZ EMANUEL</v>
      </c>
      <c r="I198" s="94">
        <v>44326</v>
      </c>
      <c r="J198" s="10">
        <v>1</v>
      </c>
      <c r="K198" s="2">
        <v>46228460</v>
      </c>
      <c r="L198" s="4">
        <f>VLOOKUP(Tabla1[[#This Row],[DNI ]],RUBRO!$F$2:$O$9996,8,FALSE)</f>
        <v>67.66</v>
      </c>
      <c r="M198" s="88">
        <v>0.29166666666666669</v>
      </c>
      <c r="N198" s="28">
        <v>0.54166666666666663</v>
      </c>
      <c r="O198" s="28">
        <v>0.58333333333333337</v>
      </c>
      <c r="P198" s="28">
        <v>0.70833333333333337</v>
      </c>
      <c r="Q198" s="31">
        <f>(Tabla1[[#This Row],[SALIDA]]-Tabla1[[#This Row],[FIN ]])+(Tabla1[[#This Row],[INICIO]]-Tabla1[[#This Row],[INGRESO]])</f>
        <v>0.37499999999999994</v>
      </c>
      <c r="R198" s="13">
        <f t="shared" ref="R198:R261" si="9">IF(J198=1,IF(Q198&gt;$AU$1,$AU$1,Q198),0)+IF(J198=2,IF(Q198&gt;$AU$3,$AU$3,Q198),0)+IF(J198=8,IF(Q198&gt;$AU$5,$AU$5,Q198),0)</f>
        <v>0.37499999999999994</v>
      </c>
      <c r="S198" s="31">
        <f t="shared" ref="S198:S261" si="10">IF(J198=1,IF(Q198&gt;$AU$1,(Q198-R198),0),0)+IF(J198=2,IF(Q198&gt;$AU$3,(Q198-R198),0),0)+IF(J198=8,IF(Q198&gt;$AU$5,(Q198-R198),0),0)</f>
        <v>0</v>
      </c>
      <c r="T198" s="136"/>
      <c r="U198" s="136"/>
      <c r="V198" s="137">
        <f>(Tabla1[[#This Row],[COS.BASE 3]]*0.25+Tabla1[[#This Row],[COS.BASE 3]])*Tabla1[[#This Row],[HORAS 25 % ]]</f>
        <v>0</v>
      </c>
      <c r="W198" s="138">
        <f>(Tabla1[[#This Row],[COS.BASE 3]]*0.35+Tabla1[[#This Row],[COS.BASE 3]])*Tabla1[[#This Row],[HORAS 35% ]]</f>
        <v>0</v>
      </c>
      <c r="X198" s="138">
        <f>SUM(Tabla1[[#This Row],[C.HORA.35]],Tabla1[[#This Row],[C.HORA.25]])</f>
        <v>0</v>
      </c>
      <c r="Y198" s="4"/>
      <c r="Z198" s="10">
        <f>Tabla1[[#This Row],[T.HORAS]]*24</f>
        <v>8.9999999999999982</v>
      </c>
      <c r="AA198" s="4">
        <f>Tabla1[[#This Row],[H.NORMALES]]*24</f>
        <v>8.9999999999999982</v>
      </c>
      <c r="AB198" s="10">
        <f>Tabla1[[#This Row],[H.EXTRAS]]*24</f>
        <v>0</v>
      </c>
      <c r="AC198" s="105">
        <f t="shared" ref="AC198:AC229" si="11">IF(J198=1,(((R198*24)*(L198/9))),0)+IF(J198=2,(((R198*24)*(L198/8))),0)+IF(J198=8,(((R198*24)*(L198/8))),0)</f>
        <v>67.659999999999982</v>
      </c>
      <c r="AD198" s="120">
        <f>Tabla1[[#This Row],[COS.BASE 2]]/8</f>
        <v>8.4574999999999978</v>
      </c>
      <c r="AE198" s="105">
        <f>Tabla1[[#This Row],[CST_H_E]]+Tabla1[[#This Row],[COS.BASE 2]]</f>
        <v>67.659999999999982</v>
      </c>
      <c r="AF198" s="106">
        <f>+_xlfn.IFNA(INDEX(RUBRO!$W$2:$AA$732,MATCH(Tabla1[[#This Row],[FECHA ]],RUBRO!$W$2:$W$732,0),5)," ")</f>
        <v>0</v>
      </c>
      <c r="AG198" s="10">
        <f>+_xlfn.IFNA(INDEX(RUBRO!$W$2:$AA$732,MATCH(Tabla1[[#This Row],[FECHA ]],RUBRO!$W$2:$W$732,0),2)," ")</f>
        <v>0</v>
      </c>
      <c r="AH198" s="40">
        <f>IFERROR(Tabla1[[#This Row],[F]]*Tabla1[[#This Row],[COS.B+E]]," ")</f>
        <v>0</v>
      </c>
      <c r="AI198" s="40">
        <f>IFERROR(Tabla1[[#This Row],[COS.B+E]]*Tabla1[[#This Row],[D]]," ")</f>
        <v>0</v>
      </c>
      <c r="AJ198" s="40" t="str">
        <f>IFERROR(Tabla1[[#This Row],[F]]*#REF!," ")</f>
        <v xml:space="preserve"> </v>
      </c>
      <c r="AK198" s="40" t="str">
        <f>IFERROR(#REF!*Tabla1[[#This Row],[D]]," ")</f>
        <v xml:space="preserve"> </v>
      </c>
      <c r="AL198" s="103"/>
      <c r="AM198" s="103"/>
      <c r="AN198" s="103"/>
      <c r="AO198" s="38">
        <f>+Tabla1[[#This Row],[COS.B+E]]+Tabla1[[#This Row],[COS.F1]]+Tabla1[[#This Row],[COS.D1]]+Tabla1[[#This Row],[ALIMENTACION]]+Tabla1[[#This Row],[PRESTAMO]]+AN198</f>
        <v>67.659999999999982</v>
      </c>
      <c r="AP198" s="38" t="e">
        <f>+#REF!+Tabla1[[#This Row],[COS F2]]+Tabla1[[#This Row],[COS D2]]+Tabla1[[#This Row],[ALIMENTACION]]+Tabla1[[#This Row],[PRESTAMO]]+Tabla1[[#This Row],[PASAJES]]</f>
        <v>#REF!</v>
      </c>
    </row>
    <row r="199" spans="1:42" x14ac:dyDescent="0.25">
      <c r="A199" s="2" t="str">
        <f>TEXT(Tabla1[[#This Row],[FECHA ]],"DDDDD")</f>
        <v>lunes</v>
      </c>
      <c r="B199" s="2" t="str">
        <f>_xlfn.IFNA(VLOOKUP(Tabla1[[#This Row],[DESTINO]],RUBRO!$Q$1:$R$9996,2,FALSE)," ")</f>
        <v>OBRA</v>
      </c>
      <c r="C199" s="104">
        <f>WEEKNUM(Tabla1[[#This Row],[FECHA ]],2)</f>
        <v>20</v>
      </c>
      <c r="D199" s="104" t="str">
        <f>TEXT(Tabla1[[#This Row],[FECHA ]],"MMM-YY")</f>
        <v>may-YY</v>
      </c>
      <c r="E199" s="104" t="str">
        <f>VLOOKUP(Tabla1[[#This Row],[DNI ]],RUBRO!$F$1:$O$9996,7,FALSE)</f>
        <v>5ta</v>
      </c>
      <c r="F199" s="104" t="e">
        <f>VLOOKUP(Tabla1[[#This Row],[DNI ]],RUBRO!$F$1:$O$88,3,FALSE)</f>
        <v>#N/A</v>
      </c>
      <c r="G199" s="104" t="str">
        <f>VLOOKUP(Tabla1[[#This Row],[DNI ]],RUBRO!$F$1:$O$9996,5,FALSE)</f>
        <v>AYUDANTE DE PRODUCCION</v>
      </c>
      <c r="H199" s="66" t="str">
        <f>VLOOKUP(Tabla1[[#This Row],[DNI ]],RUBRO!$F$1:$O$9996,6,FALSE)</f>
        <v>JUNCO ORDOÑEZ SAMUEL</v>
      </c>
      <c r="I199" s="94">
        <v>44326</v>
      </c>
      <c r="J199" s="10">
        <v>2</v>
      </c>
      <c r="K199" s="2">
        <v>75913657</v>
      </c>
      <c r="L199" s="4">
        <f>VLOOKUP(Tabla1[[#This Row],[DNI ]],RUBRO!$F$2:$O$9996,8,FALSE)</f>
        <v>60</v>
      </c>
      <c r="M199" s="88">
        <v>0.29166666666666669</v>
      </c>
      <c r="N199" s="28"/>
      <c r="P199" s="28">
        <v>0.58333333333333337</v>
      </c>
      <c r="Q199" s="31">
        <f>(Tabla1[[#This Row],[SALIDA]]-Tabla1[[#This Row],[FIN ]])+(Tabla1[[#This Row],[INICIO]]-Tabla1[[#This Row],[INGRESO]])</f>
        <v>0.29166666666666669</v>
      </c>
      <c r="R199" s="13">
        <f t="shared" si="9"/>
        <v>0.29166666666666669</v>
      </c>
      <c r="S199" s="31">
        <f t="shared" si="10"/>
        <v>0</v>
      </c>
      <c r="T199" s="136"/>
      <c r="U199" s="136"/>
      <c r="V199" s="137">
        <f>(Tabla1[[#This Row],[COS.BASE 3]]*0.25+Tabla1[[#This Row],[COS.BASE 3]])*Tabla1[[#This Row],[HORAS 25 % ]]</f>
        <v>0</v>
      </c>
      <c r="W199" s="138">
        <f>(Tabla1[[#This Row],[COS.BASE 3]]*0.35+Tabla1[[#This Row],[COS.BASE 3]])*Tabla1[[#This Row],[HORAS 35% ]]</f>
        <v>0</v>
      </c>
      <c r="X199" s="138">
        <f>SUM(Tabla1[[#This Row],[C.HORA.35]],Tabla1[[#This Row],[C.HORA.25]])</f>
        <v>0</v>
      </c>
      <c r="Y199" s="4"/>
      <c r="Z199" s="10">
        <f>Tabla1[[#This Row],[T.HORAS]]*24</f>
        <v>7</v>
      </c>
      <c r="AA199" s="4">
        <f>Tabla1[[#This Row],[H.NORMALES]]*24</f>
        <v>7</v>
      </c>
      <c r="AB199" s="10">
        <f>Tabla1[[#This Row],[H.EXTRAS]]*24</f>
        <v>0</v>
      </c>
      <c r="AC199" s="105">
        <f t="shared" si="11"/>
        <v>52.5</v>
      </c>
      <c r="AD199" s="120">
        <f>Tabla1[[#This Row],[COS.BASE 2]]/8</f>
        <v>6.5625</v>
      </c>
      <c r="AE199" s="105">
        <f>Tabla1[[#This Row],[CST_H_E]]+Tabla1[[#This Row],[COS.BASE 2]]</f>
        <v>52.5</v>
      </c>
      <c r="AF199" s="106">
        <f>+_xlfn.IFNA(INDEX(RUBRO!$W$2:$AA$732,MATCH(Tabla1[[#This Row],[FECHA ]],RUBRO!$W$2:$W$732,0),5)," ")</f>
        <v>0</v>
      </c>
      <c r="AG199" s="10">
        <f>+_xlfn.IFNA(INDEX(RUBRO!$W$2:$AA$732,MATCH(Tabla1[[#This Row],[FECHA ]],RUBRO!$W$2:$W$732,0),2)," ")</f>
        <v>0</v>
      </c>
      <c r="AH199" s="40">
        <f>IFERROR(Tabla1[[#This Row],[F]]*Tabla1[[#This Row],[COS.B+E]]," ")</f>
        <v>0</v>
      </c>
      <c r="AI199" s="40">
        <f>IFERROR(Tabla1[[#This Row],[COS.B+E]]*Tabla1[[#This Row],[D]]," ")</f>
        <v>0</v>
      </c>
      <c r="AJ199" s="40" t="str">
        <f>IFERROR(Tabla1[[#This Row],[F]]*#REF!," ")</f>
        <v xml:space="preserve"> </v>
      </c>
      <c r="AK199" s="40" t="str">
        <f>IFERROR(#REF!*Tabla1[[#This Row],[D]]," ")</f>
        <v xml:space="preserve"> </v>
      </c>
      <c r="AL199" s="103"/>
      <c r="AM199" s="103"/>
      <c r="AN199" s="103"/>
      <c r="AO199" s="38">
        <f>+Tabla1[[#This Row],[COS.B+E]]+Tabla1[[#This Row],[COS.F1]]+Tabla1[[#This Row],[COS.D1]]+Tabla1[[#This Row],[ALIMENTACION]]+Tabla1[[#This Row],[PRESTAMO]]+AN199</f>
        <v>52.5</v>
      </c>
      <c r="AP199" s="38" t="e">
        <f>+#REF!+Tabla1[[#This Row],[COS F2]]+Tabla1[[#This Row],[COS D2]]+Tabla1[[#This Row],[ALIMENTACION]]+Tabla1[[#This Row],[PRESTAMO]]+Tabla1[[#This Row],[PASAJES]]</f>
        <v>#REF!</v>
      </c>
    </row>
    <row r="200" spans="1:42" x14ac:dyDescent="0.25">
      <c r="A200" s="2" t="str">
        <f>TEXT(Tabla1[[#This Row],[FECHA ]],"DDDDD")</f>
        <v>lunes</v>
      </c>
      <c r="B200" s="2" t="str">
        <f>_xlfn.IFNA(VLOOKUP(Tabla1[[#This Row],[DESTINO]],RUBRO!$Q$1:$R$9996,2,FALSE)," ")</f>
        <v>PLANTA</v>
      </c>
      <c r="C200" s="104">
        <f>WEEKNUM(Tabla1[[#This Row],[FECHA ]],2)</f>
        <v>20</v>
      </c>
      <c r="D200" s="104" t="str">
        <f>TEXT(Tabla1[[#This Row],[FECHA ]],"MMM-YY")</f>
        <v>may-YY</v>
      </c>
      <c r="E200" s="104" t="str">
        <f>VLOOKUP(Tabla1[[#This Row],[DNI ]],RUBRO!$F$1:$O$9996,7,FALSE)</f>
        <v>5ta</v>
      </c>
      <c r="F200" s="104" t="str">
        <f>VLOOKUP(Tabla1[[#This Row],[DNI ]],RUBRO!$F$1:$O$88,3,FALSE)</f>
        <v>MAE3G-01</v>
      </c>
      <c r="G200" s="104" t="str">
        <f>VLOOKUP(Tabla1[[#This Row],[DNI ]],RUBRO!$F$1:$O$9996,5,FALSE)</f>
        <v>MAESTRO SOLDADOR 3G</v>
      </c>
      <c r="H200" s="66" t="str">
        <f>VLOOKUP(Tabla1[[#This Row],[DNI ]],RUBRO!$F$1:$O$9996,6,FALSE)</f>
        <v>LABAN SEVERINO EDWIN DENIS</v>
      </c>
      <c r="I200" s="94">
        <v>44326</v>
      </c>
      <c r="J200" s="10">
        <v>1</v>
      </c>
      <c r="K200" s="2">
        <v>47466045</v>
      </c>
      <c r="L200" s="4">
        <f>VLOOKUP(Tabla1[[#This Row],[DNI ]],RUBRO!$F$2:$O$9996,8,FALSE)</f>
        <v>70.38</v>
      </c>
      <c r="M200" s="88">
        <v>0.29166666666666669</v>
      </c>
      <c r="N200" s="28">
        <v>0.54166666666666663</v>
      </c>
      <c r="O200" s="28">
        <v>0.58333333333333337</v>
      </c>
      <c r="P200" s="28">
        <v>0.79166666666666663</v>
      </c>
      <c r="Q200" s="31">
        <f>(Tabla1[[#This Row],[SALIDA]]-Tabla1[[#This Row],[FIN ]])+(Tabla1[[#This Row],[INICIO]]-Tabla1[[#This Row],[INGRESO]])</f>
        <v>0.4583333333333332</v>
      </c>
      <c r="R200" s="13">
        <f t="shared" si="9"/>
        <v>0.375</v>
      </c>
      <c r="S200" s="31">
        <f t="shared" si="10"/>
        <v>8.3333333333333204E-2</v>
      </c>
      <c r="T200" s="136"/>
      <c r="U200" s="136"/>
      <c r="V200" s="137">
        <f>(Tabla1[[#This Row],[COS.BASE 3]]*0.25+Tabla1[[#This Row],[COS.BASE 3]])*Tabla1[[#This Row],[HORAS 25 % ]]</f>
        <v>0</v>
      </c>
      <c r="W200" s="138">
        <f>(Tabla1[[#This Row],[COS.BASE 3]]*0.35+Tabla1[[#This Row],[COS.BASE 3]])*Tabla1[[#This Row],[HORAS 35% ]]</f>
        <v>0</v>
      </c>
      <c r="X200" s="138">
        <f>SUM(Tabla1[[#This Row],[C.HORA.35]],Tabla1[[#This Row],[C.HORA.25]])</f>
        <v>0</v>
      </c>
      <c r="Y200" s="4"/>
      <c r="Z200" s="10">
        <f>Tabla1[[#This Row],[T.HORAS]]*24</f>
        <v>10.999999999999996</v>
      </c>
      <c r="AA200" s="4">
        <f>Tabla1[[#This Row],[H.NORMALES]]*24</f>
        <v>9</v>
      </c>
      <c r="AB200" s="10">
        <f>Tabla1[[#This Row],[H.EXTRAS]]*24</f>
        <v>1.9999999999999969</v>
      </c>
      <c r="AC200" s="105">
        <f t="shared" si="11"/>
        <v>70.38</v>
      </c>
      <c r="AD200" s="120">
        <f>Tabla1[[#This Row],[COS.BASE 2]]/8</f>
        <v>8.7974999999999994</v>
      </c>
      <c r="AE200" s="105">
        <f>Tabla1[[#This Row],[CST_H_E]]+Tabla1[[#This Row],[COS.BASE 2]]</f>
        <v>70.38</v>
      </c>
      <c r="AF200" s="106">
        <f>+_xlfn.IFNA(INDEX(RUBRO!$W$2:$AA$732,MATCH(Tabla1[[#This Row],[FECHA ]],RUBRO!$W$2:$W$732,0),5)," ")</f>
        <v>0</v>
      </c>
      <c r="AG200" s="10">
        <f>+_xlfn.IFNA(INDEX(RUBRO!$W$2:$AA$732,MATCH(Tabla1[[#This Row],[FECHA ]],RUBRO!$W$2:$W$732,0),2)," ")</f>
        <v>0</v>
      </c>
      <c r="AH200" s="40">
        <f>IFERROR(Tabla1[[#This Row],[F]]*Tabla1[[#This Row],[COS.B+E]]," ")</f>
        <v>0</v>
      </c>
      <c r="AI200" s="40">
        <f>IFERROR(Tabla1[[#This Row],[COS.B+E]]*Tabla1[[#This Row],[D]]," ")</f>
        <v>0</v>
      </c>
      <c r="AJ200" s="40" t="str">
        <f>IFERROR(Tabla1[[#This Row],[F]]*#REF!," ")</f>
        <v xml:space="preserve"> </v>
      </c>
      <c r="AK200" s="40" t="str">
        <f>IFERROR(#REF!*Tabla1[[#This Row],[D]]," ")</f>
        <v xml:space="preserve"> </v>
      </c>
      <c r="AL200" s="103"/>
      <c r="AM200" s="103"/>
      <c r="AN200" s="103"/>
      <c r="AO200" s="38">
        <f>+Tabla1[[#This Row],[COS.B+E]]+Tabla1[[#This Row],[COS.F1]]+Tabla1[[#This Row],[COS.D1]]+Tabla1[[#This Row],[ALIMENTACION]]+Tabla1[[#This Row],[PRESTAMO]]+AN200</f>
        <v>70.38</v>
      </c>
      <c r="AP200" s="38" t="e">
        <f>+#REF!+Tabla1[[#This Row],[COS F2]]+Tabla1[[#This Row],[COS D2]]+Tabla1[[#This Row],[ALIMENTACION]]+Tabla1[[#This Row],[PRESTAMO]]+Tabla1[[#This Row],[PASAJES]]</f>
        <v>#REF!</v>
      </c>
    </row>
    <row r="201" spans="1:42" x14ac:dyDescent="0.25">
      <c r="A201" s="2" t="str">
        <f>TEXT(Tabla1[[#This Row],[FECHA ]],"DDDDD")</f>
        <v>lunes</v>
      </c>
      <c r="B201" s="2" t="str">
        <f>_xlfn.IFNA(VLOOKUP(Tabla1[[#This Row],[DESTINO]],RUBRO!$Q$1:$R$9996,2,FALSE)," ")</f>
        <v>OBRA</v>
      </c>
      <c r="C201" s="104">
        <f>WEEKNUM(Tabla1[[#This Row],[FECHA ]],2)</f>
        <v>20</v>
      </c>
      <c r="D201" s="104" t="str">
        <f>TEXT(Tabla1[[#This Row],[FECHA ]],"MMM-YY")</f>
        <v>may-YY</v>
      </c>
      <c r="E201" s="104" t="str">
        <f>VLOOKUP(Tabla1[[#This Row],[DNI ]],RUBRO!$F$1:$O$9996,7,FALSE)</f>
        <v>5ta</v>
      </c>
      <c r="F201" s="104" t="str">
        <f>VLOOKUP(Tabla1[[#This Row],[DNI ]],RUBRO!$F$1:$O$88,3,FALSE)</f>
        <v>AYU-VA</v>
      </c>
      <c r="G201" s="104" t="str">
        <f>VLOOKUP(Tabla1[[#This Row],[DNI ]],RUBRO!$F$1:$O$9996,5,FALSE)</f>
        <v>AYUDANTE DE PRODUCCION</v>
      </c>
      <c r="H201" s="66" t="str">
        <f>VLOOKUP(Tabla1[[#This Row],[DNI ]],RUBRO!$F$1:$O$9996,6,FALSE)</f>
        <v xml:space="preserve">LOPEZ TANTARICO ELY </v>
      </c>
      <c r="I201" s="94">
        <v>44326</v>
      </c>
      <c r="J201" s="10">
        <v>2</v>
      </c>
      <c r="K201" s="2">
        <v>62188868</v>
      </c>
      <c r="L201" s="4">
        <f>VLOOKUP(Tabla1[[#This Row],[DNI ]],RUBRO!$F$2:$O$9996,8,FALSE)</f>
        <v>39.15</v>
      </c>
      <c r="M201" s="88">
        <v>0.29166666666666669</v>
      </c>
      <c r="N201" s="28">
        <v>0.54166666666666663</v>
      </c>
      <c r="O201" s="28">
        <v>0.58333333333333337</v>
      </c>
      <c r="P201" s="28">
        <v>0.75</v>
      </c>
      <c r="Q201" s="31">
        <f>(Tabla1[[#This Row],[SALIDA]]-Tabla1[[#This Row],[FIN ]])+(Tabla1[[#This Row],[INICIO]]-Tabla1[[#This Row],[INGRESO]])</f>
        <v>0.41666666666666657</v>
      </c>
      <c r="R201" s="13">
        <f t="shared" si="9"/>
        <v>0.33333333333333331</v>
      </c>
      <c r="S201" s="31">
        <f t="shared" si="10"/>
        <v>8.3333333333333259E-2</v>
      </c>
      <c r="T201" s="136"/>
      <c r="U201" s="136"/>
      <c r="V201" s="137">
        <f>(Tabla1[[#This Row],[COS.BASE 3]]*0.25+Tabla1[[#This Row],[COS.BASE 3]])*Tabla1[[#This Row],[HORAS 25 % ]]</f>
        <v>0</v>
      </c>
      <c r="W201" s="138">
        <f>(Tabla1[[#This Row],[COS.BASE 3]]*0.35+Tabla1[[#This Row],[COS.BASE 3]])*Tabla1[[#This Row],[HORAS 35% ]]</f>
        <v>0</v>
      </c>
      <c r="X201" s="138">
        <f>SUM(Tabla1[[#This Row],[C.HORA.35]],Tabla1[[#This Row],[C.HORA.25]])</f>
        <v>0</v>
      </c>
      <c r="Y201" s="4"/>
      <c r="Z201" s="10">
        <f>Tabla1[[#This Row],[T.HORAS]]*24</f>
        <v>9.9999999999999982</v>
      </c>
      <c r="AA201" s="4">
        <f>Tabla1[[#This Row],[H.NORMALES]]*24</f>
        <v>8</v>
      </c>
      <c r="AB201" s="10">
        <f>Tabla1[[#This Row],[H.EXTRAS]]*24</f>
        <v>1.9999999999999982</v>
      </c>
      <c r="AC201" s="105">
        <f t="shared" si="11"/>
        <v>39.15</v>
      </c>
      <c r="AD201" s="120">
        <f>Tabla1[[#This Row],[COS.BASE 2]]/8</f>
        <v>4.8937499999999998</v>
      </c>
      <c r="AE201" s="105">
        <f>Tabla1[[#This Row],[CST_H_E]]+Tabla1[[#This Row],[COS.BASE 2]]</f>
        <v>39.15</v>
      </c>
      <c r="AF201" s="106">
        <f>+_xlfn.IFNA(INDEX(RUBRO!$W$2:$AA$732,MATCH(Tabla1[[#This Row],[FECHA ]],RUBRO!$W$2:$W$732,0),5)," ")</f>
        <v>0</v>
      </c>
      <c r="AG201" s="10">
        <f>+_xlfn.IFNA(INDEX(RUBRO!$W$2:$AA$732,MATCH(Tabla1[[#This Row],[FECHA ]],RUBRO!$W$2:$W$732,0),2)," ")</f>
        <v>0</v>
      </c>
      <c r="AH201" s="40">
        <f>IFERROR(Tabla1[[#This Row],[F]]*Tabla1[[#This Row],[COS.B+E]]," ")</f>
        <v>0</v>
      </c>
      <c r="AI201" s="40">
        <f>IFERROR(Tabla1[[#This Row],[COS.B+E]]*Tabla1[[#This Row],[D]]," ")</f>
        <v>0</v>
      </c>
      <c r="AJ201" s="40" t="str">
        <f>IFERROR(Tabla1[[#This Row],[F]]*#REF!," ")</f>
        <v xml:space="preserve"> </v>
      </c>
      <c r="AK201" s="40" t="str">
        <f>IFERROR(#REF!*Tabla1[[#This Row],[D]]," ")</f>
        <v xml:space="preserve"> </v>
      </c>
      <c r="AL201" s="103"/>
      <c r="AM201" s="103"/>
      <c r="AN201" s="103"/>
      <c r="AO201" s="38">
        <f>+Tabla1[[#This Row],[COS.B+E]]+Tabla1[[#This Row],[COS.F1]]+Tabla1[[#This Row],[COS.D1]]+Tabla1[[#This Row],[ALIMENTACION]]+Tabla1[[#This Row],[PRESTAMO]]+AN201</f>
        <v>39.15</v>
      </c>
      <c r="AP201" s="38" t="e">
        <f>+#REF!+Tabla1[[#This Row],[COS F2]]+Tabla1[[#This Row],[COS D2]]+Tabla1[[#This Row],[ALIMENTACION]]+Tabla1[[#This Row],[PRESTAMO]]+Tabla1[[#This Row],[PASAJES]]</f>
        <v>#REF!</v>
      </c>
    </row>
    <row r="202" spans="1:42" x14ac:dyDescent="0.25">
      <c r="A202" s="2" t="str">
        <f>TEXT(Tabla1[[#This Row],[FECHA ]],"DDDDD")</f>
        <v>lunes</v>
      </c>
      <c r="B202" s="2" t="str">
        <f>_xlfn.IFNA(VLOOKUP(Tabla1[[#This Row],[DESTINO]],RUBRO!$Q$1:$R$9996,2,FALSE)," ")</f>
        <v>OBRA</v>
      </c>
      <c r="C202" s="104">
        <f>WEEKNUM(Tabla1[[#This Row],[FECHA ]],2)</f>
        <v>20</v>
      </c>
      <c r="D202" s="104" t="str">
        <f>TEXT(Tabla1[[#This Row],[FECHA ]],"MMM-YY")</f>
        <v>may-YY</v>
      </c>
      <c r="E202" s="104" t="str">
        <f>VLOOKUP(Tabla1[[#This Row],[DNI ]],RUBRO!$F$1:$O$9996,7,FALSE)</f>
        <v>5ta</v>
      </c>
      <c r="F202" s="104" t="str">
        <f>VLOOKUP(Tabla1[[#This Row],[DNI ]],RUBRO!$F$1:$O$88,3,FALSE)</f>
        <v>TEC-02</v>
      </c>
      <c r="G202" s="104" t="str">
        <f>VLOOKUP(Tabla1[[#This Row],[DNI ]],RUBRO!$F$1:$O$9996,5,FALSE)</f>
        <v>TECNICO MECANICO MONTAJISTA DE MAQUINARIA</v>
      </c>
      <c r="H202" s="66" t="str">
        <f>VLOOKUP(Tabla1[[#This Row],[DNI ]],RUBRO!$F$1:$O$9996,6,FALSE)</f>
        <v>MEJIA AYALA LUIS MANUEL</v>
      </c>
      <c r="I202" s="94">
        <v>44326</v>
      </c>
      <c r="J202" s="10">
        <v>2</v>
      </c>
      <c r="K202" s="2">
        <v>73541627</v>
      </c>
      <c r="L202" s="4">
        <f>VLOOKUP(Tabla1[[#This Row],[DNI ]],RUBRO!$F$2:$O$9996,8,FALSE)</f>
        <v>55</v>
      </c>
      <c r="M202" s="88">
        <v>0.29166666666666669</v>
      </c>
      <c r="N202" s="28">
        <v>0.54166666666666663</v>
      </c>
      <c r="O202" s="28">
        <v>0.58333333333333337</v>
      </c>
      <c r="P202" s="28">
        <v>0.75</v>
      </c>
      <c r="Q202" s="31">
        <f>(Tabla1[[#This Row],[SALIDA]]-Tabla1[[#This Row],[FIN ]])+(Tabla1[[#This Row],[INICIO]]-Tabla1[[#This Row],[INGRESO]])</f>
        <v>0.41666666666666657</v>
      </c>
      <c r="R202" s="13">
        <f t="shared" si="9"/>
        <v>0.33333333333333331</v>
      </c>
      <c r="S202" s="31">
        <f t="shared" si="10"/>
        <v>8.3333333333333259E-2</v>
      </c>
      <c r="T202" s="136"/>
      <c r="U202" s="136"/>
      <c r="V202" s="137">
        <f>(Tabla1[[#This Row],[COS.BASE 3]]*0.25+Tabla1[[#This Row],[COS.BASE 3]])*Tabla1[[#This Row],[HORAS 25 % ]]</f>
        <v>0</v>
      </c>
      <c r="W202" s="138">
        <f>(Tabla1[[#This Row],[COS.BASE 3]]*0.35+Tabla1[[#This Row],[COS.BASE 3]])*Tabla1[[#This Row],[HORAS 35% ]]</f>
        <v>0</v>
      </c>
      <c r="X202" s="138">
        <f>SUM(Tabla1[[#This Row],[C.HORA.35]],Tabla1[[#This Row],[C.HORA.25]])</f>
        <v>0</v>
      </c>
      <c r="Y202" s="4"/>
      <c r="Z202" s="10">
        <f>Tabla1[[#This Row],[T.HORAS]]*24</f>
        <v>9.9999999999999982</v>
      </c>
      <c r="AA202" s="4">
        <f>Tabla1[[#This Row],[H.NORMALES]]*24</f>
        <v>8</v>
      </c>
      <c r="AB202" s="10">
        <f>Tabla1[[#This Row],[H.EXTRAS]]*24</f>
        <v>1.9999999999999982</v>
      </c>
      <c r="AC202" s="105">
        <f t="shared" si="11"/>
        <v>55</v>
      </c>
      <c r="AD202" s="120">
        <f>Tabla1[[#This Row],[COS.BASE 2]]/8</f>
        <v>6.875</v>
      </c>
      <c r="AE202" s="105">
        <f>Tabla1[[#This Row],[CST_H_E]]+Tabla1[[#This Row],[COS.BASE 2]]</f>
        <v>55</v>
      </c>
      <c r="AF202" s="106">
        <f>+_xlfn.IFNA(INDEX(RUBRO!$W$2:$AA$732,MATCH(Tabla1[[#This Row],[FECHA ]],RUBRO!$W$2:$W$732,0),5)," ")</f>
        <v>0</v>
      </c>
      <c r="AG202" s="10">
        <f>+_xlfn.IFNA(INDEX(RUBRO!$W$2:$AA$732,MATCH(Tabla1[[#This Row],[FECHA ]],RUBRO!$W$2:$W$732,0),2)," ")</f>
        <v>0</v>
      </c>
      <c r="AH202" s="40">
        <f>IFERROR(Tabla1[[#This Row],[F]]*Tabla1[[#This Row],[COS.B+E]]," ")</f>
        <v>0</v>
      </c>
      <c r="AI202" s="40">
        <f>IFERROR(Tabla1[[#This Row],[COS.B+E]]*Tabla1[[#This Row],[D]]," ")</f>
        <v>0</v>
      </c>
      <c r="AJ202" s="40" t="str">
        <f>IFERROR(Tabla1[[#This Row],[F]]*#REF!," ")</f>
        <v xml:space="preserve"> </v>
      </c>
      <c r="AK202" s="40" t="str">
        <f>IFERROR(#REF!*Tabla1[[#This Row],[D]]," ")</f>
        <v xml:space="preserve"> </v>
      </c>
      <c r="AL202" s="103"/>
      <c r="AM202" s="103"/>
      <c r="AN202" s="103"/>
      <c r="AO202" s="38">
        <f>+Tabla1[[#This Row],[COS.B+E]]+Tabla1[[#This Row],[COS.F1]]+Tabla1[[#This Row],[COS.D1]]+Tabla1[[#This Row],[ALIMENTACION]]+Tabla1[[#This Row],[PRESTAMO]]+AN202</f>
        <v>55</v>
      </c>
      <c r="AP202" s="38" t="e">
        <f>+#REF!+Tabla1[[#This Row],[COS F2]]+Tabla1[[#This Row],[COS D2]]+Tabla1[[#This Row],[ALIMENTACION]]+Tabla1[[#This Row],[PRESTAMO]]+Tabla1[[#This Row],[PASAJES]]</f>
        <v>#REF!</v>
      </c>
    </row>
    <row r="203" spans="1:42" x14ac:dyDescent="0.25">
      <c r="A203" s="2" t="str">
        <f>TEXT(Tabla1[[#This Row],[FECHA ]],"DDDDD")</f>
        <v>lunes</v>
      </c>
      <c r="B203" s="2" t="str">
        <f>_xlfn.IFNA(VLOOKUP(Tabla1[[#This Row],[DESTINO]],RUBRO!$Q$1:$R$9996,2,FALSE)," ")</f>
        <v>OBRA</v>
      </c>
      <c r="C203" s="104">
        <f>WEEKNUM(Tabla1[[#This Row],[FECHA ]],2)</f>
        <v>20</v>
      </c>
      <c r="D203" s="104" t="str">
        <f>TEXT(Tabla1[[#This Row],[FECHA ]],"MMM-YY")</f>
        <v>may-YY</v>
      </c>
      <c r="E203" s="104" t="str">
        <f>VLOOKUP(Tabla1[[#This Row],[DNI ]],RUBRO!$F$1:$O$9996,7,FALSE)</f>
        <v>5ta</v>
      </c>
      <c r="F203" s="104" t="str">
        <f>VLOOKUP(Tabla1[[#This Row],[DNI ]],RUBRO!$F$1:$O$88,3,FALSE)</f>
        <v>TEC-04</v>
      </c>
      <c r="G203" s="104" t="str">
        <f>VLOOKUP(Tabla1[[#This Row],[DNI ]],RUBRO!$F$1:$O$9996,5,FALSE)</f>
        <v>TECNICO MECANICO MONTAJISTA DE MAQUINARIA EXTRANJERA</v>
      </c>
      <c r="H203" s="66" t="str">
        <f>VLOOKUP(Tabla1[[#This Row],[DNI ]],RUBRO!$F$1:$O$9996,6,FALSE)</f>
        <v>MEREGILDO CABRERA RICARDO JOEL</v>
      </c>
      <c r="I203" s="94">
        <v>44326</v>
      </c>
      <c r="J203" s="10">
        <v>2</v>
      </c>
      <c r="K203" s="2">
        <v>76811302</v>
      </c>
      <c r="L203" s="4">
        <f>VLOOKUP(Tabla1[[#This Row],[DNI ]],RUBRO!$F$2:$O$9996,8,FALSE)</f>
        <v>60</v>
      </c>
      <c r="M203" s="88">
        <v>0.29166666666666669</v>
      </c>
      <c r="N203" s="28">
        <v>0.54166666666666663</v>
      </c>
      <c r="O203" s="28">
        <v>0.58333333333333337</v>
      </c>
      <c r="P203" s="28">
        <v>0.75</v>
      </c>
      <c r="Q203" s="31">
        <f>(Tabla1[[#This Row],[SALIDA]]-Tabla1[[#This Row],[FIN ]])+(Tabla1[[#This Row],[INICIO]]-Tabla1[[#This Row],[INGRESO]])</f>
        <v>0.41666666666666657</v>
      </c>
      <c r="R203" s="13">
        <f t="shared" si="9"/>
        <v>0.33333333333333331</v>
      </c>
      <c r="S203" s="31">
        <f t="shared" si="10"/>
        <v>8.3333333333333259E-2</v>
      </c>
      <c r="T203" s="136"/>
      <c r="U203" s="136"/>
      <c r="V203" s="137">
        <f>(Tabla1[[#This Row],[COS.BASE 3]]*0.25+Tabla1[[#This Row],[COS.BASE 3]])*Tabla1[[#This Row],[HORAS 25 % ]]</f>
        <v>0</v>
      </c>
      <c r="W203" s="138">
        <f>(Tabla1[[#This Row],[COS.BASE 3]]*0.35+Tabla1[[#This Row],[COS.BASE 3]])*Tabla1[[#This Row],[HORAS 35% ]]</f>
        <v>0</v>
      </c>
      <c r="X203" s="138">
        <f>SUM(Tabla1[[#This Row],[C.HORA.35]],Tabla1[[#This Row],[C.HORA.25]])</f>
        <v>0</v>
      </c>
      <c r="Y203" s="4"/>
      <c r="Z203" s="10">
        <f>Tabla1[[#This Row],[T.HORAS]]*24</f>
        <v>9.9999999999999982</v>
      </c>
      <c r="AA203" s="4">
        <f>Tabla1[[#This Row],[H.NORMALES]]*24</f>
        <v>8</v>
      </c>
      <c r="AB203" s="10">
        <f>Tabla1[[#This Row],[H.EXTRAS]]*24</f>
        <v>1.9999999999999982</v>
      </c>
      <c r="AC203" s="105">
        <f t="shared" si="11"/>
        <v>60</v>
      </c>
      <c r="AD203" s="120">
        <f>Tabla1[[#This Row],[COS.BASE 2]]/8</f>
        <v>7.5</v>
      </c>
      <c r="AE203" s="105">
        <f>Tabla1[[#This Row],[CST_H_E]]+Tabla1[[#This Row],[COS.BASE 2]]</f>
        <v>60</v>
      </c>
      <c r="AF203" s="106">
        <f>+_xlfn.IFNA(INDEX(RUBRO!$W$2:$AA$732,MATCH(Tabla1[[#This Row],[FECHA ]],RUBRO!$W$2:$W$732,0),5)," ")</f>
        <v>0</v>
      </c>
      <c r="AG203" s="10">
        <f>+_xlfn.IFNA(INDEX(RUBRO!$W$2:$AA$732,MATCH(Tabla1[[#This Row],[FECHA ]],RUBRO!$W$2:$W$732,0),2)," ")</f>
        <v>0</v>
      </c>
      <c r="AH203" s="40">
        <f>IFERROR(Tabla1[[#This Row],[F]]*Tabla1[[#This Row],[COS.B+E]]," ")</f>
        <v>0</v>
      </c>
      <c r="AI203" s="40">
        <f>IFERROR(Tabla1[[#This Row],[COS.B+E]]*Tabla1[[#This Row],[D]]," ")</f>
        <v>0</v>
      </c>
      <c r="AJ203" s="40" t="str">
        <f>IFERROR(Tabla1[[#This Row],[F]]*#REF!," ")</f>
        <v xml:space="preserve"> </v>
      </c>
      <c r="AK203" s="40" t="str">
        <f>IFERROR(#REF!*Tabla1[[#This Row],[D]]," ")</f>
        <v xml:space="preserve"> </v>
      </c>
      <c r="AL203" s="103"/>
      <c r="AM203" s="103"/>
      <c r="AN203" s="103"/>
      <c r="AO203" s="38">
        <f>+Tabla1[[#This Row],[COS.B+E]]+Tabla1[[#This Row],[COS.F1]]+Tabla1[[#This Row],[COS.D1]]+Tabla1[[#This Row],[ALIMENTACION]]+Tabla1[[#This Row],[PRESTAMO]]+AN203</f>
        <v>60</v>
      </c>
      <c r="AP203" s="38" t="e">
        <f>+#REF!+Tabla1[[#This Row],[COS F2]]+Tabla1[[#This Row],[COS D2]]+Tabla1[[#This Row],[ALIMENTACION]]+Tabla1[[#This Row],[PRESTAMO]]+Tabla1[[#This Row],[PASAJES]]</f>
        <v>#REF!</v>
      </c>
    </row>
    <row r="204" spans="1:42" x14ac:dyDescent="0.25">
      <c r="A204" s="2" t="str">
        <f>TEXT(Tabla1[[#This Row],[FECHA ]],"DDDDD")</f>
        <v>lunes</v>
      </c>
      <c r="B204" s="2" t="str">
        <f>_xlfn.IFNA(VLOOKUP(Tabla1[[#This Row],[DESTINO]],RUBRO!$Q$1:$R$9996,2,FALSE)," ")</f>
        <v>OBRA</v>
      </c>
      <c r="C204" s="104">
        <f>WEEKNUM(Tabla1[[#This Row],[FECHA ]],2)</f>
        <v>20</v>
      </c>
      <c r="D204" s="104" t="str">
        <f>TEXT(Tabla1[[#This Row],[FECHA ]],"MMM-YY")</f>
        <v>may-YY</v>
      </c>
      <c r="E204" s="104" t="str">
        <f>VLOOKUP(Tabla1[[#This Row],[DNI ]],RUBRO!$F$1:$O$9996,7,FALSE)</f>
        <v xml:space="preserve">5ta </v>
      </c>
      <c r="F204" s="104" t="str">
        <f>VLOOKUP(Tabla1[[#This Row],[DNI ]],RUBRO!$F$1:$O$88,3,FALSE)</f>
        <v>AYU-VA</v>
      </c>
      <c r="G204" s="104" t="str">
        <f>VLOOKUP(Tabla1[[#This Row],[DNI ]],RUBRO!$F$1:$O$9996,5,FALSE)</f>
        <v>AYUDANTE DE PRODUCCION</v>
      </c>
      <c r="H204" s="66" t="str">
        <f>VLOOKUP(Tabla1[[#This Row],[DNI ]],RUBRO!$F$1:$O$9996,6,FALSE)</f>
        <v>MIO QUIÑONES ALEXIS</v>
      </c>
      <c r="I204" s="94">
        <v>44326</v>
      </c>
      <c r="J204" s="10">
        <v>2</v>
      </c>
      <c r="K204" s="2">
        <v>76457697</v>
      </c>
      <c r="L204" s="4">
        <f>VLOOKUP(Tabla1[[#This Row],[DNI ]],RUBRO!$F$2:$O$9996,8,FALSE)</f>
        <v>45</v>
      </c>
      <c r="M204" s="88">
        <v>0.29166666666666669</v>
      </c>
      <c r="N204" s="28">
        <v>0.54166666666666663</v>
      </c>
      <c r="O204" s="28">
        <v>0.58333333333333337</v>
      </c>
      <c r="P204" s="28">
        <v>0.8125</v>
      </c>
      <c r="Q204" s="31">
        <f>(Tabla1[[#This Row],[SALIDA]]-Tabla1[[#This Row],[FIN ]])+(Tabla1[[#This Row],[INICIO]]-Tabla1[[#This Row],[INGRESO]])</f>
        <v>0.47916666666666657</v>
      </c>
      <c r="R204" s="13">
        <f t="shared" si="9"/>
        <v>0.33333333333333331</v>
      </c>
      <c r="S204" s="31">
        <f t="shared" si="10"/>
        <v>0.14583333333333326</v>
      </c>
      <c r="T204" s="136"/>
      <c r="U204" s="136"/>
      <c r="V204" s="137">
        <f>(Tabla1[[#This Row],[COS.BASE 3]]*0.25+Tabla1[[#This Row],[COS.BASE 3]])*Tabla1[[#This Row],[HORAS 25 % ]]</f>
        <v>0</v>
      </c>
      <c r="W204" s="138">
        <f>(Tabla1[[#This Row],[COS.BASE 3]]*0.35+Tabla1[[#This Row],[COS.BASE 3]])*Tabla1[[#This Row],[HORAS 35% ]]</f>
        <v>0</v>
      </c>
      <c r="X204" s="138">
        <f>SUM(Tabla1[[#This Row],[C.HORA.35]],Tabla1[[#This Row],[C.HORA.25]])</f>
        <v>0</v>
      </c>
      <c r="Y204" s="4"/>
      <c r="Z204" s="10">
        <f>Tabla1[[#This Row],[T.HORAS]]*24</f>
        <v>11.499999999999998</v>
      </c>
      <c r="AA204" s="4">
        <f>Tabla1[[#This Row],[H.NORMALES]]*24</f>
        <v>8</v>
      </c>
      <c r="AB204" s="10">
        <f>Tabla1[[#This Row],[H.EXTRAS]]*24</f>
        <v>3.4999999999999982</v>
      </c>
      <c r="AC204" s="105">
        <f t="shared" si="11"/>
        <v>45</v>
      </c>
      <c r="AD204" s="120">
        <f>Tabla1[[#This Row],[COS.BASE 2]]/8</f>
        <v>5.625</v>
      </c>
      <c r="AE204" s="105">
        <f>Tabla1[[#This Row],[CST_H_E]]+Tabla1[[#This Row],[COS.BASE 2]]</f>
        <v>45</v>
      </c>
      <c r="AF204" s="106">
        <f>+_xlfn.IFNA(INDEX(RUBRO!$W$2:$AA$732,MATCH(Tabla1[[#This Row],[FECHA ]],RUBRO!$W$2:$W$732,0),5)," ")</f>
        <v>0</v>
      </c>
      <c r="AG204" s="10">
        <f>+_xlfn.IFNA(INDEX(RUBRO!$W$2:$AA$732,MATCH(Tabla1[[#This Row],[FECHA ]],RUBRO!$W$2:$W$732,0),2)," ")</f>
        <v>0</v>
      </c>
      <c r="AH204" s="40">
        <f>IFERROR(Tabla1[[#This Row],[F]]*Tabla1[[#This Row],[COS.B+E]]," ")</f>
        <v>0</v>
      </c>
      <c r="AI204" s="40">
        <f>IFERROR(Tabla1[[#This Row],[COS.B+E]]*Tabla1[[#This Row],[D]]," ")</f>
        <v>0</v>
      </c>
      <c r="AJ204" s="40" t="str">
        <f>IFERROR(Tabla1[[#This Row],[F]]*#REF!," ")</f>
        <v xml:space="preserve"> </v>
      </c>
      <c r="AK204" s="40" t="str">
        <f>IFERROR(#REF!*Tabla1[[#This Row],[D]]," ")</f>
        <v xml:space="preserve"> </v>
      </c>
      <c r="AL204" s="103"/>
      <c r="AM204" s="103"/>
      <c r="AN204" s="103"/>
      <c r="AO204" s="38">
        <f>+Tabla1[[#This Row],[COS.B+E]]+Tabla1[[#This Row],[COS.F1]]+Tabla1[[#This Row],[COS.D1]]+Tabla1[[#This Row],[ALIMENTACION]]+Tabla1[[#This Row],[PRESTAMO]]+AN204</f>
        <v>45</v>
      </c>
      <c r="AP204" s="38" t="e">
        <f>+#REF!+Tabla1[[#This Row],[COS F2]]+Tabla1[[#This Row],[COS D2]]+Tabla1[[#This Row],[ALIMENTACION]]+Tabla1[[#This Row],[PRESTAMO]]+Tabla1[[#This Row],[PASAJES]]</f>
        <v>#REF!</v>
      </c>
    </row>
    <row r="205" spans="1:42" x14ac:dyDescent="0.25">
      <c r="A205" s="2" t="str">
        <f>TEXT(Tabla1[[#This Row],[FECHA ]],"DDDDD")</f>
        <v>lunes</v>
      </c>
      <c r="B205" s="2" t="str">
        <f>_xlfn.IFNA(VLOOKUP(Tabla1[[#This Row],[DESTINO]],RUBRO!$Q$1:$R$9996,2,FALSE)," ")</f>
        <v>OBRA</v>
      </c>
      <c r="C205" s="104">
        <f>WEEKNUM(Tabla1[[#This Row],[FECHA ]],2)</f>
        <v>20</v>
      </c>
      <c r="D205" s="104" t="str">
        <f>TEXT(Tabla1[[#This Row],[FECHA ]],"MMM-YY")</f>
        <v>may-YY</v>
      </c>
      <c r="E205" s="104">
        <f>VLOOKUP(Tabla1[[#This Row],[DNI ]],RUBRO!$F$1:$O$9996,7,FALSE)</f>
        <v>0</v>
      </c>
      <c r="F205" s="104" t="e">
        <f>VLOOKUP(Tabla1[[#This Row],[DNI ]],RUBRO!$F$1:$O$88,3,FALSE)</f>
        <v>#N/A</v>
      </c>
      <c r="G205" s="104">
        <f>VLOOKUP(Tabla1[[#This Row],[DNI ]],RUBRO!$F$1:$O$9996,5,FALSE)</f>
        <v>0</v>
      </c>
      <c r="H205" s="66" t="str">
        <f>VLOOKUP(Tabla1[[#This Row],[DNI ]],RUBRO!$F$1:$O$9996,6,FALSE)</f>
        <v>MONJA ACOSTA RONALD</v>
      </c>
      <c r="I205" s="94">
        <v>44326</v>
      </c>
      <c r="J205" s="10">
        <v>2</v>
      </c>
      <c r="K205" s="2">
        <v>75561146</v>
      </c>
      <c r="L205" s="4">
        <f>VLOOKUP(Tabla1[[#This Row],[DNI ]],RUBRO!$F$2:$O$9996,8,FALSE)</f>
        <v>0</v>
      </c>
      <c r="M205" s="88">
        <v>0.29166666666666669</v>
      </c>
      <c r="N205" s="28"/>
      <c r="P205" s="28">
        <v>0.58333333333333337</v>
      </c>
      <c r="Q205" s="31">
        <f>(Tabla1[[#This Row],[SALIDA]]-Tabla1[[#This Row],[FIN ]])+(Tabla1[[#This Row],[INICIO]]-Tabla1[[#This Row],[INGRESO]])</f>
        <v>0.29166666666666669</v>
      </c>
      <c r="R205" s="13">
        <f t="shared" si="9"/>
        <v>0.29166666666666669</v>
      </c>
      <c r="S205" s="31">
        <f t="shared" si="10"/>
        <v>0</v>
      </c>
      <c r="T205" s="136"/>
      <c r="U205" s="136"/>
      <c r="V205" s="137">
        <f>(Tabla1[[#This Row],[COS.BASE 3]]*0.25+Tabla1[[#This Row],[COS.BASE 3]])*Tabla1[[#This Row],[HORAS 25 % ]]</f>
        <v>0</v>
      </c>
      <c r="W205" s="138">
        <f>(Tabla1[[#This Row],[COS.BASE 3]]*0.35+Tabla1[[#This Row],[COS.BASE 3]])*Tabla1[[#This Row],[HORAS 35% ]]</f>
        <v>0</v>
      </c>
      <c r="X205" s="138">
        <f>SUM(Tabla1[[#This Row],[C.HORA.35]],Tabla1[[#This Row],[C.HORA.25]])</f>
        <v>0</v>
      </c>
      <c r="Y205" s="4"/>
      <c r="Z205" s="10">
        <f>Tabla1[[#This Row],[T.HORAS]]*24</f>
        <v>7</v>
      </c>
      <c r="AA205" s="4">
        <f>Tabla1[[#This Row],[H.NORMALES]]*24</f>
        <v>7</v>
      </c>
      <c r="AB205" s="10">
        <f>Tabla1[[#This Row],[H.EXTRAS]]*24</f>
        <v>0</v>
      </c>
      <c r="AC205" s="105">
        <f t="shared" si="11"/>
        <v>0</v>
      </c>
      <c r="AD205" s="120">
        <f>Tabla1[[#This Row],[COS.BASE 2]]/8</f>
        <v>0</v>
      </c>
      <c r="AE205" s="105">
        <f>Tabla1[[#This Row],[CST_H_E]]+Tabla1[[#This Row],[COS.BASE 2]]</f>
        <v>0</v>
      </c>
      <c r="AF205" s="106">
        <f>+_xlfn.IFNA(INDEX(RUBRO!$W$2:$AA$732,MATCH(Tabla1[[#This Row],[FECHA ]],RUBRO!$W$2:$W$732,0),5)," ")</f>
        <v>0</v>
      </c>
      <c r="AG205" s="10">
        <f>+_xlfn.IFNA(INDEX(RUBRO!$W$2:$AA$732,MATCH(Tabla1[[#This Row],[FECHA ]],RUBRO!$W$2:$W$732,0),2)," ")</f>
        <v>0</v>
      </c>
      <c r="AH205" s="40">
        <f>IFERROR(Tabla1[[#This Row],[F]]*Tabla1[[#This Row],[COS.B+E]]," ")</f>
        <v>0</v>
      </c>
      <c r="AI205" s="40">
        <f>IFERROR(Tabla1[[#This Row],[COS.B+E]]*Tabla1[[#This Row],[D]]," ")</f>
        <v>0</v>
      </c>
      <c r="AJ205" s="40" t="str">
        <f>IFERROR(Tabla1[[#This Row],[F]]*#REF!," ")</f>
        <v xml:space="preserve"> </v>
      </c>
      <c r="AK205" s="40" t="str">
        <f>IFERROR(#REF!*Tabla1[[#This Row],[D]]," ")</f>
        <v xml:space="preserve"> </v>
      </c>
      <c r="AL205" s="103"/>
      <c r="AM205" s="103"/>
      <c r="AN205" s="103"/>
      <c r="AO205" s="38">
        <f>+Tabla1[[#This Row],[COS.B+E]]+Tabla1[[#This Row],[COS.F1]]+Tabla1[[#This Row],[COS.D1]]+Tabla1[[#This Row],[ALIMENTACION]]+Tabla1[[#This Row],[PRESTAMO]]+AN205</f>
        <v>0</v>
      </c>
      <c r="AP205" s="38" t="e">
        <f>+#REF!+Tabla1[[#This Row],[COS F2]]+Tabla1[[#This Row],[COS D2]]+Tabla1[[#This Row],[ALIMENTACION]]+Tabla1[[#This Row],[PRESTAMO]]+Tabla1[[#This Row],[PASAJES]]</f>
        <v>#REF!</v>
      </c>
    </row>
    <row r="206" spans="1:42" x14ac:dyDescent="0.25">
      <c r="A206" s="2" t="str">
        <f>TEXT(Tabla1[[#This Row],[FECHA ]],"DDDDD")</f>
        <v>lunes</v>
      </c>
      <c r="B206" s="2" t="str">
        <f>_xlfn.IFNA(VLOOKUP(Tabla1[[#This Row],[DESTINO]],RUBRO!$Q$1:$R$9996,2,FALSE)," ")</f>
        <v>PLANTA</v>
      </c>
      <c r="C206" s="104">
        <f>WEEKNUM(Tabla1[[#This Row],[FECHA ]],2)</f>
        <v>20</v>
      </c>
      <c r="D206" s="104" t="str">
        <f>TEXT(Tabla1[[#This Row],[FECHA ]],"MMM-YY")</f>
        <v>may-YY</v>
      </c>
      <c r="E206" s="104">
        <f>VLOOKUP(Tabla1[[#This Row],[DNI ]],RUBRO!$F$1:$O$9996,7,FALSE)</f>
        <v>0</v>
      </c>
      <c r="F206" s="104" t="e">
        <f>VLOOKUP(Tabla1[[#This Row],[DNI ]],RUBRO!$F$1:$O$88,3,FALSE)</f>
        <v>#N/A</v>
      </c>
      <c r="G206" s="104">
        <f>VLOOKUP(Tabla1[[#This Row],[DNI ]],RUBRO!$F$1:$O$9996,5,FALSE)</f>
        <v>0</v>
      </c>
      <c r="H206" s="66" t="str">
        <f>VLOOKUP(Tabla1[[#This Row],[DNI ]],RUBRO!$F$1:$O$9996,6,FALSE)</f>
        <v>MONTENEGRO DAVILA EVER</v>
      </c>
      <c r="I206" s="94">
        <v>44326</v>
      </c>
      <c r="J206" s="10">
        <v>1</v>
      </c>
      <c r="K206" s="2">
        <v>76847602</v>
      </c>
      <c r="L206" s="4">
        <f>VLOOKUP(Tabla1[[#This Row],[DNI ]],RUBRO!$F$2:$O$9996,8,FALSE)</f>
        <v>0</v>
      </c>
      <c r="M206" s="88">
        <v>0.29166666666666669</v>
      </c>
      <c r="N206" s="28">
        <v>0.54166666666666663</v>
      </c>
      <c r="O206" s="28">
        <v>0.58333333333333337</v>
      </c>
      <c r="P206" s="28">
        <v>0.70833333333333337</v>
      </c>
      <c r="Q206" s="31">
        <f>(Tabla1[[#This Row],[SALIDA]]-Tabla1[[#This Row],[FIN ]])+(Tabla1[[#This Row],[INICIO]]-Tabla1[[#This Row],[INGRESO]])</f>
        <v>0.37499999999999994</v>
      </c>
      <c r="R206" s="13">
        <f t="shared" si="9"/>
        <v>0.37499999999999994</v>
      </c>
      <c r="S206" s="31">
        <f t="shared" si="10"/>
        <v>0</v>
      </c>
      <c r="T206" s="136"/>
      <c r="U206" s="136"/>
      <c r="V206" s="137">
        <f>(Tabla1[[#This Row],[COS.BASE 3]]*0.25+Tabla1[[#This Row],[COS.BASE 3]])*Tabla1[[#This Row],[HORAS 25 % ]]</f>
        <v>0</v>
      </c>
      <c r="W206" s="138">
        <f>(Tabla1[[#This Row],[COS.BASE 3]]*0.35+Tabla1[[#This Row],[COS.BASE 3]])*Tabla1[[#This Row],[HORAS 35% ]]</f>
        <v>0</v>
      </c>
      <c r="X206" s="138">
        <f>SUM(Tabla1[[#This Row],[C.HORA.35]],Tabla1[[#This Row],[C.HORA.25]])</f>
        <v>0</v>
      </c>
      <c r="Y206" s="4"/>
      <c r="Z206" s="10">
        <f>Tabla1[[#This Row],[T.HORAS]]*24</f>
        <v>8.9999999999999982</v>
      </c>
      <c r="AA206" s="4">
        <f>Tabla1[[#This Row],[H.NORMALES]]*24</f>
        <v>8.9999999999999982</v>
      </c>
      <c r="AB206" s="10">
        <f>Tabla1[[#This Row],[H.EXTRAS]]*24</f>
        <v>0</v>
      </c>
      <c r="AC206" s="105">
        <f t="shared" si="11"/>
        <v>0</v>
      </c>
      <c r="AD206" s="120">
        <f>Tabla1[[#This Row],[COS.BASE 2]]/8</f>
        <v>0</v>
      </c>
      <c r="AE206" s="105">
        <f>Tabla1[[#This Row],[CST_H_E]]+Tabla1[[#This Row],[COS.BASE 2]]</f>
        <v>0</v>
      </c>
      <c r="AF206" s="106">
        <f>+_xlfn.IFNA(INDEX(RUBRO!$W$2:$AA$732,MATCH(Tabla1[[#This Row],[FECHA ]],RUBRO!$W$2:$W$732,0),5)," ")</f>
        <v>0</v>
      </c>
      <c r="AG206" s="10">
        <f>+_xlfn.IFNA(INDEX(RUBRO!$W$2:$AA$732,MATCH(Tabla1[[#This Row],[FECHA ]],RUBRO!$W$2:$W$732,0),2)," ")</f>
        <v>0</v>
      </c>
      <c r="AH206" s="40">
        <f>IFERROR(Tabla1[[#This Row],[F]]*Tabla1[[#This Row],[COS.B+E]]," ")</f>
        <v>0</v>
      </c>
      <c r="AI206" s="40">
        <f>IFERROR(Tabla1[[#This Row],[COS.B+E]]*Tabla1[[#This Row],[D]]," ")</f>
        <v>0</v>
      </c>
      <c r="AJ206" s="40" t="str">
        <f>IFERROR(Tabla1[[#This Row],[F]]*#REF!," ")</f>
        <v xml:space="preserve"> </v>
      </c>
      <c r="AK206" s="40" t="str">
        <f>IFERROR(#REF!*Tabla1[[#This Row],[D]]," ")</f>
        <v xml:space="preserve"> </v>
      </c>
      <c r="AL206" s="103"/>
      <c r="AM206" s="103"/>
      <c r="AN206" s="103"/>
      <c r="AO206" s="38">
        <f>+Tabla1[[#This Row],[COS.B+E]]+Tabla1[[#This Row],[COS.F1]]+Tabla1[[#This Row],[COS.D1]]+Tabla1[[#This Row],[ALIMENTACION]]+Tabla1[[#This Row],[PRESTAMO]]+AN206</f>
        <v>0</v>
      </c>
      <c r="AP206" s="38" t="e">
        <f>+#REF!+Tabla1[[#This Row],[COS F2]]+Tabla1[[#This Row],[COS D2]]+Tabla1[[#This Row],[ALIMENTACION]]+Tabla1[[#This Row],[PRESTAMO]]+Tabla1[[#This Row],[PASAJES]]</f>
        <v>#REF!</v>
      </c>
    </row>
    <row r="207" spans="1:42" x14ac:dyDescent="0.25">
      <c r="A207" s="2" t="str">
        <f>TEXT(Tabla1[[#This Row],[FECHA ]],"DDDDD")</f>
        <v>lunes</v>
      </c>
      <c r="B207" s="2" t="str">
        <f>_xlfn.IFNA(VLOOKUP(Tabla1[[#This Row],[DESTINO]],RUBRO!$Q$1:$R$9996,2,FALSE)," ")</f>
        <v>OBRA</v>
      </c>
      <c r="C207" s="104">
        <f>WEEKNUM(Tabla1[[#This Row],[FECHA ]],2)</f>
        <v>20</v>
      </c>
      <c r="D207" s="104" t="str">
        <f>TEXT(Tabla1[[#This Row],[FECHA ]],"MMM-YY")</f>
        <v>may-YY</v>
      </c>
      <c r="E207" s="104" t="str">
        <f>VLOOKUP(Tabla1[[#This Row],[DNI ]],RUBRO!$F$1:$O$9996,7,FALSE)</f>
        <v>5ta</v>
      </c>
      <c r="F207" s="104" t="str">
        <f>VLOOKUP(Tabla1[[#This Row],[DNI ]],RUBRO!$F$1:$O$88,3,FALSE)</f>
        <v>TEC-01</v>
      </c>
      <c r="G207" s="104" t="str">
        <f>VLOOKUP(Tabla1[[#This Row],[DNI ]],RUBRO!$F$1:$O$9996,5,FALSE)</f>
        <v>TECNICO SOLDADOR</v>
      </c>
      <c r="H207" s="66" t="str">
        <f>VLOOKUP(Tabla1[[#This Row],[DNI ]],RUBRO!$F$1:$O$9996,6,FALSE)</f>
        <v>MUÑOZ EXEBIO IRWIS MANUEL</v>
      </c>
      <c r="I207" s="94">
        <v>44326</v>
      </c>
      <c r="J207" s="10">
        <v>2</v>
      </c>
      <c r="K207" s="2">
        <v>46933574</v>
      </c>
      <c r="L207" s="4">
        <f>VLOOKUP(Tabla1[[#This Row],[DNI ]],RUBRO!$F$2:$O$9996,8,FALSE)</f>
        <v>65</v>
      </c>
      <c r="M207" s="88">
        <v>0.29166666666666669</v>
      </c>
      <c r="N207" s="28">
        <v>0.54166666666666663</v>
      </c>
      <c r="O207" s="28">
        <v>0.58333333333333337</v>
      </c>
      <c r="P207" s="28">
        <v>0.75</v>
      </c>
      <c r="Q207" s="31">
        <f>(Tabla1[[#This Row],[SALIDA]]-Tabla1[[#This Row],[FIN ]])+(Tabla1[[#This Row],[INICIO]]-Tabla1[[#This Row],[INGRESO]])</f>
        <v>0.41666666666666657</v>
      </c>
      <c r="R207" s="13">
        <f t="shared" si="9"/>
        <v>0.33333333333333331</v>
      </c>
      <c r="S207" s="31">
        <f t="shared" si="10"/>
        <v>8.3333333333333259E-2</v>
      </c>
      <c r="T207" s="136"/>
      <c r="U207" s="136"/>
      <c r="V207" s="137">
        <f>(Tabla1[[#This Row],[COS.BASE 3]]*0.25+Tabla1[[#This Row],[COS.BASE 3]])*Tabla1[[#This Row],[HORAS 25 % ]]</f>
        <v>0</v>
      </c>
      <c r="W207" s="138">
        <f>(Tabla1[[#This Row],[COS.BASE 3]]*0.35+Tabla1[[#This Row],[COS.BASE 3]])*Tabla1[[#This Row],[HORAS 35% ]]</f>
        <v>0</v>
      </c>
      <c r="X207" s="138">
        <f>SUM(Tabla1[[#This Row],[C.HORA.35]],Tabla1[[#This Row],[C.HORA.25]])</f>
        <v>0</v>
      </c>
      <c r="Y207" s="4"/>
      <c r="Z207" s="10">
        <f>Tabla1[[#This Row],[T.HORAS]]*24</f>
        <v>9.9999999999999982</v>
      </c>
      <c r="AA207" s="4">
        <f>Tabla1[[#This Row],[H.NORMALES]]*24</f>
        <v>8</v>
      </c>
      <c r="AB207" s="10">
        <f>Tabla1[[#This Row],[H.EXTRAS]]*24</f>
        <v>1.9999999999999982</v>
      </c>
      <c r="AC207" s="105">
        <f t="shared" si="11"/>
        <v>65</v>
      </c>
      <c r="AD207" s="120">
        <f>Tabla1[[#This Row],[COS.BASE 2]]/8</f>
        <v>8.125</v>
      </c>
      <c r="AE207" s="105">
        <f>Tabla1[[#This Row],[CST_H_E]]+Tabla1[[#This Row],[COS.BASE 2]]</f>
        <v>65</v>
      </c>
      <c r="AF207" s="106">
        <f>+_xlfn.IFNA(INDEX(RUBRO!$W$2:$AA$732,MATCH(Tabla1[[#This Row],[FECHA ]],RUBRO!$W$2:$W$732,0),5)," ")</f>
        <v>0</v>
      </c>
      <c r="AG207" s="10">
        <f>+_xlfn.IFNA(INDEX(RUBRO!$W$2:$AA$732,MATCH(Tabla1[[#This Row],[FECHA ]],RUBRO!$W$2:$W$732,0),2)," ")</f>
        <v>0</v>
      </c>
      <c r="AH207" s="40">
        <f>IFERROR(Tabla1[[#This Row],[F]]*Tabla1[[#This Row],[COS.B+E]]," ")</f>
        <v>0</v>
      </c>
      <c r="AI207" s="40">
        <f>IFERROR(Tabla1[[#This Row],[COS.B+E]]*Tabla1[[#This Row],[D]]," ")</f>
        <v>0</v>
      </c>
      <c r="AJ207" s="40" t="str">
        <f>IFERROR(Tabla1[[#This Row],[F]]*#REF!," ")</f>
        <v xml:space="preserve"> </v>
      </c>
      <c r="AK207" s="40" t="str">
        <f>IFERROR(#REF!*Tabla1[[#This Row],[D]]," ")</f>
        <v xml:space="preserve"> </v>
      </c>
      <c r="AL207" s="103"/>
      <c r="AM207" s="103"/>
      <c r="AN207" s="103"/>
      <c r="AO207" s="38">
        <f>+Tabla1[[#This Row],[COS.B+E]]+Tabla1[[#This Row],[COS.F1]]+Tabla1[[#This Row],[COS.D1]]+Tabla1[[#This Row],[ALIMENTACION]]+Tabla1[[#This Row],[PRESTAMO]]+AN207</f>
        <v>65</v>
      </c>
      <c r="AP207" s="38" t="e">
        <f>+#REF!+Tabla1[[#This Row],[COS F2]]+Tabla1[[#This Row],[COS D2]]+Tabla1[[#This Row],[ALIMENTACION]]+Tabla1[[#This Row],[PRESTAMO]]+Tabla1[[#This Row],[PASAJES]]</f>
        <v>#REF!</v>
      </c>
    </row>
    <row r="208" spans="1:42" x14ac:dyDescent="0.25">
      <c r="A208" s="2" t="str">
        <f>TEXT(Tabla1[[#This Row],[FECHA ]],"DDDDD")</f>
        <v>lunes</v>
      </c>
      <c r="B208" s="2" t="str">
        <f>_xlfn.IFNA(VLOOKUP(Tabla1[[#This Row],[DESTINO]],RUBRO!$Q$1:$R$9996,2,FALSE)," ")</f>
        <v>PLANTA</v>
      </c>
      <c r="C208" s="104">
        <f>WEEKNUM(Tabla1[[#This Row],[FECHA ]],2)</f>
        <v>20</v>
      </c>
      <c r="D208" s="104" t="str">
        <f>TEXT(Tabla1[[#This Row],[FECHA ]],"MMM-YY")</f>
        <v>may-YY</v>
      </c>
      <c r="E208" s="104" t="str">
        <f>VLOOKUP(Tabla1[[#This Row],[DNI ]],RUBRO!$F$1:$O$9996,7,FALSE)</f>
        <v>5ta</v>
      </c>
      <c r="F208" s="104" t="e">
        <f>VLOOKUP(Tabla1[[#This Row],[DNI ]],RUBRO!$F$1:$O$88,3,FALSE)</f>
        <v>#N/A</v>
      </c>
      <c r="G208" s="104">
        <f>VLOOKUP(Tabla1[[#This Row],[DNI ]],RUBRO!$F$1:$O$9996,5,FALSE)</f>
        <v>0</v>
      </c>
      <c r="H208" s="66" t="str">
        <f>VLOOKUP(Tabla1[[#This Row],[DNI ]],RUBRO!$F$1:$O$9996,6,FALSE)</f>
        <v>OLANO GARCIA</v>
      </c>
      <c r="I208" s="94">
        <v>44326</v>
      </c>
      <c r="J208" s="10">
        <v>1</v>
      </c>
      <c r="K208" s="2">
        <v>41234982</v>
      </c>
      <c r="L208" s="4">
        <f>VLOOKUP(Tabla1[[#This Row],[DNI ]],RUBRO!$F$2:$O$9996,8,FALSE)</f>
        <v>0</v>
      </c>
      <c r="M208" s="88">
        <v>0.29166666666666669</v>
      </c>
      <c r="N208" s="28">
        <v>0.54166666666666663</v>
      </c>
      <c r="O208" s="28">
        <v>0.58333333333333337</v>
      </c>
      <c r="P208" s="28">
        <v>0.70833333333333337</v>
      </c>
      <c r="Q208" s="31">
        <f>(Tabla1[[#This Row],[SALIDA]]-Tabla1[[#This Row],[FIN ]])+(Tabla1[[#This Row],[INICIO]]-Tabla1[[#This Row],[INGRESO]])</f>
        <v>0.37499999999999994</v>
      </c>
      <c r="R208" s="13">
        <f t="shared" si="9"/>
        <v>0.37499999999999994</v>
      </c>
      <c r="S208" s="31">
        <f t="shared" si="10"/>
        <v>0</v>
      </c>
      <c r="T208" s="136"/>
      <c r="U208" s="136"/>
      <c r="V208" s="137">
        <f>(Tabla1[[#This Row],[COS.BASE 3]]*0.25+Tabla1[[#This Row],[COS.BASE 3]])*Tabla1[[#This Row],[HORAS 25 % ]]</f>
        <v>0</v>
      </c>
      <c r="W208" s="138">
        <f>(Tabla1[[#This Row],[COS.BASE 3]]*0.35+Tabla1[[#This Row],[COS.BASE 3]])*Tabla1[[#This Row],[HORAS 35% ]]</f>
        <v>0</v>
      </c>
      <c r="X208" s="138">
        <f>SUM(Tabla1[[#This Row],[C.HORA.35]],Tabla1[[#This Row],[C.HORA.25]])</f>
        <v>0</v>
      </c>
      <c r="Y208" s="4"/>
      <c r="Z208" s="10">
        <f>Tabla1[[#This Row],[T.HORAS]]*24</f>
        <v>8.9999999999999982</v>
      </c>
      <c r="AA208" s="4">
        <f>Tabla1[[#This Row],[H.NORMALES]]*24</f>
        <v>8.9999999999999982</v>
      </c>
      <c r="AB208" s="10">
        <f>Tabla1[[#This Row],[H.EXTRAS]]*24</f>
        <v>0</v>
      </c>
      <c r="AC208" s="105">
        <f t="shared" si="11"/>
        <v>0</v>
      </c>
      <c r="AD208" s="120">
        <f>Tabla1[[#This Row],[COS.BASE 2]]/8</f>
        <v>0</v>
      </c>
      <c r="AE208" s="105">
        <f>Tabla1[[#This Row],[CST_H_E]]+Tabla1[[#This Row],[COS.BASE 2]]</f>
        <v>0</v>
      </c>
      <c r="AF208" s="106">
        <f>+_xlfn.IFNA(INDEX(RUBRO!$W$2:$AA$732,MATCH(Tabla1[[#This Row],[FECHA ]],RUBRO!$W$2:$W$732,0),5)," ")</f>
        <v>0</v>
      </c>
      <c r="AG208" s="10">
        <f>+_xlfn.IFNA(INDEX(RUBRO!$W$2:$AA$732,MATCH(Tabla1[[#This Row],[FECHA ]],RUBRO!$W$2:$W$732,0),2)," ")</f>
        <v>0</v>
      </c>
      <c r="AH208" s="40">
        <f>IFERROR(Tabla1[[#This Row],[F]]*Tabla1[[#This Row],[COS.B+E]]," ")</f>
        <v>0</v>
      </c>
      <c r="AI208" s="40">
        <f>IFERROR(Tabla1[[#This Row],[COS.B+E]]*Tabla1[[#This Row],[D]]," ")</f>
        <v>0</v>
      </c>
      <c r="AJ208" s="40" t="str">
        <f>IFERROR(Tabla1[[#This Row],[F]]*#REF!," ")</f>
        <v xml:space="preserve"> </v>
      </c>
      <c r="AK208" s="40" t="str">
        <f>IFERROR(#REF!*Tabla1[[#This Row],[D]]," ")</f>
        <v xml:space="preserve"> </v>
      </c>
      <c r="AL208" s="103"/>
      <c r="AM208" s="103"/>
      <c r="AN208" s="103"/>
      <c r="AO208" s="38">
        <f>+Tabla1[[#This Row],[COS.B+E]]+Tabla1[[#This Row],[COS.F1]]+Tabla1[[#This Row],[COS.D1]]+Tabla1[[#This Row],[ALIMENTACION]]+Tabla1[[#This Row],[PRESTAMO]]+AN208</f>
        <v>0</v>
      </c>
      <c r="AP208" s="38" t="e">
        <f>+#REF!+Tabla1[[#This Row],[COS F2]]+Tabla1[[#This Row],[COS D2]]+Tabla1[[#This Row],[ALIMENTACION]]+Tabla1[[#This Row],[PRESTAMO]]+Tabla1[[#This Row],[PASAJES]]</f>
        <v>#REF!</v>
      </c>
    </row>
    <row r="209" spans="1:42" x14ac:dyDescent="0.25">
      <c r="A209" s="2" t="str">
        <f>TEXT(Tabla1[[#This Row],[FECHA ]],"DDDDD")</f>
        <v>lunes</v>
      </c>
      <c r="B209" s="2" t="str">
        <f>_xlfn.IFNA(VLOOKUP(Tabla1[[#This Row],[DESTINO]],RUBRO!$Q$1:$R$9996,2,FALSE)," ")</f>
        <v>PLANTA</v>
      </c>
      <c r="C209" s="104">
        <f>WEEKNUM(Tabla1[[#This Row],[FECHA ]],2)</f>
        <v>20</v>
      </c>
      <c r="D209" s="104" t="str">
        <f>TEXT(Tabla1[[#This Row],[FECHA ]],"MMM-YY")</f>
        <v>may-YY</v>
      </c>
      <c r="E209" s="104" t="str">
        <f>VLOOKUP(Tabla1[[#This Row],[DNI ]],RUBRO!$F$1:$O$9996,7,FALSE)</f>
        <v>5ta</v>
      </c>
      <c r="F209" s="104" t="str">
        <f>VLOOKUP(Tabla1[[#This Row],[DNI ]],RUBRO!$F$1:$O$88,3,FALSE)</f>
        <v>TEC-05</v>
      </c>
      <c r="G209" s="104" t="str">
        <f>VLOOKUP(Tabla1[[#This Row],[DNI ]],RUBRO!$F$1:$O$9996,5,FALSE)</f>
        <v>TECNICO MECANICO MONTAJISTA DE NAVE INDUSTRIAL</v>
      </c>
      <c r="H209" s="66" t="str">
        <f>VLOOKUP(Tabla1[[#This Row],[DNI ]],RUBRO!$F$1:$O$9996,6,FALSE)</f>
        <v>ORTIZ PANTALEON POLH MANIX</v>
      </c>
      <c r="I209" s="94">
        <v>44326</v>
      </c>
      <c r="J209" s="10">
        <v>1</v>
      </c>
      <c r="K209" s="2">
        <v>45821420</v>
      </c>
      <c r="L209" s="4">
        <f>VLOOKUP(Tabla1[[#This Row],[DNI ]],RUBRO!$F$2:$O$9996,8,FALSE)</f>
        <v>56.55</v>
      </c>
      <c r="M209" s="88">
        <v>0.29166666666666669</v>
      </c>
      <c r="N209" s="28">
        <v>0.54166666666666663</v>
      </c>
      <c r="O209" s="28">
        <v>0.58333333333333337</v>
      </c>
      <c r="P209" s="28">
        <v>0.70833333333333337</v>
      </c>
      <c r="Q209" s="31">
        <f>(Tabla1[[#This Row],[SALIDA]]-Tabla1[[#This Row],[FIN ]])+(Tabla1[[#This Row],[INICIO]]-Tabla1[[#This Row],[INGRESO]])</f>
        <v>0.37499999999999994</v>
      </c>
      <c r="R209" s="13">
        <f t="shared" si="9"/>
        <v>0.37499999999999994</v>
      </c>
      <c r="S209" s="31">
        <f t="shared" si="10"/>
        <v>0</v>
      </c>
      <c r="T209" s="136"/>
      <c r="U209" s="136"/>
      <c r="V209" s="137">
        <f>(Tabla1[[#This Row],[COS.BASE 3]]*0.25+Tabla1[[#This Row],[COS.BASE 3]])*Tabla1[[#This Row],[HORAS 25 % ]]</f>
        <v>0</v>
      </c>
      <c r="W209" s="138">
        <f>(Tabla1[[#This Row],[COS.BASE 3]]*0.35+Tabla1[[#This Row],[COS.BASE 3]])*Tabla1[[#This Row],[HORAS 35% ]]</f>
        <v>0</v>
      </c>
      <c r="X209" s="138">
        <f>SUM(Tabla1[[#This Row],[C.HORA.35]],Tabla1[[#This Row],[C.HORA.25]])</f>
        <v>0</v>
      </c>
      <c r="Y209" s="4"/>
      <c r="Z209" s="10">
        <f>Tabla1[[#This Row],[T.HORAS]]*24</f>
        <v>8.9999999999999982</v>
      </c>
      <c r="AA209" s="4">
        <f>Tabla1[[#This Row],[H.NORMALES]]*24</f>
        <v>8.9999999999999982</v>
      </c>
      <c r="AB209" s="10">
        <f>Tabla1[[#This Row],[H.EXTRAS]]*24</f>
        <v>0</v>
      </c>
      <c r="AC209" s="105">
        <f t="shared" si="11"/>
        <v>56.54999999999999</v>
      </c>
      <c r="AD209" s="120">
        <f>Tabla1[[#This Row],[COS.BASE 2]]/8</f>
        <v>7.0687499999999988</v>
      </c>
      <c r="AE209" s="105">
        <f>Tabla1[[#This Row],[CST_H_E]]+Tabla1[[#This Row],[COS.BASE 2]]</f>
        <v>56.54999999999999</v>
      </c>
      <c r="AF209" s="106">
        <f>+_xlfn.IFNA(INDEX(RUBRO!$W$2:$AA$732,MATCH(Tabla1[[#This Row],[FECHA ]],RUBRO!$W$2:$W$732,0),5)," ")</f>
        <v>0</v>
      </c>
      <c r="AG209" s="10">
        <f>+_xlfn.IFNA(INDEX(RUBRO!$W$2:$AA$732,MATCH(Tabla1[[#This Row],[FECHA ]],RUBRO!$W$2:$W$732,0),2)," ")</f>
        <v>0</v>
      </c>
      <c r="AH209" s="40">
        <f>IFERROR(Tabla1[[#This Row],[F]]*Tabla1[[#This Row],[COS.B+E]]," ")</f>
        <v>0</v>
      </c>
      <c r="AI209" s="40">
        <f>IFERROR(Tabla1[[#This Row],[COS.B+E]]*Tabla1[[#This Row],[D]]," ")</f>
        <v>0</v>
      </c>
      <c r="AJ209" s="40" t="str">
        <f>IFERROR(Tabla1[[#This Row],[F]]*#REF!," ")</f>
        <v xml:space="preserve"> </v>
      </c>
      <c r="AK209" s="40" t="str">
        <f>IFERROR(#REF!*Tabla1[[#This Row],[D]]," ")</f>
        <v xml:space="preserve"> </v>
      </c>
      <c r="AL209" s="103"/>
      <c r="AM209" s="103"/>
      <c r="AN209" s="103"/>
      <c r="AO209" s="38">
        <f>+Tabla1[[#This Row],[COS.B+E]]+Tabla1[[#This Row],[COS.F1]]+Tabla1[[#This Row],[COS.D1]]+Tabla1[[#This Row],[ALIMENTACION]]+Tabla1[[#This Row],[PRESTAMO]]+AN209</f>
        <v>56.54999999999999</v>
      </c>
      <c r="AP209" s="38" t="e">
        <f>+#REF!+Tabla1[[#This Row],[COS F2]]+Tabla1[[#This Row],[COS D2]]+Tabla1[[#This Row],[ALIMENTACION]]+Tabla1[[#This Row],[PRESTAMO]]+Tabla1[[#This Row],[PASAJES]]</f>
        <v>#REF!</v>
      </c>
    </row>
    <row r="210" spans="1:42" x14ac:dyDescent="0.25">
      <c r="A210" s="2" t="str">
        <f>TEXT(Tabla1[[#This Row],[FECHA ]],"DDDDD")</f>
        <v>lunes</v>
      </c>
      <c r="B210" s="2" t="str">
        <f>_xlfn.IFNA(VLOOKUP(Tabla1[[#This Row],[DESTINO]],RUBRO!$Q$1:$R$9996,2,FALSE)," ")</f>
        <v>PLANTA</v>
      </c>
      <c r="C210" s="104">
        <f>WEEKNUM(Tabla1[[#This Row],[FECHA ]],2)</f>
        <v>20</v>
      </c>
      <c r="D210" s="104" t="str">
        <f>TEXT(Tabla1[[#This Row],[FECHA ]],"MMM-YY")</f>
        <v>may-YY</v>
      </c>
      <c r="E210" s="104" t="str">
        <f>VLOOKUP(Tabla1[[#This Row],[DNI ]],RUBRO!$F$1:$O$9996,7,FALSE)</f>
        <v>5ta</v>
      </c>
      <c r="F210" s="104" t="str">
        <f>VLOOKUP(Tabla1[[#This Row],[DNI ]],RUBRO!$F$1:$O$88,3,FALSE)</f>
        <v>TEC-01</v>
      </c>
      <c r="G210" s="104" t="str">
        <f>VLOOKUP(Tabla1[[#This Row],[DNI ]],RUBRO!$F$1:$O$9996,5,FALSE)</f>
        <v>TECNICO SOLDADOR</v>
      </c>
      <c r="H210" s="66" t="str">
        <f>VLOOKUP(Tabla1[[#This Row],[DNI ]],RUBRO!$F$1:$O$9996,6,FALSE)</f>
        <v>PANDO SALAZAR LUIS BRYAN</v>
      </c>
      <c r="I210" s="94">
        <v>44326</v>
      </c>
      <c r="J210" s="10">
        <v>1</v>
      </c>
      <c r="K210" s="2">
        <v>47887505</v>
      </c>
      <c r="L210" s="4">
        <f>VLOOKUP(Tabla1[[#This Row],[DNI ]],RUBRO!$F$2:$O$9996,8,FALSE)</f>
        <v>66.48</v>
      </c>
      <c r="M210" s="88">
        <v>0.29166666666666669</v>
      </c>
      <c r="N210" s="28">
        <v>0.54166666666666663</v>
      </c>
      <c r="O210" s="28">
        <v>0.58333333333333337</v>
      </c>
      <c r="P210" s="28">
        <v>0.79166666666666663</v>
      </c>
      <c r="Q210" s="31">
        <f>(Tabla1[[#This Row],[SALIDA]]-Tabla1[[#This Row],[FIN ]])+(Tabla1[[#This Row],[INICIO]]-Tabla1[[#This Row],[INGRESO]])</f>
        <v>0.4583333333333332</v>
      </c>
      <c r="R210" s="13">
        <f t="shared" si="9"/>
        <v>0.375</v>
      </c>
      <c r="S210" s="31">
        <f t="shared" si="10"/>
        <v>8.3333333333333204E-2</v>
      </c>
      <c r="T210" s="136"/>
      <c r="U210" s="136"/>
      <c r="V210" s="137">
        <f>(Tabla1[[#This Row],[COS.BASE 3]]*0.25+Tabla1[[#This Row],[COS.BASE 3]])*Tabla1[[#This Row],[HORAS 25 % ]]</f>
        <v>0</v>
      </c>
      <c r="W210" s="138">
        <f>(Tabla1[[#This Row],[COS.BASE 3]]*0.35+Tabla1[[#This Row],[COS.BASE 3]])*Tabla1[[#This Row],[HORAS 35% ]]</f>
        <v>0</v>
      </c>
      <c r="X210" s="138">
        <f>SUM(Tabla1[[#This Row],[C.HORA.35]],Tabla1[[#This Row],[C.HORA.25]])</f>
        <v>0</v>
      </c>
      <c r="Y210" s="4"/>
      <c r="Z210" s="10">
        <f>Tabla1[[#This Row],[T.HORAS]]*24</f>
        <v>10.999999999999996</v>
      </c>
      <c r="AA210" s="4">
        <f>Tabla1[[#This Row],[H.NORMALES]]*24</f>
        <v>9</v>
      </c>
      <c r="AB210" s="10">
        <f>Tabla1[[#This Row],[H.EXTRAS]]*24</f>
        <v>1.9999999999999969</v>
      </c>
      <c r="AC210" s="105">
        <f t="shared" si="11"/>
        <v>66.48</v>
      </c>
      <c r="AD210" s="120">
        <f>Tabla1[[#This Row],[COS.BASE 2]]/8</f>
        <v>8.31</v>
      </c>
      <c r="AE210" s="105">
        <f>Tabla1[[#This Row],[CST_H_E]]+Tabla1[[#This Row],[COS.BASE 2]]</f>
        <v>66.48</v>
      </c>
      <c r="AF210" s="106">
        <f>+_xlfn.IFNA(INDEX(RUBRO!$W$2:$AA$732,MATCH(Tabla1[[#This Row],[FECHA ]],RUBRO!$W$2:$W$732,0),5)," ")</f>
        <v>0</v>
      </c>
      <c r="AG210" s="10">
        <f>+_xlfn.IFNA(INDEX(RUBRO!$W$2:$AA$732,MATCH(Tabla1[[#This Row],[FECHA ]],RUBRO!$W$2:$W$732,0),2)," ")</f>
        <v>0</v>
      </c>
      <c r="AH210" s="40">
        <f>IFERROR(Tabla1[[#This Row],[F]]*Tabla1[[#This Row],[COS.B+E]]," ")</f>
        <v>0</v>
      </c>
      <c r="AI210" s="40">
        <f>IFERROR(Tabla1[[#This Row],[COS.B+E]]*Tabla1[[#This Row],[D]]," ")</f>
        <v>0</v>
      </c>
      <c r="AJ210" s="40" t="str">
        <f>IFERROR(Tabla1[[#This Row],[F]]*#REF!," ")</f>
        <v xml:space="preserve"> </v>
      </c>
      <c r="AK210" s="40" t="str">
        <f>IFERROR(#REF!*Tabla1[[#This Row],[D]]," ")</f>
        <v xml:space="preserve"> </v>
      </c>
      <c r="AL210" s="103"/>
      <c r="AM210" s="103"/>
      <c r="AN210" s="103"/>
      <c r="AO210" s="38">
        <f>+Tabla1[[#This Row],[COS.B+E]]+Tabla1[[#This Row],[COS.F1]]+Tabla1[[#This Row],[COS.D1]]+Tabla1[[#This Row],[ALIMENTACION]]+Tabla1[[#This Row],[PRESTAMO]]+AN210</f>
        <v>66.48</v>
      </c>
      <c r="AP210" s="38" t="e">
        <f>+#REF!+Tabla1[[#This Row],[COS F2]]+Tabla1[[#This Row],[COS D2]]+Tabla1[[#This Row],[ALIMENTACION]]+Tabla1[[#This Row],[PRESTAMO]]+Tabla1[[#This Row],[PASAJES]]</f>
        <v>#REF!</v>
      </c>
    </row>
    <row r="211" spans="1:42" x14ac:dyDescent="0.25">
      <c r="A211" s="2" t="str">
        <f>TEXT(Tabla1[[#This Row],[FECHA ]],"DDDDD")</f>
        <v>lunes</v>
      </c>
      <c r="B211" s="2" t="str">
        <f>_xlfn.IFNA(VLOOKUP(Tabla1[[#This Row],[DESTINO]],RUBRO!$Q$1:$R$9996,2,FALSE)," ")</f>
        <v>FALTA</v>
      </c>
      <c r="C211" s="104">
        <f>WEEKNUM(Tabla1[[#This Row],[FECHA ]],2)</f>
        <v>20</v>
      </c>
      <c r="D211" s="104" t="str">
        <f>TEXT(Tabla1[[#This Row],[FECHA ]],"MMM-YY")</f>
        <v>may-YY</v>
      </c>
      <c r="E211" s="104" t="str">
        <f>VLOOKUP(Tabla1[[#This Row],[DNI ]],RUBRO!$F$1:$O$9996,7,FALSE)</f>
        <v>5ta</v>
      </c>
      <c r="F211" s="104" t="e">
        <f>VLOOKUP(Tabla1[[#This Row],[DNI ]],RUBRO!$F$1:$O$88,3,FALSE)</f>
        <v>#N/A</v>
      </c>
      <c r="G211" s="104">
        <f>VLOOKUP(Tabla1[[#This Row],[DNI ]],RUBRO!$F$1:$O$9996,5,FALSE)</f>
        <v>0</v>
      </c>
      <c r="H211" s="66" t="str">
        <f>VLOOKUP(Tabla1[[#This Row],[DNI ]],RUBRO!$F$1:$O$9996,6,FALSE)</f>
        <v xml:space="preserve">PECHE CHAPOÑAN ALBERTO </v>
      </c>
      <c r="I211" s="94">
        <v>44326</v>
      </c>
      <c r="J211" s="10">
        <v>4</v>
      </c>
      <c r="K211" s="2">
        <v>77226886</v>
      </c>
      <c r="L211" s="4">
        <f>VLOOKUP(Tabla1[[#This Row],[DNI ]],RUBRO!$F$2:$O$9996,8,FALSE)</f>
        <v>80</v>
      </c>
      <c r="M211" s="88"/>
      <c r="N211" s="28"/>
      <c r="P211" s="28"/>
      <c r="Q211" s="31">
        <f>(Tabla1[[#This Row],[SALIDA]]-Tabla1[[#This Row],[FIN ]])+(Tabla1[[#This Row],[INICIO]]-Tabla1[[#This Row],[INGRESO]])</f>
        <v>0</v>
      </c>
      <c r="R211" s="13">
        <f t="shared" si="9"/>
        <v>0</v>
      </c>
      <c r="S211" s="31">
        <f t="shared" si="10"/>
        <v>0</v>
      </c>
      <c r="T211" s="136"/>
      <c r="U211" s="136"/>
      <c r="V211" s="137">
        <f>(Tabla1[[#This Row],[COS.BASE 3]]*0.25+Tabla1[[#This Row],[COS.BASE 3]])*Tabla1[[#This Row],[HORAS 25 % ]]</f>
        <v>0</v>
      </c>
      <c r="W211" s="138">
        <f>(Tabla1[[#This Row],[COS.BASE 3]]*0.35+Tabla1[[#This Row],[COS.BASE 3]])*Tabla1[[#This Row],[HORAS 35% ]]</f>
        <v>0</v>
      </c>
      <c r="X211" s="138">
        <f>SUM(Tabla1[[#This Row],[C.HORA.35]],Tabla1[[#This Row],[C.HORA.25]])</f>
        <v>0</v>
      </c>
      <c r="Y211" s="4"/>
      <c r="Z211" s="10">
        <f>Tabla1[[#This Row],[T.HORAS]]*24</f>
        <v>0</v>
      </c>
      <c r="AA211" s="4">
        <f>Tabla1[[#This Row],[H.NORMALES]]*24</f>
        <v>0</v>
      </c>
      <c r="AB211" s="10">
        <f>Tabla1[[#This Row],[H.EXTRAS]]*24</f>
        <v>0</v>
      </c>
      <c r="AC211" s="105">
        <f t="shared" si="11"/>
        <v>0</v>
      </c>
      <c r="AD211" s="120">
        <f>Tabla1[[#This Row],[COS.BASE 2]]/8</f>
        <v>0</v>
      </c>
      <c r="AE211" s="105">
        <f>Tabla1[[#This Row],[CST_H_E]]+Tabla1[[#This Row],[COS.BASE 2]]</f>
        <v>0</v>
      </c>
      <c r="AF211" s="106">
        <f>+_xlfn.IFNA(INDEX(RUBRO!$W$2:$AA$732,MATCH(Tabla1[[#This Row],[FECHA ]],RUBRO!$W$2:$W$732,0),5)," ")</f>
        <v>0</v>
      </c>
      <c r="AG211" s="10">
        <f>+_xlfn.IFNA(INDEX(RUBRO!$W$2:$AA$732,MATCH(Tabla1[[#This Row],[FECHA ]],RUBRO!$W$2:$W$732,0),2)," ")</f>
        <v>0</v>
      </c>
      <c r="AH211" s="40">
        <f>IFERROR(Tabla1[[#This Row],[F]]*Tabla1[[#This Row],[COS.B+E]]," ")</f>
        <v>0</v>
      </c>
      <c r="AI211" s="40">
        <f>IFERROR(Tabla1[[#This Row],[COS.B+E]]*Tabla1[[#This Row],[D]]," ")</f>
        <v>0</v>
      </c>
      <c r="AJ211" s="40" t="str">
        <f>IFERROR(Tabla1[[#This Row],[F]]*#REF!," ")</f>
        <v xml:space="preserve"> </v>
      </c>
      <c r="AK211" s="40" t="str">
        <f>IFERROR(#REF!*Tabla1[[#This Row],[D]]," ")</f>
        <v xml:space="preserve"> </v>
      </c>
      <c r="AL211" s="103"/>
      <c r="AM211" s="103"/>
      <c r="AN211" s="103"/>
      <c r="AO211" s="38">
        <f>+Tabla1[[#This Row],[COS.B+E]]+Tabla1[[#This Row],[COS.F1]]+Tabla1[[#This Row],[COS.D1]]+Tabla1[[#This Row],[ALIMENTACION]]+Tabla1[[#This Row],[PRESTAMO]]+AN211</f>
        <v>0</v>
      </c>
      <c r="AP211" s="38" t="e">
        <f>+#REF!+Tabla1[[#This Row],[COS F2]]+Tabla1[[#This Row],[COS D2]]+Tabla1[[#This Row],[ALIMENTACION]]+Tabla1[[#This Row],[PRESTAMO]]+Tabla1[[#This Row],[PASAJES]]</f>
        <v>#REF!</v>
      </c>
    </row>
    <row r="212" spans="1:42" x14ac:dyDescent="0.25">
      <c r="A212" s="2" t="str">
        <f>TEXT(Tabla1[[#This Row],[FECHA ]],"DDDDD")</f>
        <v>lunes</v>
      </c>
      <c r="B212" s="2" t="str">
        <f>_xlfn.IFNA(VLOOKUP(Tabla1[[#This Row],[DESTINO]],RUBRO!$Q$1:$R$9996,2,FALSE)," ")</f>
        <v xml:space="preserve"> </v>
      </c>
      <c r="C212" s="104">
        <f>WEEKNUM(Tabla1[[#This Row],[FECHA ]],2)</f>
        <v>20</v>
      </c>
      <c r="D212" s="104" t="str">
        <f>TEXT(Tabla1[[#This Row],[FECHA ]],"MMM-YY")</f>
        <v>may-YY</v>
      </c>
      <c r="E212" s="104" t="str">
        <f>VLOOKUP(Tabla1[[#This Row],[DNI ]],RUBRO!$F$1:$O$9996,7,FALSE)</f>
        <v>5ta</v>
      </c>
      <c r="F212" s="104" t="str">
        <f>VLOOKUP(Tabla1[[#This Row],[DNI ]],RUBRO!$F$1:$O$88,3,FALSE)</f>
        <v>MEC-02</v>
      </c>
      <c r="G212" s="104" t="str">
        <f>VLOOKUP(Tabla1[[#This Row],[DNI ]],RUBRO!$F$1:$O$9996,5,FALSE)</f>
        <v>MECANICO MONTAJISTA DE MAQUINARIA</v>
      </c>
      <c r="H212" s="66" t="str">
        <f>VLOOKUP(Tabla1[[#This Row],[DNI ]],RUBRO!$F$1:$O$9996,6,FALSE)</f>
        <v>PEREZ VASQUEZ RONAL</v>
      </c>
      <c r="I212" s="94">
        <v>44326</v>
      </c>
      <c r="K212" s="2">
        <v>47942907</v>
      </c>
      <c r="L212" s="4">
        <f>VLOOKUP(Tabla1[[#This Row],[DNI ]],RUBRO!$F$2:$O$9996,8,FALSE)</f>
        <v>75</v>
      </c>
      <c r="M212" s="88"/>
      <c r="N212" s="28"/>
      <c r="P212" s="28"/>
      <c r="Q212" s="31">
        <f>(Tabla1[[#This Row],[SALIDA]]-Tabla1[[#This Row],[FIN ]])+(Tabla1[[#This Row],[INICIO]]-Tabla1[[#This Row],[INGRESO]])</f>
        <v>0</v>
      </c>
      <c r="R212" s="13">
        <f t="shared" si="9"/>
        <v>0</v>
      </c>
      <c r="S212" s="31">
        <f t="shared" si="10"/>
        <v>0</v>
      </c>
      <c r="T212" s="136"/>
      <c r="U212" s="136"/>
      <c r="V212" s="137">
        <f>(Tabla1[[#This Row],[COS.BASE 3]]*0.25+Tabla1[[#This Row],[COS.BASE 3]])*Tabla1[[#This Row],[HORAS 25 % ]]</f>
        <v>0</v>
      </c>
      <c r="W212" s="138">
        <f>(Tabla1[[#This Row],[COS.BASE 3]]*0.35+Tabla1[[#This Row],[COS.BASE 3]])*Tabla1[[#This Row],[HORAS 35% ]]</f>
        <v>0</v>
      </c>
      <c r="X212" s="138">
        <f>SUM(Tabla1[[#This Row],[C.HORA.35]],Tabla1[[#This Row],[C.HORA.25]])</f>
        <v>0</v>
      </c>
      <c r="Y212" s="4"/>
      <c r="Z212" s="10">
        <f>Tabla1[[#This Row],[T.HORAS]]*24</f>
        <v>0</v>
      </c>
      <c r="AA212" s="4">
        <f>Tabla1[[#This Row],[H.NORMALES]]*24</f>
        <v>0</v>
      </c>
      <c r="AB212" s="10">
        <f>Tabla1[[#This Row],[H.EXTRAS]]*24</f>
        <v>0</v>
      </c>
      <c r="AC212" s="105">
        <f t="shared" si="11"/>
        <v>0</v>
      </c>
      <c r="AD212" s="120">
        <f>Tabla1[[#This Row],[COS.BASE 2]]/8</f>
        <v>0</v>
      </c>
      <c r="AE212" s="105">
        <f>Tabla1[[#This Row],[CST_H_E]]+Tabla1[[#This Row],[COS.BASE 2]]</f>
        <v>0</v>
      </c>
      <c r="AF212" s="106">
        <f>+_xlfn.IFNA(INDEX(RUBRO!$W$2:$AA$732,MATCH(Tabla1[[#This Row],[FECHA ]],RUBRO!$W$2:$W$732,0),5)," ")</f>
        <v>0</v>
      </c>
      <c r="AG212" s="10">
        <f>+_xlfn.IFNA(INDEX(RUBRO!$W$2:$AA$732,MATCH(Tabla1[[#This Row],[FECHA ]],RUBRO!$W$2:$W$732,0),2)," ")</f>
        <v>0</v>
      </c>
      <c r="AH212" s="40">
        <f>IFERROR(Tabla1[[#This Row],[F]]*Tabla1[[#This Row],[COS.B+E]]," ")</f>
        <v>0</v>
      </c>
      <c r="AI212" s="40">
        <f>IFERROR(Tabla1[[#This Row],[COS.B+E]]*Tabla1[[#This Row],[D]]," ")</f>
        <v>0</v>
      </c>
      <c r="AJ212" s="40" t="str">
        <f>IFERROR(Tabla1[[#This Row],[F]]*#REF!," ")</f>
        <v xml:space="preserve"> </v>
      </c>
      <c r="AK212" s="40" t="str">
        <f>IFERROR(#REF!*Tabla1[[#This Row],[D]]," ")</f>
        <v xml:space="preserve"> </v>
      </c>
      <c r="AL212" s="103"/>
      <c r="AM212" s="103"/>
      <c r="AN212" s="103"/>
      <c r="AO212" s="38">
        <f>+Tabla1[[#This Row],[COS.B+E]]+Tabla1[[#This Row],[COS.F1]]+Tabla1[[#This Row],[COS.D1]]+Tabla1[[#This Row],[ALIMENTACION]]+Tabla1[[#This Row],[PRESTAMO]]+AN212</f>
        <v>0</v>
      </c>
      <c r="AP212" s="38" t="e">
        <f>+#REF!+Tabla1[[#This Row],[COS F2]]+Tabla1[[#This Row],[COS D2]]+Tabla1[[#This Row],[ALIMENTACION]]+Tabla1[[#This Row],[PRESTAMO]]+Tabla1[[#This Row],[PASAJES]]</f>
        <v>#REF!</v>
      </c>
    </row>
    <row r="213" spans="1:42" x14ac:dyDescent="0.25">
      <c r="A213" s="2" t="str">
        <f>TEXT(Tabla1[[#This Row],[FECHA ]],"DDDDD")</f>
        <v>lunes</v>
      </c>
      <c r="B213" s="2" t="str">
        <f>_xlfn.IFNA(VLOOKUP(Tabla1[[#This Row],[DESTINO]],RUBRO!$Q$1:$R$9996,2,FALSE)," ")</f>
        <v>PLANTA</v>
      </c>
      <c r="C213" s="104">
        <f>WEEKNUM(Tabla1[[#This Row],[FECHA ]],2)</f>
        <v>20</v>
      </c>
      <c r="D213" s="104" t="str">
        <f>TEXT(Tabla1[[#This Row],[FECHA ]],"MMM-YY")</f>
        <v>may-YY</v>
      </c>
      <c r="E213" s="104" t="str">
        <f>VLOOKUP(Tabla1[[#This Row],[DNI ]],RUBRO!$F$1:$O$9996,7,FALSE)</f>
        <v>5ta</v>
      </c>
      <c r="F213" s="104" t="str">
        <f>VLOOKUP(Tabla1[[#This Row],[DNI ]],RUBRO!$F$1:$O$88,3,FALSE)</f>
        <v>TEC-02</v>
      </c>
      <c r="G213" s="104" t="str">
        <f>VLOOKUP(Tabla1[[#This Row],[DNI ]],RUBRO!$F$1:$O$9996,5,FALSE)</f>
        <v>TECNICO MECANICO MONTAJISTA DE MAQUINARIA</v>
      </c>
      <c r="H213" s="66" t="str">
        <f>VLOOKUP(Tabla1[[#This Row],[DNI ]],RUBRO!$F$1:$O$9996,6,FALSE)</f>
        <v>PURIZACA CHUÑE JHON ANDERSON</v>
      </c>
      <c r="I213" s="94">
        <v>44326</v>
      </c>
      <c r="J213" s="10">
        <v>1</v>
      </c>
      <c r="K213" s="2">
        <v>48372384</v>
      </c>
      <c r="L213" s="4">
        <f>VLOOKUP(Tabla1[[#This Row],[DNI ]],RUBRO!$F$2:$O$9996,8,FALSE)</f>
        <v>57.62</v>
      </c>
      <c r="M213" s="88">
        <v>0.29166666666666669</v>
      </c>
      <c r="N213" s="28">
        <v>0.54166666666666663</v>
      </c>
      <c r="O213" s="28">
        <v>0.58333333333333337</v>
      </c>
      <c r="P213" s="28">
        <v>0.75</v>
      </c>
      <c r="Q213" s="31">
        <f>(Tabla1[[#This Row],[SALIDA]]-Tabla1[[#This Row],[FIN ]])+(Tabla1[[#This Row],[INICIO]]-Tabla1[[#This Row],[INGRESO]])</f>
        <v>0.41666666666666657</v>
      </c>
      <c r="R213" s="13">
        <f t="shared" si="9"/>
        <v>0.375</v>
      </c>
      <c r="S213" s="31">
        <f t="shared" si="10"/>
        <v>4.1666666666666574E-2</v>
      </c>
      <c r="T213" s="136"/>
      <c r="U213" s="136"/>
      <c r="V213" s="137">
        <f>(Tabla1[[#This Row],[COS.BASE 3]]*0.25+Tabla1[[#This Row],[COS.BASE 3]])*Tabla1[[#This Row],[HORAS 25 % ]]</f>
        <v>0</v>
      </c>
      <c r="W213" s="138">
        <f>(Tabla1[[#This Row],[COS.BASE 3]]*0.35+Tabla1[[#This Row],[COS.BASE 3]])*Tabla1[[#This Row],[HORAS 35% ]]</f>
        <v>0</v>
      </c>
      <c r="X213" s="138">
        <f>SUM(Tabla1[[#This Row],[C.HORA.35]],Tabla1[[#This Row],[C.HORA.25]])</f>
        <v>0</v>
      </c>
      <c r="Y213" s="4"/>
      <c r="Z213" s="10">
        <f>Tabla1[[#This Row],[T.HORAS]]*24</f>
        <v>9.9999999999999982</v>
      </c>
      <c r="AA213" s="4">
        <f>Tabla1[[#This Row],[H.NORMALES]]*24</f>
        <v>9</v>
      </c>
      <c r="AB213" s="10">
        <f>Tabla1[[#This Row],[H.EXTRAS]]*24</f>
        <v>0.99999999999999778</v>
      </c>
      <c r="AC213" s="105">
        <f t="shared" si="11"/>
        <v>57.62</v>
      </c>
      <c r="AD213" s="120">
        <f>Tabla1[[#This Row],[COS.BASE 2]]/8</f>
        <v>7.2024999999999997</v>
      </c>
      <c r="AE213" s="105">
        <f>Tabla1[[#This Row],[CST_H_E]]+Tabla1[[#This Row],[COS.BASE 2]]</f>
        <v>57.62</v>
      </c>
      <c r="AF213" s="106">
        <f>+_xlfn.IFNA(INDEX(RUBRO!$W$2:$AA$732,MATCH(Tabla1[[#This Row],[FECHA ]],RUBRO!$W$2:$W$732,0),5)," ")</f>
        <v>0</v>
      </c>
      <c r="AG213" s="10">
        <f>+_xlfn.IFNA(INDEX(RUBRO!$W$2:$AA$732,MATCH(Tabla1[[#This Row],[FECHA ]],RUBRO!$W$2:$W$732,0),2)," ")</f>
        <v>0</v>
      </c>
      <c r="AH213" s="40">
        <f>IFERROR(Tabla1[[#This Row],[F]]*Tabla1[[#This Row],[COS.B+E]]," ")</f>
        <v>0</v>
      </c>
      <c r="AI213" s="40">
        <f>IFERROR(Tabla1[[#This Row],[COS.B+E]]*Tabla1[[#This Row],[D]]," ")</f>
        <v>0</v>
      </c>
      <c r="AJ213" s="40" t="str">
        <f>IFERROR(Tabla1[[#This Row],[F]]*#REF!," ")</f>
        <v xml:space="preserve"> </v>
      </c>
      <c r="AK213" s="40" t="str">
        <f>IFERROR(#REF!*Tabla1[[#This Row],[D]]," ")</f>
        <v xml:space="preserve"> </v>
      </c>
      <c r="AL213" s="103"/>
      <c r="AM213" s="103"/>
      <c r="AN213" s="103"/>
      <c r="AO213" s="38">
        <f>+Tabla1[[#This Row],[COS.B+E]]+Tabla1[[#This Row],[COS.F1]]+Tabla1[[#This Row],[COS.D1]]+Tabla1[[#This Row],[ALIMENTACION]]+Tabla1[[#This Row],[PRESTAMO]]+AN213</f>
        <v>57.62</v>
      </c>
      <c r="AP213" s="38" t="e">
        <f>+#REF!+Tabla1[[#This Row],[COS F2]]+Tabla1[[#This Row],[COS D2]]+Tabla1[[#This Row],[ALIMENTACION]]+Tabla1[[#This Row],[PRESTAMO]]+Tabla1[[#This Row],[PASAJES]]</f>
        <v>#REF!</v>
      </c>
    </row>
    <row r="214" spans="1:42" x14ac:dyDescent="0.25">
      <c r="A214" s="2" t="str">
        <f>TEXT(Tabla1[[#This Row],[FECHA ]],"DDDDD")</f>
        <v>lunes</v>
      </c>
      <c r="B214" s="2" t="str">
        <f>_xlfn.IFNA(VLOOKUP(Tabla1[[#This Row],[DESTINO]],RUBRO!$Q$1:$R$9996,2,FALSE)," ")</f>
        <v>PLANTA</v>
      </c>
      <c r="C214" s="104">
        <f>WEEKNUM(Tabla1[[#This Row],[FECHA ]],2)</f>
        <v>20</v>
      </c>
      <c r="D214" s="104" t="str">
        <f>TEXT(Tabla1[[#This Row],[FECHA ]],"MMM-YY")</f>
        <v>may-YY</v>
      </c>
      <c r="E214" s="104" t="str">
        <f>VLOOKUP(Tabla1[[#This Row],[DNI ]],RUBRO!$F$1:$O$9996,7,FALSE)</f>
        <v>5ta</v>
      </c>
      <c r="F214" s="104" t="str">
        <f>VLOOKUP(Tabla1[[#This Row],[DNI ]],RUBRO!$F$1:$O$88,3,FALSE)</f>
        <v>MAE-02</v>
      </c>
      <c r="G214" s="104" t="str">
        <f>VLOOKUP(Tabla1[[#This Row],[DNI ]],RUBRO!$F$1:$O$9996,5,FALSE)</f>
        <v>MAESTRO MECANICO MONTAJISTA DE MAQUINARIA</v>
      </c>
      <c r="H214" s="66" t="str">
        <f>VLOOKUP(Tabla1[[#This Row],[DNI ]],RUBRO!$F$1:$O$9996,6,FALSE)</f>
        <v>PURIZACA SEVERINO DANIEL FERNANDO</v>
      </c>
      <c r="I214" s="94">
        <v>44326</v>
      </c>
      <c r="J214" s="10">
        <v>1</v>
      </c>
      <c r="K214" s="2">
        <v>42308744</v>
      </c>
      <c r="L214" s="4">
        <f>VLOOKUP(Tabla1[[#This Row],[DNI ]],RUBRO!$F$2:$O$9996,8,FALSE)</f>
        <v>87.1</v>
      </c>
      <c r="M214" s="88">
        <v>0.29166666666666669</v>
      </c>
      <c r="N214" s="28">
        <v>0.54166666666666663</v>
      </c>
      <c r="O214" s="28">
        <v>0.58333333333333337</v>
      </c>
      <c r="P214" s="28">
        <v>0.625</v>
      </c>
      <c r="Q214" s="31">
        <f>(Tabla1[[#This Row],[SALIDA]]-Tabla1[[#This Row],[FIN ]])+(Tabla1[[#This Row],[INICIO]]-Tabla1[[#This Row],[INGRESO]])</f>
        <v>0.29166666666666657</v>
      </c>
      <c r="R214" s="13">
        <f t="shared" si="9"/>
        <v>0.29166666666666657</v>
      </c>
      <c r="S214" s="31">
        <f t="shared" si="10"/>
        <v>0</v>
      </c>
      <c r="T214" s="136"/>
      <c r="U214" s="136"/>
      <c r="V214" s="137">
        <f>(Tabla1[[#This Row],[COS.BASE 3]]*0.25+Tabla1[[#This Row],[COS.BASE 3]])*Tabla1[[#This Row],[HORAS 25 % ]]</f>
        <v>0</v>
      </c>
      <c r="W214" s="138">
        <f>(Tabla1[[#This Row],[COS.BASE 3]]*0.35+Tabla1[[#This Row],[COS.BASE 3]])*Tabla1[[#This Row],[HORAS 35% ]]</f>
        <v>0</v>
      </c>
      <c r="X214" s="138">
        <f>SUM(Tabla1[[#This Row],[C.HORA.35]],Tabla1[[#This Row],[C.HORA.25]])</f>
        <v>0</v>
      </c>
      <c r="Y214" s="4"/>
      <c r="Z214" s="10">
        <f>Tabla1[[#This Row],[T.HORAS]]*24</f>
        <v>6.9999999999999982</v>
      </c>
      <c r="AA214" s="4">
        <f>Tabla1[[#This Row],[H.NORMALES]]*24</f>
        <v>6.9999999999999982</v>
      </c>
      <c r="AB214" s="10">
        <f>Tabla1[[#This Row],[H.EXTRAS]]*24</f>
        <v>0</v>
      </c>
      <c r="AC214" s="105">
        <f t="shared" si="11"/>
        <v>67.744444444444426</v>
      </c>
      <c r="AD214" s="120">
        <f>Tabla1[[#This Row],[COS.BASE 2]]/8</f>
        <v>8.4680555555555532</v>
      </c>
      <c r="AE214" s="105">
        <f>Tabla1[[#This Row],[CST_H_E]]+Tabla1[[#This Row],[COS.BASE 2]]</f>
        <v>67.744444444444426</v>
      </c>
      <c r="AF214" s="106">
        <f>+_xlfn.IFNA(INDEX(RUBRO!$W$2:$AA$732,MATCH(Tabla1[[#This Row],[FECHA ]],RUBRO!$W$2:$W$732,0),5)," ")</f>
        <v>0</v>
      </c>
      <c r="AG214" s="10">
        <f>+_xlfn.IFNA(INDEX(RUBRO!$W$2:$AA$732,MATCH(Tabla1[[#This Row],[FECHA ]],RUBRO!$W$2:$W$732,0),2)," ")</f>
        <v>0</v>
      </c>
      <c r="AH214" s="40">
        <f>IFERROR(Tabla1[[#This Row],[F]]*Tabla1[[#This Row],[COS.B+E]]," ")</f>
        <v>0</v>
      </c>
      <c r="AI214" s="40">
        <f>IFERROR(Tabla1[[#This Row],[COS.B+E]]*Tabla1[[#This Row],[D]]," ")</f>
        <v>0</v>
      </c>
      <c r="AJ214" s="40" t="str">
        <f>IFERROR(Tabla1[[#This Row],[F]]*#REF!," ")</f>
        <v xml:space="preserve"> </v>
      </c>
      <c r="AK214" s="40" t="str">
        <f>IFERROR(#REF!*Tabla1[[#This Row],[D]]," ")</f>
        <v xml:space="preserve"> </v>
      </c>
      <c r="AL214" s="103"/>
      <c r="AM214" s="103"/>
      <c r="AN214" s="103"/>
      <c r="AO214" s="38">
        <f>+Tabla1[[#This Row],[COS.B+E]]+Tabla1[[#This Row],[COS.F1]]+Tabla1[[#This Row],[COS.D1]]+Tabla1[[#This Row],[ALIMENTACION]]+Tabla1[[#This Row],[PRESTAMO]]+AN214</f>
        <v>67.744444444444426</v>
      </c>
      <c r="AP214" s="38" t="e">
        <f>+#REF!+Tabla1[[#This Row],[COS F2]]+Tabla1[[#This Row],[COS D2]]+Tabla1[[#This Row],[ALIMENTACION]]+Tabla1[[#This Row],[PRESTAMO]]+Tabla1[[#This Row],[PASAJES]]</f>
        <v>#REF!</v>
      </c>
    </row>
    <row r="215" spans="1:42" x14ac:dyDescent="0.25">
      <c r="A215" s="2" t="str">
        <f>TEXT(Tabla1[[#This Row],[FECHA ]],"DDDDD")</f>
        <v>lunes</v>
      </c>
      <c r="B215" s="2" t="str">
        <f>_xlfn.IFNA(VLOOKUP(Tabla1[[#This Row],[DESTINO]],RUBRO!$Q$1:$R$9996,2,FALSE)," ")</f>
        <v>OBRA</v>
      </c>
      <c r="C215" s="104">
        <f>WEEKNUM(Tabla1[[#This Row],[FECHA ]],2)</f>
        <v>20</v>
      </c>
      <c r="D215" s="104" t="str">
        <f>TEXT(Tabla1[[#This Row],[FECHA ]],"MMM-YY")</f>
        <v>may-YY</v>
      </c>
      <c r="E215" s="104" t="str">
        <f>VLOOKUP(Tabla1[[#This Row],[DNI ]],RUBRO!$F$1:$O$9996,7,FALSE)</f>
        <v>4ta</v>
      </c>
      <c r="F215" s="104" t="str">
        <f>VLOOKUP(Tabla1[[#This Row],[DNI ]],RUBRO!$F$1:$O$88,3,FALSE)</f>
        <v>MAE3G-01</v>
      </c>
      <c r="G215" s="104" t="str">
        <f>VLOOKUP(Tabla1[[#This Row],[DNI ]],RUBRO!$F$1:$O$9996,5,FALSE)</f>
        <v>MAESTRO SOLDADOR 3G</v>
      </c>
      <c r="H215" s="66" t="str">
        <f>VLOOKUP(Tabla1[[#This Row],[DNI ]],RUBRO!$F$1:$O$9996,6,FALSE)</f>
        <v>QUIROZ CORTEJANA DANTE GABRIEL</v>
      </c>
      <c r="I215" s="94">
        <v>44326</v>
      </c>
      <c r="J215" s="10">
        <v>2</v>
      </c>
      <c r="K215" s="2">
        <v>45486657</v>
      </c>
      <c r="L215" s="4">
        <f>VLOOKUP(Tabla1[[#This Row],[DNI ]],RUBRO!$F$2:$O$9996,8,FALSE)</f>
        <v>90</v>
      </c>
      <c r="M215" s="88">
        <v>0.29166666666666669</v>
      </c>
      <c r="N215" s="28">
        <v>0.54166666666666663</v>
      </c>
      <c r="O215" s="28">
        <v>0.58333333333333337</v>
      </c>
      <c r="P215" s="28">
        <v>0.75</v>
      </c>
      <c r="Q215" s="31">
        <f>(Tabla1[[#This Row],[SALIDA]]-Tabla1[[#This Row],[FIN ]])+(Tabla1[[#This Row],[INICIO]]-Tabla1[[#This Row],[INGRESO]])</f>
        <v>0.41666666666666657</v>
      </c>
      <c r="R215" s="13">
        <f t="shared" si="9"/>
        <v>0.33333333333333331</v>
      </c>
      <c r="S215" s="31">
        <f t="shared" si="10"/>
        <v>8.3333333333333259E-2</v>
      </c>
      <c r="T215" s="136"/>
      <c r="U215" s="136"/>
      <c r="V215" s="137">
        <f>(Tabla1[[#This Row],[COS.BASE 3]]*0.25+Tabla1[[#This Row],[COS.BASE 3]])*Tabla1[[#This Row],[HORAS 25 % ]]</f>
        <v>0</v>
      </c>
      <c r="W215" s="138">
        <f>(Tabla1[[#This Row],[COS.BASE 3]]*0.35+Tabla1[[#This Row],[COS.BASE 3]])*Tabla1[[#This Row],[HORAS 35% ]]</f>
        <v>0</v>
      </c>
      <c r="X215" s="138">
        <f>SUM(Tabla1[[#This Row],[C.HORA.35]],Tabla1[[#This Row],[C.HORA.25]])</f>
        <v>0</v>
      </c>
      <c r="Y215" s="4"/>
      <c r="Z215" s="10">
        <f>Tabla1[[#This Row],[T.HORAS]]*24</f>
        <v>9.9999999999999982</v>
      </c>
      <c r="AA215" s="4">
        <f>Tabla1[[#This Row],[H.NORMALES]]*24</f>
        <v>8</v>
      </c>
      <c r="AB215" s="10">
        <f>Tabla1[[#This Row],[H.EXTRAS]]*24</f>
        <v>1.9999999999999982</v>
      </c>
      <c r="AC215" s="105">
        <f t="shared" si="11"/>
        <v>90</v>
      </c>
      <c r="AD215" s="120">
        <f>Tabla1[[#This Row],[COS.BASE 2]]/8</f>
        <v>11.25</v>
      </c>
      <c r="AE215" s="105">
        <f>Tabla1[[#This Row],[CST_H_E]]+Tabla1[[#This Row],[COS.BASE 2]]</f>
        <v>90</v>
      </c>
      <c r="AF215" s="106">
        <f>+_xlfn.IFNA(INDEX(RUBRO!$W$2:$AA$732,MATCH(Tabla1[[#This Row],[FECHA ]],RUBRO!$W$2:$W$732,0),5)," ")</f>
        <v>0</v>
      </c>
      <c r="AG215" s="10">
        <f>+_xlfn.IFNA(INDEX(RUBRO!$W$2:$AA$732,MATCH(Tabla1[[#This Row],[FECHA ]],RUBRO!$W$2:$W$732,0),2)," ")</f>
        <v>0</v>
      </c>
      <c r="AH215" s="40">
        <f>IFERROR(Tabla1[[#This Row],[F]]*Tabla1[[#This Row],[COS.B+E]]," ")</f>
        <v>0</v>
      </c>
      <c r="AI215" s="40">
        <f>IFERROR(Tabla1[[#This Row],[COS.B+E]]*Tabla1[[#This Row],[D]]," ")</f>
        <v>0</v>
      </c>
      <c r="AJ215" s="40" t="str">
        <f>IFERROR(Tabla1[[#This Row],[F]]*#REF!," ")</f>
        <v xml:space="preserve"> </v>
      </c>
      <c r="AK215" s="40" t="str">
        <f>IFERROR(#REF!*Tabla1[[#This Row],[D]]," ")</f>
        <v xml:space="preserve"> </v>
      </c>
      <c r="AL215" s="103"/>
      <c r="AM215" s="103"/>
      <c r="AN215" s="103"/>
      <c r="AO215" s="38">
        <f>+Tabla1[[#This Row],[COS.B+E]]+Tabla1[[#This Row],[COS.F1]]+Tabla1[[#This Row],[COS.D1]]+Tabla1[[#This Row],[ALIMENTACION]]+Tabla1[[#This Row],[PRESTAMO]]+AN215</f>
        <v>90</v>
      </c>
      <c r="AP215" s="38" t="e">
        <f>+#REF!+Tabla1[[#This Row],[COS F2]]+Tabla1[[#This Row],[COS D2]]+Tabla1[[#This Row],[ALIMENTACION]]+Tabla1[[#This Row],[PRESTAMO]]+Tabla1[[#This Row],[PASAJES]]</f>
        <v>#REF!</v>
      </c>
    </row>
    <row r="216" spans="1:42" x14ac:dyDescent="0.25">
      <c r="A216" s="2" t="str">
        <f>TEXT(Tabla1[[#This Row],[FECHA ]],"DDDDD")</f>
        <v>lunes</v>
      </c>
      <c r="B216" s="2" t="str">
        <f>_xlfn.IFNA(VLOOKUP(Tabla1[[#This Row],[DESTINO]],RUBRO!$Q$1:$R$9996,2,FALSE)," ")</f>
        <v>OBRA</v>
      </c>
      <c r="C216" s="104">
        <f>WEEKNUM(Tabla1[[#This Row],[FECHA ]],2)</f>
        <v>20</v>
      </c>
      <c r="D216" s="104" t="str">
        <f>TEXT(Tabla1[[#This Row],[FECHA ]],"MMM-YY")</f>
        <v>may-YY</v>
      </c>
      <c r="E216" s="104" t="str">
        <f>VLOOKUP(Tabla1[[#This Row],[DNI ]],RUBRO!$F$1:$O$9996,7,FALSE)</f>
        <v>5ta</v>
      </c>
      <c r="F216" s="104" t="str">
        <f>VLOOKUP(Tabla1[[#This Row],[DNI ]],RUBRO!$F$1:$O$88,3,FALSE)</f>
        <v>MAEME-03</v>
      </c>
      <c r="G216" s="104" t="str">
        <f>VLOOKUP(Tabla1[[#This Row],[DNI ]],RUBRO!$F$1:$O$9996,5,FALSE)</f>
        <v>MAESTRO ELECTRICO MONTAJISTA DE MAQUINARIA EXTRANJERA</v>
      </c>
      <c r="H216" s="66" t="str">
        <f>VLOOKUP(Tabla1[[#This Row],[DNI ]],RUBRO!$F$1:$O$9996,6,FALSE)</f>
        <v>RAMIREZ PELAEZ ELIAS</v>
      </c>
      <c r="I216" s="94">
        <v>44326</v>
      </c>
      <c r="J216" s="10">
        <v>2</v>
      </c>
      <c r="K216" s="2">
        <v>45779525</v>
      </c>
      <c r="L216" s="4">
        <f>VLOOKUP(Tabla1[[#This Row],[DNI ]],RUBRO!$F$2:$O$9996,8,FALSE)</f>
        <v>116.06</v>
      </c>
      <c r="M216" s="88">
        <v>0.41666666666666669</v>
      </c>
      <c r="N216" s="28">
        <v>0.60416666666666663</v>
      </c>
      <c r="O216" s="28">
        <v>0.8125</v>
      </c>
      <c r="P216" s="28">
        <v>0.99930555555555556</v>
      </c>
      <c r="Q216" s="31">
        <f>(Tabla1[[#This Row],[SALIDA]]-Tabla1[[#This Row],[FIN ]])+(Tabla1[[#This Row],[INICIO]]-Tabla1[[#This Row],[INGRESO]])</f>
        <v>0.3743055555555555</v>
      </c>
      <c r="R216" s="13">
        <f t="shared" si="9"/>
        <v>0.33333333333333331</v>
      </c>
      <c r="S216" s="31">
        <f t="shared" si="10"/>
        <v>4.0972222222222188E-2</v>
      </c>
      <c r="T216" s="136"/>
      <c r="U216" s="136"/>
      <c r="V216" s="137">
        <f>(Tabla1[[#This Row],[COS.BASE 3]]*0.25+Tabla1[[#This Row],[COS.BASE 3]])*Tabla1[[#This Row],[HORAS 25 % ]]</f>
        <v>0</v>
      </c>
      <c r="W216" s="138">
        <f>(Tabla1[[#This Row],[COS.BASE 3]]*0.35+Tabla1[[#This Row],[COS.BASE 3]])*Tabla1[[#This Row],[HORAS 35% ]]</f>
        <v>0</v>
      </c>
      <c r="X216" s="138">
        <f>SUM(Tabla1[[#This Row],[C.HORA.35]],Tabla1[[#This Row],[C.HORA.25]])</f>
        <v>0</v>
      </c>
      <c r="Y216" s="4"/>
      <c r="Z216" s="10">
        <f>Tabla1[[#This Row],[T.HORAS]]*24</f>
        <v>8.9833333333333325</v>
      </c>
      <c r="AA216" s="4">
        <f>Tabla1[[#This Row],[H.NORMALES]]*24</f>
        <v>8</v>
      </c>
      <c r="AB216" s="10">
        <f>Tabla1[[#This Row],[H.EXTRAS]]*24</f>
        <v>0.9833333333333325</v>
      </c>
      <c r="AC216" s="105">
        <f t="shared" si="11"/>
        <v>116.06</v>
      </c>
      <c r="AD216" s="120">
        <f>Tabla1[[#This Row],[COS.BASE 2]]/8</f>
        <v>14.5075</v>
      </c>
      <c r="AE216" s="105">
        <f>Tabla1[[#This Row],[CST_H_E]]+Tabla1[[#This Row],[COS.BASE 2]]</f>
        <v>116.06</v>
      </c>
      <c r="AF216" s="106">
        <f>+_xlfn.IFNA(INDEX(RUBRO!$W$2:$AA$732,MATCH(Tabla1[[#This Row],[FECHA ]],RUBRO!$W$2:$W$732,0),5)," ")</f>
        <v>0</v>
      </c>
      <c r="AG216" s="10">
        <f>+_xlfn.IFNA(INDEX(RUBRO!$W$2:$AA$732,MATCH(Tabla1[[#This Row],[FECHA ]],RUBRO!$W$2:$W$732,0),2)," ")</f>
        <v>0</v>
      </c>
      <c r="AH216" s="40">
        <f>IFERROR(Tabla1[[#This Row],[F]]*Tabla1[[#This Row],[COS.B+E]]," ")</f>
        <v>0</v>
      </c>
      <c r="AI216" s="40">
        <f>IFERROR(Tabla1[[#This Row],[COS.B+E]]*Tabla1[[#This Row],[D]]," ")</f>
        <v>0</v>
      </c>
      <c r="AJ216" s="40" t="str">
        <f>IFERROR(Tabla1[[#This Row],[F]]*#REF!," ")</f>
        <v xml:space="preserve"> </v>
      </c>
      <c r="AK216" s="40" t="str">
        <f>IFERROR(#REF!*Tabla1[[#This Row],[D]]," ")</f>
        <v xml:space="preserve"> </v>
      </c>
      <c r="AL216" s="103"/>
      <c r="AM216" s="103"/>
      <c r="AN216" s="103"/>
      <c r="AO216" s="38">
        <f>+Tabla1[[#This Row],[COS.B+E]]+Tabla1[[#This Row],[COS.F1]]+Tabla1[[#This Row],[COS.D1]]+Tabla1[[#This Row],[ALIMENTACION]]+Tabla1[[#This Row],[PRESTAMO]]+AN216</f>
        <v>116.06</v>
      </c>
      <c r="AP216" s="38" t="e">
        <f>+#REF!+Tabla1[[#This Row],[COS F2]]+Tabla1[[#This Row],[COS D2]]+Tabla1[[#This Row],[ALIMENTACION]]+Tabla1[[#This Row],[PRESTAMO]]+Tabla1[[#This Row],[PASAJES]]</f>
        <v>#REF!</v>
      </c>
    </row>
    <row r="217" spans="1:42" x14ac:dyDescent="0.25">
      <c r="A217" s="2" t="str">
        <f>TEXT(Tabla1[[#This Row],[FECHA ]],"DDDDD")</f>
        <v>lunes</v>
      </c>
      <c r="B217" s="2" t="str">
        <f>_xlfn.IFNA(VLOOKUP(Tabla1[[#This Row],[DESTINO]],RUBRO!$Q$1:$R$9996,2,FALSE)," ")</f>
        <v>PLANTA</v>
      </c>
      <c r="C217" s="104">
        <f>WEEKNUM(Tabla1[[#This Row],[FECHA ]],2)</f>
        <v>20</v>
      </c>
      <c r="D217" s="104" t="str">
        <f>TEXT(Tabla1[[#This Row],[FECHA ]],"MMM-YY")</f>
        <v>may-YY</v>
      </c>
      <c r="E217" s="104" t="str">
        <f>VLOOKUP(Tabla1[[#This Row],[DNI ]],RUBRO!$F$1:$O$9996,7,FALSE)</f>
        <v>5ta</v>
      </c>
      <c r="F217" s="104" t="str">
        <f>VLOOKUP(Tabla1[[#This Row],[DNI ]],RUBRO!$F$1:$O$88,3,FALSE)</f>
        <v>MAE3G-01</v>
      </c>
      <c r="G217" s="104" t="str">
        <f>VLOOKUP(Tabla1[[#This Row],[DNI ]],RUBRO!$F$1:$O$9996,5,FALSE)</f>
        <v>MAESTRO SOLDADOR 3G</v>
      </c>
      <c r="H217" s="66" t="str">
        <f>VLOOKUP(Tabla1[[#This Row],[DNI ]],RUBRO!$F$1:$O$9996,6,FALSE)</f>
        <v>RIOJA RODRIGUEZ MARCO JEAIR</v>
      </c>
      <c r="I217" s="94">
        <v>44326</v>
      </c>
      <c r="J217" s="10">
        <v>1</v>
      </c>
      <c r="K217" s="2">
        <v>77423720</v>
      </c>
      <c r="L217" s="4">
        <f>VLOOKUP(Tabla1[[#This Row],[DNI ]],RUBRO!$F$2:$O$9996,8,FALSE)</f>
        <v>69.44</v>
      </c>
      <c r="M217" s="88">
        <v>0.29166666666666669</v>
      </c>
      <c r="N217" s="28">
        <v>0.54166666666666663</v>
      </c>
      <c r="O217" s="28">
        <v>0.55208333333333337</v>
      </c>
      <c r="P217" s="28">
        <v>0.67708333333333337</v>
      </c>
      <c r="Q217" s="31">
        <f>(Tabla1[[#This Row],[SALIDA]]-Tabla1[[#This Row],[FIN ]])+(Tabla1[[#This Row],[INICIO]]-Tabla1[[#This Row],[INGRESO]])</f>
        <v>0.37499999999999994</v>
      </c>
      <c r="R217" s="13">
        <f t="shared" si="9"/>
        <v>0.37499999999999994</v>
      </c>
      <c r="S217" s="31">
        <f t="shared" si="10"/>
        <v>0</v>
      </c>
      <c r="T217" s="136"/>
      <c r="U217" s="136"/>
      <c r="V217" s="137">
        <f>(Tabla1[[#This Row],[COS.BASE 3]]*0.25+Tabla1[[#This Row],[COS.BASE 3]])*Tabla1[[#This Row],[HORAS 25 % ]]</f>
        <v>0</v>
      </c>
      <c r="W217" s="138">
        <f>(Tabla1[[#This Row],[COS.BASE 3]]*0.35+Tabla1[[#This Row],[COS.BASE 3]])*Tabla1[[#This Row],[HORAS 35% ]]</f>
        <v>0</v>
      </c>
      <c r="X217" s="138">
        <f>SUM(Tabla1[[#This Row],[C.HORA.35]],Tabla1[[#This Row],[C.HORA.25]])</f>
        <v>0</v>
      </c>
      <c r="Y217" s="4"/>
      <c r="Z217" s="10">
        <f>Tabla1[[#This Row],[T.HORAS]]*24</f>
        <v>8.9999999999999982</v>
      </c>
      <c r="AA217" s="4">
        <f>Tabla1[[#This Row],[H.NORMALES]]*24</f>
        <v>8.9999999999999982</v>
      </c>
      <c r="AB217" s="10">
        <f>Tabla1[[#This Row],[H.EXTRAS]]*24</f>
        <v>0</v>
      </c>
      <c r="AC217" s="105">
        <f t="shared" si="11"/>
        <v>69.439999999999984</v>
      </c>
      <c r="AD217" s="120">
        <f>Tabla1[[#This Row],[COS.BASE 2]]/8</f>
        <v>8.6799999999999979</v>
      </c>
      <c r="AE217" s="105">
        <f>Tabla1[[#This Row],[CST_H_E]]+Tabla1[[#This Row],[COS.BASE 2]]</f>
        <v>69.439999999999984</v>
      </c>
      <c r="AF217" s="106">
        <f>+_xlfn.IFNA(INDEX(RUBRO!$W$2:$AA$732,MATCH(Tabla1[[#This Row],[FECHA ]],RUBRO!$W$2:$W$732,0),5)," ")</f>
        <v>0</v>
      </c>
      <c r="AG217" s="10">
        <f>+_xlfn.IFNA(INDEX(RUBRO!$W$2:$AA$732,MATCH(Tabla1[[#This Row],[FECHA ]],RUBRO!$W$2:$W$732,0),2)," ")</f>
        <v>0</v>
      </c>
      <c r="AH217" s="40">
        <f>IFERROR(Tabla1[[#This Row],[F]]*Tabla1[[#This Row],[COS.B+E]]," ")</f>
        <v>0</v>
      </c>
      <c r="AI217" s="40">
        <f>IFERROR(Tabla1[[#This Row],[COS.B+E]]*Tabla1[[#This Row],[D]]," ")</f>
        <v>0</v>
      </c>
      <c r="AJ217" s="40" t="str">
        <f>IFERROR(Tabla1[[#This Row],[F]]*#REF!," ")</f>
        <v xml:space="preserve"> </v>
      </c>
      <c r="AK217" s="40" t="str">
        <f>IFERROR(#REF!*Tabla1[[#This Row],[D]]," ")</f>
        <v xml:space="preserve"> </v>
      </c>
      <c r="AL217" s="103"/>
      <c r="AM217" s="103"/>
      <c r="AN217" s="103"/>
      <c r="AO217" s="38">
        <f>+Tabla1[[#This Row],[COS.B+E]]+Tabla1[[#This Row],[COS.F1]]+Tabla1[[#This Row],[COS.D1]]+Tabla1[[#This Row],[ALIMENTACION]]+Tabla1[[#This Row],[PRESTAMO]]+AN217</f>
        <v>69.439999999999984</v>
      </c>
      <c r="AP217" s="38" t="e">
        <f>+#REF!+Tabla1[[#This Row],[COS F2]]+Tabla1[[#This Row],[COS D2]]+Tabla1[[#This Row],[ALIMENTACION]]+Tabla1[[#This Row],[PRESTAMO]]+Tabla1[[#This Row],[PASAJES]]</f>
        <v>#REF!</v>
      </c>
    </row>
    <row r="218" spans="1:42" x14ac:dyDescent="0.25">
      <c r="A218" s="2" t="str">
        <f>TEXT(Tabla1[[#This Row],[FECHA ]],"DDDDD")</f>
        <v>lunes</v>
      </c>
      <c r="B218" s="2" t="str">
        <f>_xlfn.IFNA(VLOOKUP(Tabla1[[#This Row],[DESTINO]],RUBRO!$Q$1:$R$9996,2,FALSE)," ")</f>
        <v>PLANTA</v>
      </c>
      <c r="C218" s="104">
        <f>WEEKNUM(Tabla1[[#This Row],[FECHA ]],2)</f>
        <v>20</v>
      </c>
      <c r="D218" s="104" t="str">
        <f>TEXT(Tabla1[[#This Row],[FECHA ]],"MMM-YY")</f>
        <v>may-YY</v>
      </c>
      <c r="E218" s="104" t="str">
        <f>VLOOKUP(Tabla1[[#This Row],[DNI ]],RUBRO!$F$1:$O$9996,7,FALSE)</f>
        <v>5ta</v>
      </c>
      <c r="F218" s="104" t="str">
        <f>VLOOKUP(Tabla1[[#This Row],[DNI ]],RUBRO!$F$1:$O$88,3,FALSE)</f>
        <v>MAE6G-01</v>
      </c>
      <c r="G218" s="104" t="str">
        <f>VLOOKUP(Tabla1[[#This Row],[DNI ]],RUBRO!$F$1:$O$9996,5,FALSE)</f>
        <v>MAESTRO SOLDADOR 6G MONTAJISTA DE MAQUINARIA</v>
      </c>
      <c r="H218" s="66" t="str">
        <f>VLOOKUP(Tabla1[[#This Row],[DNI ]],RUBRO!$F$1:$O$9996,6,FALSE)</f>
        <v>RIVERA LEONARDO EVER JOSE</v>
      </c>
      <c r="I218" s="94">
        <v>44326</v>
      </c>
      <c r="J218" s="10">
        <v>1</v>
      </c>
      <c r="K218" s="2">
        <v>45035778</v>
      </c>
      <c r="L218" s="4">
        <f>VLOOKUP(Tabla1[[#This Row],[DNI ]],RUBRO!$F$2:$O$9996,8,FALSE)</f>
        <v>92.8</v>
      </c>
      <c r="M218" s="88">
        <v>0.29166666666666669</v>
      </c>
      <c r="N218" s="28">
        <v>0.54166666666666663</v>
      </c>
      <c r="O218" s="28">
        <v>0.58333333333333337</v>
      </c>
      <c r="P218" s="28">
        <v>0.79166666666666663</v>
      </c>
      <c r="Q218" s="31">
        <f>(Tabla1[[#This Row],[SALIDA]]-Tabla1[[#This Row],[FIN ]])+(Tabla1[[#This Row],[INICIO]]-Tabla1[[#This Row],[INGRESO]])</f>
        <v>0.4583333333333332</v>
      </c>
      <c r="R218" s="13">
        <f t="shared" si="9"/>
        <v>0.375</v>
      </c>
      <c r="S218" s="31">
        <f t="shared" si="10"/>
        <v>8.3333333333333204E-2</v>
      </c>
      <c r="T218" s="136"/>
      <c r="U218" s="136"/>
      <c r="V218" s="137">
        <f>(Tabla1[[#This Row],[COS.BASE 3]]*0.25+Tabla1[[#This Row],[COS.BASE 3]])*Tabla1[[#This Row],[HORAS 25 % ]]</f>
        <v>0</v>
      </c>
      <c r="W218" s="138">
        <f>(Tabla1[[#This Row],[COS.BASE 3]]*0.35+Tabla1[[#This Row],[COS.BASE 3]])*Tabla1[[#This Row],[HORAS 35% ]]</f>
        <v>0</v>
      </c>
      <c r="X218" s="138">
        <f>SUM(Tabla1[[#This Row],[C.HORA.35]],Tabla1[[#This Row],[C.HORA.25]])</f>
        <v>0</v>
      </c>
      <c r="Y218" s="4"/>
      <c r="Z218" s="10">
        <f>Tabla1[[#This Row],[T.HORAS]]*24</f>
        <v>10.999999999999996</v>
      </c>
      <c r="AA218" s="4">
        <f>Tabla1[[#This Row],[H.NORMALES]]*24</f>
        <v>9</v>
      </c>
      <c r="AB218" s="10">
        <f>Tabla1[[#This Row],[H.EXTRAS]]*24</f>
        <v>1.9999999999999969</v>
      </c>
      <c r="AC218" s="105">
        <f t="shared" si="11"/>
        <v>92.799999999999983</v>
      </c>
      <c r="AD218" s="120">
        <f>Tabla1[[#This Row],[COS.BASE 2]]/8</f>
        <v>11.599999999999998</v>
      </c>
      <c r="AE218" s="105">
        <f>Tabla1[[#This Row],[CST_H_E]]+Tabla1[[#This Row],[COS.BASE 2]]</f>
        <v>92.799999999999983</v>
      </c>
      <c r="AF218" s="106">
        <f>+_xlfn.IFNA(INDEX(RUBRO!$W$2:$AA$732,MATCH(Tabla1[[#This Row],[FECHA ]],RUBRO!$W$2:$W$732,0),5)," ")</f>
        <v>0</v>
      </c>
      <c r="AG218" s="10">
        <f>+_xlfn.IFNA(INDEX(RUBRO!$W$2:$AA$732,MATCH(Tabla1[[#This Row],[FECHA ]],RUBRO!$W$2:$W$732,0),2)," ")</f>
        <v>0</v>
      </c>
      <c r="AH218" s="40">
        <f>IFERROR(Tabla1[[#This Row],[F]]*Tabla1[[#This Row],[COS.B+E]]," ")</f>
        <v>0</v>
      </c>
      <c r="AI218" s="40">
        <f>IFERROR(Tabla1[[#This Row],[COS.B+E]]*Tabla1[[#This Row],[D]]," ")</f>
        <v>0</v>
      </c>
      <c r="AJ218" s="40" t="str">
        <f>IFERROR(Tabla1[[#This Row],[F]]*#REF!," ")</f>
        <v xml:space="preserve"> </v>
      </c>
      <c r="AK218" s="40" t="str">
        <f>IFERROR(#REF!*Tabla1[[#This Row],[D]]," ")</f>
        <v xml:space="preserve"> </v>
      </c>
      <c r="AL218" s="103"/>
      <c r="AM218" s="103"/>
      <c r="AN218" s="103"/>
      <c r="AO218" s="38">
        <f>+Tabla1[[#This Row],[COS.B+E]]+Tabla1[[#This Row],[COS.F1]]+Tabla1[[#This Row],[COS.D1]]+Tabla1[[#This Row],[ALIMENTACION]]+Tabla1[[#This Row],[PRESTAMO]]+AN218</f>
        <v>92.799999999999983</v>
      </c>
      <c r="AP218" s="38" t="e">
        <f>+#REF!+Tabla1[[#This Row],[COS F2]]+Tabla1[[#This Row],[COS D2]]+Tabla1[[#This Row],[ALIMENTACION]]+Tabla1[[#This Row],[PRESTAMO]]+Tabla1[[#This Row],[PASAJES]]</f>
        <v>#REF!</v>
      </c>
    </row>
    <row r="219" spans="1:42" x14ac:dyDescent="0.25">
      <c r="A219" s="2" t="str">
        <f>TEXT(Tabla1[[#This Row],[FECHA ]],"DDDDD")</f>
        <v>lunes</v>
      </c>
      <c r="B219" s="2" t="str">
        <f>_xlfn.IFNA(VLOOKUP(Tabla1[[#This Row],[DESTINO]],RUBRO!$Q$1:$R$9996,2,FALSE)," ")</f>
        <v>OBRA</v>
      </c>
      <c r="C219" s="104">
        <f>WEEKNUM(Tabla1[[#This Row],[FECHA ]],2)</f>
        <v>20</v>
      </c>
      <c r="D219" s="104" t="str">
        <f>TEXT(Tabla1[[#This Row],[FECHA ]],"MMM-YY")</f>
        <v>may-YY</v>
      </c>
      <c r="E219" s="104" t="str">
        <f>VLOOKUP(Tabla1[[#This Row],[DNI ]],RUBRO!$F$1:$O$9996,7,FALSE)</f>
        <v>5ta</v>
      </c>
      <c r="F219" s="104" t="str">
        <f>VLOOKUP(Tabla1[[#This Row],[DNI ]],RUBRO!$F$1:$O$88,3,FALSE)</f>
        <v>MAE-04</v>
      </c>
      <c r="G219" s="104" t="str">
        <f>VLOOKUP(Tabla1[[#This Row],[DNI ]],RUBRO!$F$1:$O$9996,5,FALSE)</f>
        <v>MAESTRO MECANICO MONTAJISTA DE MAQUINARIA EXTRANJERA</v>
      </c>
      <c r="H219" s="66" t="str">
        <f>VLOOKUP(Tabla1[[#This Row],[DNI ]],RUBRO!$F$1:$O$9996,6,FALSE)</f>
        <v>ROMERO MARIN JAIRO JOEL</v>
      </c>
      <c r="I219" s="94">
        <v>44326</v>
      </c>
      <c r="J219" s="10">
        <v>2</v>
      </c>
      <c r="K219" s="2">
        <v>72926564</v>
      </c>
      <c r="L219" s="4">
        <f>VLOOKUP(Tabla1[[#This Row],[DNI ]],RUBRO!$F$2:$O$9996,8,FALSE)</f>
        <v>88.27</v>
      </c>
      <c r="M219" s="88">
        <v>0.29166666666666669</v>
      </c>
      <c r="N219" s="28">
        <v>0.54166666666666663</v>
      </c>
      <c r="O219" s="28">
        <v>0.58333333333333337</v>
      </c>
      <c r="P219" s="28">
        <v>0.77083333333333337</v>
      </c>
      <c r="Q219" s="31">
        <f>(Tabla1[[#This Row],[SALIDA]]-Tabla1[[#This Row],[FIN ]])+(Tabla1[[#This Row],[INICIO]]-Tabla1[[#This Row],[INGRESO]])</f>
        <v>0.43749999999999994</v>
      </c>
      <c r="R219" s="13">
        <f t="shared" si="9"/>
        <v>0.33333333333333331</v>
      </c>
      <c r="S219" s="31">
        <f t="shared" si="10"/>
        <v>0.10416666666666663</v>
      </c>
      <c r="T219" s="136"/>
      <c r="U219" s="136"/>
      <c r="V219" s="137">
        <f>(Tabla1[[#This Row],[COS.BASE 3]]*0.25+Tabla1[[#This Row],[COS.BASE 3]])*Tabla1[[#This Row],[HORAS 25 % ]]</f>
        <v>0</v>
      </c>
      <c r="W219" s="138">
        <f>(Tabla1[[#This Row],[COS.BASE 3]]*0.35+Tabla1[[#This Row],[COS.BASE 3]])*Tabla1[[#This Row],[HORAS 35% ]]</f>
        <v>0</v>
      </c>
      <c r="X219" s="138">
        <f>SUM(Tabla1[[#This Row],[C.HORA.35]],Tabla1[[#This Row],[C.HORA.25]])</f>
        <v>0</v>
      </c>
      <c r="Y219" s="4"/>
      <c r="Z219" s="10">
        <f>Tabla1[[#This Row],[T.HORAS]]*24</f>
        <v>10.499999999999998</v>
      </c>
      <c r="AA219" s="4">
        <f>Tabla1[[#This Row],[H.NORMALES]]*24</f>
        <v>8</v>
      </c>
      <c r="AB219" s="10">
        <f>Tabla1[[#This Row],[H.EXTRAS]]*24</f>
        <v>2.4999999999999991</v>
      </c>
      <c r="AC219" s="105">
        <f t="shared" si="11"/>
        <v>88.27</v>
      </c>
      <c r="AD219" s="120">
        <f>Tabla1[[#This Row],[COS.BASE 2]]/8</f>
        <v>11.03375</v>
      </c>
      <c r="AE219" s="105">
        <f>Tabla1[[#This Row],[CST_H_E]]+Tabla1[[#This Row],[COS.BASE 2]]</f>
        <v>88.27</v>
      </c>
      <c r="AF219" s="106">
        <f>+_xlfn.IFNA(INDEX(RUBRO!$W$2:$AA$732,MATCH(Tabla1[[#This Row],[FECHA ]],RUBRO!$W$2:$W$732,0),5)," ")</f>
        <v>0</v>
      </c>
      <c r="AG219" s="10">
        <f>+_xlfn.IFNA(INDEX(RUBRO!$W$2:$AA$732,MATCH(Tabla1[[#This Row],[FECHA ]],RUBRO!$W$2:$W$732,0),2)," ")</f>
        <v>0</v>
      </c>
      <c r="AH219" s="40">
        <f>IFERROR(Tabla1[[#This Row],[F]]*Tabla1[[#This Row],[COS.B+E]]," ")</f>
        <v>0</v>
      </c>
      <c r="AI219" s="40">
        <f>IFERROR(Tabla1[[#This Row],[COS.B+E]]*Tabla1[[#This Row],[D]]," ")</f>
        <v>0</v>
      </c>
      <c r="AJ219" s="40" t="str">
        <f>IFERROR(Tabla1[[#This Row],[F]]*#REF!," ")</f>
        <v xml:space="preserve"> </v>
      </c>
      <c r="AK219" s="40" t="str">
        <f>IFERROR(#REF!*Tabla1[[#This Row],[D]]," ")</f>
        <v xml:space="preserve"> </v>
      </c>
      <c r="AL219" s="103"/>
      <c r="AM219" s="103"/>
      <c r="AN219" s="103"/>
      <c r="AO219" s="38">
        <f>+Tabla1[[#This Row],[COS.B+E]]+Tabla1[[#This Row],[COS.F1]]+Tabla1[[#This Row],[COS.D1]]+Tabla1[[#This Row],[ALIMENTACION]]+Tabla1[[#This Row],[PRESTAMO]]+AN219</f>
        <v>88.27</v>
      </c>
      <c r="AP219" s="38" t="e">
        <f>+#REF!+Tabla1[[#This Row],[COS F2]]+Tabla1[[#This Row],[COS D2]]+Tabla1[[#This Row],[ALIMENTACION]]+Tabla1[[#This Row],[PRESTAMO]]+Tabla1[[#This Row],[PASAJES]]</f>
        <v>#REF!</v>
      </c>
    </row>
    <row r="220" spans="1:42" x14ac:dyDescent="0.25">
      <c r="A220" s="2" t="str">
        <f>TEXT(Tabla1[[#This Row],[FECHA ]],"DDDDD")</f>
        <v>lunes</v>
      </c>
      <c r="B220" s="2" t="str">
        <f>_xlfn.IFNA(VLOOKUP(Tabla1[[#This Row],[DESTINO]],RUBRO!$Q$1:$R$9996,2,FALSE)," ")</f>
        <v>OBRA</v>
      </c>
      <c r="C220" s="104">
        <f>WEEKNUM(Tabla1[[#This Row],[FECHA ]],2)</f>
        <v>20</v>
      </c>
      <c r="D220" s="104" t="str">
        <f>TEXT(Tabla1[[#This Row],[FECHA ]],"MMM-YY")</f>
        <v>may-YY</v>
      </c>
      <c r="E220" s="104" t="str">
        <f>VLOOKUP(Tabla1[[#This Row],[DNI ]],RUBRO!$F$1:$O$9996,7,FALSE)</f>
        <v>5ta</v>
      </c>
      <c r="F220" s="104" t="e">
        <f>VLOOKUP(Tabla1[[#This Row],[DNI ]],RUBRO!$F$1:$O$88,3,FALSE)</f>
        <v>#N/A</v>
      </c>
      <c r="G220" s="104" t="str">
        <f>VLOOKUP(Tabla1[[#This Row],[DNI ]],RUBRO!$F$1:$O$9996,5,FALSE)</f>
        <v>TECNICO SOLDADOR</v>
      </c>
      <c r="H220" s="66" t="str">
        <f>VLOOKUP(Tabla1[[#This Row],[DNI ]],RUBRO!$F$1:$O$9996,6,FALSE)</f>
        <v xml:space="preserve">SALAZAR FERNANDEZ WALTER </v>
      </c>
      <c r="I220" s="94">
        <v>44326</v>
      </c>
      <c r="J220" s="10">
        <v>2</v>
      </c>
      <c r="K220" s="2">
        <v>72927801</v>
      </c>
      <c r="L220" s="4">
        <f>VLOOKUP(Tabla1[[#This Row],[DNI ]],RUBRO!$F$2:$O$9996,8,FALSE)</f>
        <v>60</v>
      </c>
      <c r="M220" s="88">
        <v>0.29166666666666669</v>
      </c>
      <c r="N220" s="28">
        <v>0.54166666666666663</v>
      </c>
      <c r="O220" s="28">
        <v>0.58333333333333337</v>
      </c>
      <c r="P220" s="28">
        <v>0.75</v>
      </c>
      <c r="Q220" s="31">
        <f>(Tabla1[[#This Row],[SALIDA]]-Tabla1[[#This Row],[FIN ]])+(Tabla1[[#This Row],[INICIO]]-Tabla1[[#This Row],[INGRESO]])</f>
        <v>0.41666666666666657</v>
      </c>
      <c r="R220" s="13">
        <f t="shared" si="9"/>
        <v>0.33333333333333331</v>
      </c>
      <c r="S220" s="31">
        <f t="shared" si="10"/>
        <v>8.3333333333333259E-2</v>
      </c>
      <c r="T220" s="136"/>
      <c r="U220" s="136"/>
      <c r="V220" s="137">
        <f>(Tabla1[[#This Row],[COS.BASE 3]]*0.25+Tabla1[[#This Row],[COS.BASE 3]])*Tabla1[[#This Row],[HORAS 25 % ]]</f>
        <v>0</v>
      </c>
      <c r="W220" s="138">
        <f>(Tabla1[[#This Row],[COS.BASE 3]]*0.35+Tabla1[[#This Row],[COS.BASE 3]])*Tabla1[[#This Row],[HORAS 35% ]]</f>
        <v>0</v>
      </c>
      <c r="X220" s="138">
        <f>SUM(Tabla1[[#This Row],[C.HORA.35]],Tabla1[[#This Row],[C.HORA.25]])</f>
        <v>0</v>
      </c>
      <c r="Y220" s="4"/>
      <c r="Z220" s="10">
        <f>Tabla1[[#This Row],[T.HORAS]]*24</f>
        <v>9.9999999999999982</v>
      </c>
      <c r="AA220" s="4">
        <f>Tabla1[[#This Row],[H.NORMALES]]*24</f>
        <v>8</v>
      </c>
      <c r="AB220" s="10">
        <f>Tabla1[[#This Row],[H.EXTRAS]]*24</f>
        <v>1.9999999999999982</v>
      </c>
      <c r="AC220" s="105">
        <f t="shared" si="11"/>
        <v>60</v>
      </c>
      <c r="AD220" s="120">
        <f>Tabla1[[#This Row],[COS.BASE 2]]/8</f>
        <v>7.5</v>
      </c>
      <c r="AE220" s="105">
        <f>Tabla1[[#This Row],[CST_H_E]]+Tabla1[[#This Row],[COS.BASE 2]]</f>
        <v>60</v>
      </c>
      <c r="AF220" s="106">
        <f>+_xlfn.IFNA(INDEX(RUBRO!$W$2:$AA$732,MATCH(Tabla1[[#This Row],[FECHA ]],RUBRO!$W$2:$W$732,0),5)," ")</f>
        <v>0</v>
      </c>
      <c r="AG220" s="10">
        <f>+_xlfn.IFNA(INDEX(RUBRO!$W$2:$AA$732,MATCH(Tabla1[[#This Row],[FECHA ]],RUBRO!$W$2:$W$732,0),2)," ")</f>
        <v>0</v>
      </c>
      <c r="AH220" s="40">
        <f>IFERROR(Tabla1[[#This Row],[F]]*Tabla1[[#This Row],[COS.B+E]]," ")</f>
        <v>0</v>
      </c>
      <c r="AI220" s="40">
        <f>IFERROR(Tabla1[[#This Row],[COS.B+E]]*Tabla1[[#This Row],[D]]," ")</f>
        <v>0</v>
      </c>
      <c r="AJ220" s="40" t="str">
        <f>IFERROR(Tabla1[[#This Row],[F]]*#REF!," ")</f>
        <v xml:space="preserve"> </v>
      </c>
      <c r="AK220" s="40" t="str">
        <f>IFERROR(#REF!*Tabla1[[#This Row],[D]]," ")</f>
        <v xml:space="preserve"> </v>
      </c>
      <c r="AL220" s="103"/>
      <c r="AM220" s="103"/>
      <c r="AN220" s="103"/>
      <c r="AO220" s="38">
        <f>+Tabla1[[#This Row],[COS.B+E]]+Tabla1[[#This Row],[COS.F1]]+Tabla1[[#This Row],[COS.D1]]+Tabla1[[#This Row],[ALIMENTACION]]+Tabla1[[#This Row],[PRESTAMO]]+AN220</f>
        <v>60</v>
      </c>
      <c r="AP220" s="38" t="e">
        <f>+#REF!+Tabla1[[#This Row],[COS F2]]+Tabla1[[#This Row],[COS D2]]+Tabla1[[#This Row],[ALIMENTACION]]+Tabla1[[#This Row],[PRESTAMO]]+Tabla1[[#This Row],[PASAJES]]</f>
        <v>#REF!</v>
      </c>
    </row>
    <row r="221" spans="1:42" x14ac:dyDescent="0.25">
      <c r="A221" s="2" t="str">
        <f>TEXT(Tabla1[[#This Row],[FECHA ]],"DDDDD")</f>
        <v>lunes</v>
      </c>
      <c r="B221" s="2" t="str">
        <f>_xlfn.IFNA(VLOOKUP(Tabla1[[#This Row],[DESTINO]],RUBRO!$Q$1:$R$9996,2,FALSE)," ")</f>
        <v>OBRA</v>
      </c>
      <c r="C221" s="104">
        <f>WEEKNUM(Tabla1[[#This Row],[FECHA ]],2)</f>
        <v>20</v>
      </c>
      <c r="D221" s="104" t="str">
        <f>TEXT(Tabla1[[#This Row],[FECHA ]],"MMM-YY")</f>
        <v>may-YY</v>
      </c>
      <c r="E221" s="104" t="str">
        <f>VLOOKUP(Tabla1[[#This Row],[DNI ]],RUBRO!$F$1:$O$9996,7,FALSE)</f>
        <v>5ta</v>
      </c>
      <c r="F221" s="104" t="str">
        <f>VLOOKUP(Tabla1[[#This Row],[DNI ]],RUBRO!$F$1:$O$88,3,FALSE)</f>
        <v>MEC-04</v>
      </c>
      <c r="G221" s="104" t="str">
        <f>VLOOKUP(Tabla1[[#This Row],[DNI ]],RUBRO!$F$1:$O$9996,5,FALSE)</f>
        <v>MECANICO MONTAJISTA DE MAQUINARIA EXTRANJERA</v>
      </c>
      <c r="H221" s="66" t="str">
        <f>VLOOKUP(Tabla1[[#This Row],[DNI ]],RUBRO!$F$1:$O$9996,6,FALSE)</f>
        <v>SANDOVAL CHAPOÑAN ELVIS EDUARDO</v>
      </c>
      <c r="I221" s="94">
        <v>44326</v>
      </c>
      <c r="J221" s="10">
        <v>2</v>
      </c>
      <c r="K221" s="2">
        <v>45360771</v>
      </c>
      <c r="L221" s="4">
        <f>VLOOKUP(Tabla1[[#This Row],[DNI ]],RUBRO!$F$2:$O$9996,8,FALSE)</f>
        <v>94.35</v>
      </c>
      <c r="M221" s="88">
        <v>0.29166666666666669</v>
      </c>
      <c r="N221" s="28">
        <v>0.54166666666666663</v>
      </c>
      <c r="O221" s="28">
        <v>0.58333333333333337</v>
      </c>
      <c r="P221" s="28">
        <v>0.77083333333333337</v>
      </c>
      <c r="Q221" s="31">
        <f>(Tabla1[[#This Row],[SALIDA]]-Tabla1[[#This Row],[FIN ]])+(Tabla1[[#This Row],[INICIO]]-Tabla1[[#This Row],[INGRESO]])</f>
        <v>0.43749999999999994</v>
      </c>
      <c r="R221" s="13">
        <f t="shared" si="9"/>
        <v>0.33333333333333331</v>
      </c>
      <c r="S221" s="31">
        <f t="shared" si="10"/>
        <v>0.10416666666666663</v>
      </c>
      <c r="T221" s="136"/>
      <c r="U221" s="136"/>
      <c r="V221" s="137">
        <f>(Tabla1[[#This Row],[COS.BASE 3]]*0.25+Tabla1[[#This Row],[COS.BASE 3]])*Tabla1[[#This Row],[HORAS 25 % ]]</f>
        <v>0</v>
      </c>
      <c r="W221" s="138">
        <f>(Tabla1[[#This Row],[COS.BASE 3]]*0.35+Tabla1[[#This Row],[COS.BASE 3]])*Tabla1[[#This Row],[HORAS 35% ]]</f>
        <v>0</v>
      </c>
      <c r="X221" s="138">
        <f>SUM(Tabla1[[#This Row],[C.HORA.35]],Tabla1[[#This Row],[C.HORA.25]])</f>
        <v>0</v>
      </c>
      <c r="Y221" s="4"/>
      <c r="Z221" s="10">
        <f>Tabla1[[#This Row],[T.HORAS]]*24</f>
        <v>10.499999999999998</v>
      </c>
      <c r="AA221" s="4">
        <f>Tabla1[[#This Row],[H.NORMALES]]*24</f>
        <v>8</v>
      </c>
      <c r="AB221" s="10">
        <f>Tabla1[[#This Row],[H.EXTRAS]]*24</f>
        <v>2.4999999999999991</v>
      </c>
      <c r="AC221" s="105">
        <f t="shared" si="11"/>
        <v>94.35</v>
      </c>
      <c r="AD221" s="120">
        <f>Tabla1[[#This Row],[COS.BASE 2]]/8</f>
        <v>11.793749999999999</v>
      </c>
      <c r="AE221" s="105">
        <f>Tabla1[[#This Row],[CST_H_E]]+Tabla1[[#This Row],[COS.BASE 2]]</f>
        <v>94.35</v>
      </c>
      <c r="AF221" s="106">
        <f>+_xlfn.IFNA(INDEX(RUBRO!$W$2:$AA$732,MATCH(Tabla1[[#This Row],[FECHA ]],RUBRO!$W$2:$W$732,0),5)," ")</f>
        <v>0</v>
      </c>
      <c r="AG221" s="10">
        <f>+_xlfn.IFNA(INDEX(RUBRO!$W$2:$AA$732,MATCH(Tabla1[[#This Row],[FECHA ]],RUBRO!$W$2:$W$732,0),2)," ")</f>
        <v>0</v>
      </c>
      <c r="AH221" s="40">
        <f>IFERROR(Tabla1[[#This Row],[F]]*Tabla1[[#This Row],[COS.B+E]]," ")</f>
        <v>0</v>
      </c>
      <c r="AI221" s="40">
        <f>IFERROR(Tabla1[[#This Row],[COS.B+E]]*Tabla1[[#This Row],[D]]," ")</f>
        <v>0</v>
      </c>
      <c r="AJ221" s="40" t="str">
        <f>IFERROR(Tabla1[[#This Row],[F]]*#REF!," ")</f>
        <v xml:space="preserve"> </v>
      </c>
      <c r="AK221" s="40" t="str">
        <f>IFERROR(#REF!*Tabla1[[#This Row],[D]]," ")</f>
        <v xml:space="preserve"> </v>
      </c>
      <c r="AL221" s="103"/>
      <c r="AM221" s="103"/>
      <c r="AN221" s="103"/>
      <c r="AO221" s="38">
        <f>+Tabla1[[#This Row],[COS.B+E]]+Tabla1[[#This Row],[COS.F1]]+Tabla1[[#This Row],[COS.D1]]+Tabla1[[#This Row],[ALIMENTACION]]+Tabla1[[#This Row],[PRESTAMO]]+AN221</f>
        <v>94.35</v>
      </c>
      <c r="AP221" s="38" t="e">
        <f>+#REF!+Tabla1[[#This Row],[COS F2]]+Tabla1[[#This Row],[COS D2]]+Tabla1[[#This Row],[ALIMENTACION]]+Tabla1[[#This Row],[PRESTAMO]]+Tabla1[[#This Row],[PASAJES]]</f>
        <v>#REF!</v>
      </c>
    </row>
    <row r="222" spans="1:42" x14ac:dyDescent="0.25">
      <c r="A222" s="2" t="str">
        <f>TEXT(Tabla1[[#This Row],[FECHA ]],"DDDDD")</f>
        <v>lunes</v>
      </c>
      <c r="B222" s="2" t="str">
        <f>_xlfn.IFNA(VLOOKUP(Tabla1[[#This Row],[DESTINO]],RUBRO!$Q$1:$R$9996,2,FALSE)," ")</f>
        <v>OBRA</v>
      </c>
      <c r="C222" s="104">
        <f>WEEKNUM(Tabla1[[#This Row],[FECHA ]],2)</f>
        <v>20</v>
      </c>
      <c r="D222" s="104" t="str">
        <f>TEXT(Tabla1[[#This Row],[FECHA ]],"MMM-YY")</f>
        <v>may-YY</v>
      </c>
      <c r="E222" s="104" t="str">
        <f>VLOOKUP(Tabla1[[#This Row],[DNI ]],RUBRO!$F$1:$O$9996,7,FALSE)</f>
        <v>5ta</v>
      </c>
      <c r="F222" s="104" t="e">
        <f>VLOOKUP(Tabla1[[#This Row],[DNI ]],RUBRO!$F$1:$O$88,3,FALSE)</f>
        <v>#N/A</v>
      </c>
      <c r="G222" s="104" t="str">
        <f>VLOOKUP(Tabla1[[#This Row],[DNI ]],RUBRO!$F$1:$O$9996,5,FALSE)</f>
        <v>TECNICO MECANICO MONTAJISTA DE NAVE INDUSTRIAL</v>
      </c>
      <c r="H222" s="66" t="str">
        <f>VLOOKUP(Tabla1[[#This Row],[DNI ]],RUBRO!$F$1:$O$9996,6,FALSE)</f>
        <v>SOLANO SUELDO CARLOS</v>
      </c>
      <c r="I222" s="94">
        <v>44326</v>
      </c>
      <c r="J222" s="10">
        <v>2</v>
      </c>
      <c r="K222" s="2">
        <v>44676684</v>
      </c>
      <c r="L222" s="4">
        <f>VLOOKUP(Tabla1[[#This Row],[DNI ]],RUBRO!$F$2:$O$9996,8,FALSE)</f>
        <v>70</v>
      </c>
      <c r="M222" s="88">
        <v>0.29166666666666669</v>
      </c>
      <c r="N222" s="28"/>
      <c r="P222" s="28">
        <v>0.58333333333333337</v>
      </c>
      <c r="Q222" s="31">
        <f>(Tabla1[[#This Row],[SALIDA]]-Tabla1[[#This Row],[FIN ]])+(Tabla1[[#This Row],[INICIO]]-Tabla1[[#This Row],[INGRESO]])</f>
        <v>0.29166666666666669</v>
      </c>
      <c r="R222" s="13">
        <f t="shared" si="9"/>
        <v>0.29166666666666669</v>
      </c>
      <c r="S222" s="31">
        <f t="shared" si="10"/>
        <v>0</v>
      </c>
      <c r="T222" s="136"/>
      <c r="U222" s="136"/>
      <c r="V222" s="137">
        <f>(Tabla1[[#This Row],[COS.BASE 3]]*0.25+Tabla1[[#This Row],[COS.BASE 3]])*Tabla1[[#This Row],[HORAS 25 % ]]</f>
        <v>0</v>
      </c>
      <c r="W222" s="138">
        <f>(Tabla1[[#This Row],[COS.BASE 3]]*0.35+Tabla1[[#This Row],[COS.BASE 3]])*Tabla1[[#This Row],[HORAS 35% ]]</f>
        <v>0</v>
      </c>
      <c r="X222" s="138">
        <f>SUM(Tabla1[[#This Row],[C.HORA.35]],Tabla1[[#This Row],[C.HORA.25]])</f>
        <v>0</v>
      </c>
      <c r="Y222" s="4"/>
      <c r="Z222" s="10">
        <f>Tabla1[[#This Row],[T.HORAS]]*24</f>
        <v>7</v>
      </c>
      <c r="AA222" s="4">
        <f>Tabla1[[#This Row],[H.NORMALES]]*24</f>
        <v>7</v>
      </c>
      <c r="AB222" s="10">
        <f>Tabla1[[#This Row],[H.EXTRAS]]*24</f>
        <v>0</v>
      </c>
      <c r="AC222" s="105">
        <f t="shared" si="11"/>
        <v>61.25</v>
      </c>
      <c r="AD222" s="120">
        <f>Tabla1[[#This Row],[COS.BASE 2]]/8</f>
        <v>7.65625</v>
      </c>
      <c r="AE222" s="105">
        <f>Tabla1[[#This Row],[CST_H_E]]+Tabla1[[#This Row],[COS.BASE 2]]</f>
        <v>61.25</v>
      </c>
      <c r="AF222" s="106">
        <f>+_xlfn.IFNA(INDEX(RUBRO!$W$2:$AA$732,MATCH(Tabla1[[#This Row],[FECHA ]],RUBRO!$W$2:$W$732,0),5)," ")</f>
        <v>0</v>
      </c>
      <c r="AG222" s="10">
        <f>+_xlfn.IFNA(INDEX(RUBRO!$W$2:$AA$732,MATCH(Tabla1[[#This Row],[FECHA ]],RUBRO!$W$2:$W$732,0),2)," ")</f>
        <v>0</v>
      </c>
      <c r="AH222" s="40">
        <f>IFERROR(Tabla1[[#This Row],[F]]*Tabla1[[#This Row],[COS.B+E]]," ")</f>
        <v>0</v>
      </c>
      <c r="AI222" s="40">
        <f>IFERROR(Tabla1[[#This Row],[COS.B+E]]*Tabla1[[#This Row],[D]]," ")</f>
        <v>0</v>
      </c>
      <c r="AJ222" s="40" t="str">
        <f>IFERROR(Tabla1[[#This Row],[F]]*#REF!," ")</f>
        <v xml:space="preserve"> </v>
      </c>
      <c r="AK222" s="40" t="str">
        <f>IFERROR(#REF!*Tabla1[[#This Row],[D]]," ")</f>
        <v xml:space="preserve"> </v>
      </c>
      <c r="AL222" s="103"/>
      <c r="AM222" s="103"/>
      <c r="AN222" s="103"/>
      <c r="AO222" s="38">
        <f>+Tabla1[[#This Row],[COS.B+E]]+Tabla1[[#This Row],[COS.F1]]+Tabla1[[#This Row],[COS.D1]]+Tabla1[[#This Row],[ALIMENTACION]]+Tabla1[[#This Row],[PRESTAMO]]+AN222</f>
        <v>61.25</v>
      </c>
      <c r="AP222" s="38" t="e">
        <f>+#REF!+Tabla1[[#This Row],[COS F2]]+Tabla1[[#This Row],[COS D2]]+Tabla1[[#This Row],[ALIMENTACION]]+Tabla1[[#This Row],[PRESTAMO]]+Tabla1[[#This Row],[PASAJES]]</f>
        <v>#REF!</v>
      </c>
    </row>
    <row r="223" spans="1:42" x14ac:dyDescent="0.25">
      <c r="A223" s="2" t="str">
        <f>TEXT(Tabla1[[#This Row],[FECHA ]],"DDDDD")</f>
        <v>lunes</v>
      </c>
      <c r="B223" s="2" t="str">
        <f>_xlfn.IFNA(VLOOKUP(Tabla1[[#This Row],[DESTINO]],RUBRO!$Q$1:$R$9996,2,FALSE)," ")</f>
        <v xml:space="preserve"> </v>
      </c>
      <c r="C223" s="104">
        <f>WEEKNUM(Tabla1[[#This Row],[FECHA ]],2)</f>
        <v>20</v>
      </c>
      <c r="D223" s="104" t="str">
        <f>TEXT(Tabla1[[#This Row],[FECHA ]],"MMM-YY")</f>
        <v>may-YY</v>
      </c>
      <c r="E223" s="104" t="str">
        <f>VLOOKUP(Tabla1[[#This Row],[DNI ]],RUBRO!$F$1:$O$9996,7,FALSE)</f>
        <v>4ta</v>
      </c>
      <c r="F223" s="104" t="e">
        <f>VLOOKUP(Tabla1[[#This Row],[DNI ]],RUBRO!$F$1:$O$88,3,FALSE)</f>
        <v>#N/A</v>
      </c>
      <c r="G223" s="104">
        <f>VLOOKUP(Tabla1[[#This Row],[DNI ]],RUBRO!$F$1:$O$9996,5,FALSE)</f>
        <v>0</v>
      </c>
      <c r="H223" s="66" t="str">
        <f>VLOOKUP(Tabla1[[#This Row],[DNI ]],RUBRO!$F$1:$O$9996,6,FALSE)</f>
        <v>SOTO NIETO ALEXANDRO FABIO</v>
      </c>
      <c r="I223" s="94">
        <v>44326</v>
      </c>
      <c r="K223" s="2">
        <v>71214531</v>
      </c>
      <c r="L223" s="4">
        <f>VLOOKUP(Tabla1[[#This Row],[DNI ]],RUBRO!$F$2:$O$9996,8,FALSE)</f>
        <v>0</v>
      </c>
      <c r="M223" s="88"/>
      <c r="N223" s="28"/>
      <c r="P223" s="28"/>
      <c r="Q223" s="31">
        <f>(Tabla1[[#This Row],[SALIDA]]-Tabla1[[#This Row],[FIN ]])+(Tabla1[[#This Row],[INICIO]]-Tabla1[[#This Row],[INGRESO]])</f>
        <v>0</v>
      </c>
      <c r="R223" s="13">
        <f t="shared" si="9"/>
        <v>0</v>
      </c>
      <c r="S223" s="31">
        <f t="shared" si="10"/>
        <v>0</v>
      </c>
      <c r="T223" s="136"/>
      <c r="U223" s="136"/>
      <c r="V223" s="137">
        <f>(Tabla1[[#This Row],[COS.BASE 3]]*0.25+Tabla1[[#This Row],[COS.BASE 3]])*Tabla1[[#This Row],[HORAS 25 % ]]</f>
        <v>0</v>
      </c>
      <c r="W223" s="138">
        <f>(Tabla1[[#This Row],[COS.BASE 3]]*0.35+Tabla1[[#This Row],[COS.BASE 3]])*Tabla1[[#This Row],[HORAS 35% ]]</f>
        <v>0</v>
      </c>
      <c r="X223" s="138">
        <f>SUM(Tabla1[[#This Row],[C.HORA.35]],Tabla1[[#This Row],[C.HORA.25]])</f>
        <v>0</v>
      </c>
      <c r="Y223" s="4"/>
      <c r="Z223" s="10">
        <f>Tabla1[[#This Row],[T.HORAS]]*24</f>
        <v>0</v>
      </c>
      <c r="AA223" s="4">
        <f>Tabla1[[#This Row],[H.NORMALES]]*24</f>
        <v>0</v>
      </c>
      <c r="AB223" s="10">
        <f>Tabla1[[#This Row],[H.EXTRAS]]*24</f>
        <v>0</v>
      </c>
      <c r="AC223" s="105">
        <f t="shared" si="11"/>
        <v>0</v>
      </c>
      <c r="AD223" s="120">
        <f>Tabla1[[#This Row],[COS.BASE 2]]/8</f>
        <v>0</v>
      </c>
      <c r="AE223" s="105">
        <f>Tabla1[[#This Row],[CST_H_E]]+Tabla1[[#This Row],[COS.BASE 2]]</f>
        <v>0</v>
      </c>
      <c r="AF223" s="106">
        <f>+_xlfn.IFNA(INDEX(RUBRO!$W$2:$AA$732,MATCH(Tabla1[[#This Row],[FECHA ]],RUBRO!$W$2:$W$732,0),5)," ")</f>
        <v>0</v>
      </c>
      <c r="AG223" s="10">
        <f>+_xlfn.IFNA(INDEX(RUBRO!$W$2:$AA$732,MATCH(Tabla1[[#This Row],[FECHA ]],RUBRO!$W$2:$W$732,0),2)," ")</f>
        <v>0</v>
      </c>
      <c r="AH223" s="40">
        <f>IFERROR(Tabla1[[#This Row],[F]]*Tabla1[[#This Row],[COS.B+E]]," ")</f>
        <v>0</v>
      </c>
      <c r="AI223" s="40">
        <f>IFERROR(Tabla1[[#This Row],[COS.B+E]]*Tabla1[[#This Row],[D]]," ")</f>
        <v>0</v>
      </c>
      <c r="AJ223" s="40" t="str">
        <f>IFERROR(Tabla1[[#This Row],[F]]*#REF!," ")</f>
        <v xml:space="preserve"> </v>
      </c>
      <c r="AK223" s="40" t="str">
        <f>IFERROR(#REF!*Tabla1[[#This Row],[D]]," ")</f>
        <v xml:space="preserve"> </v>
      </c>
      <c r="AL223" s="103"/>
      <c r="AM223" s="103"/>
      <c r="AN223" s="103"/>
      <c r="AO223" s="38">
        <f>+Tabla1[[#This Row],[COS.B+E]]+Tabla1[[#This Row],[COS.F1]]+Tabla1[[#This Row],[COS.D1]]+Tabla1[[#This Row],[ALIMENTACION]]+Tabla1[[#This Row],[PRESTAMO]]+AN223</f>
        <v>0</v>
      </c>
      <c r="AP223" s="38" t="e">
        <f>+#REF!+Tabla1[[#This Row],[COS F2]]+Tabla1[[#This Row],[COS D2]]+Tabla1[[#This Row],[ALIMENTACION]]+Tabla1[[#This Row],[PRESTAMO]]+Tabla1[[#This Row],[PASAJES]]</f>
        <v>#REF!</v>
      </c>
    </row>
    <row r="224" spans="1:42" x14ac:dyDescent="0.25">
      <c r="A224" s="2" t="str">
        <f>TEXT(Tabla1[[#This Row],[FECHA ]],"DDDDD")</f>
        <v>lunes</v>
      </c>
      <c r="B224" s="2" t="str">
        <f>_xlfn.IFNA(VLOOKUP(Tabla1[[#This Row],[DESTINO]],RUBRO!$Q$1:$R$9996,2,FALSE)," ")</f>
        <v>PLANTA</v>
      </c>
      <c r="C224" s="104">
        <f>WEEKNUM(Tabla1[[#This Row],[FECHA ]],2)</f>
        <v>20</v>
      </c>
      <c r="D224" s="104" t="str">
        <f>TEXT(Tabla1[[#This Row],[FECHA ]],"MMM-YY")</f>
        <v>may-YY</v>
      </c>
      <c r="E224" s="104" t="str">
        <f>VLOOKUP(Tabla1[[#This Row],[DNI ]],RUBRO!$F$1:$O$9996,7,FALSE)</f>
        <v>5ta</v>
      </c>
      <c r="F224" s="104" t="str">
        <f>VLOOKUP(Tabla1[[#This Row],[DNI ]],RUBRO!$F$1:$O$88,3,FALSE)</f>
        <v>TEC-02</v>
      </c>
      <c r="G224" s="104" t="str">
        <f>VLOOKUP(Tabla1[[#This Row],[DNI ]],RUBRO!$F$1:$O$9996,5,FALSE)</f>
        <v>TECNICO MECANICO MONTAJISTA DE MAQUINARIA</v>
      </c>
      <c r="H224" s="66" t="str">
        <f>VLOOKUP(Tabla1[[#This Row],[DNI ]],RUBRO!$F$1:$O$9996,6,FALSE)</f>
        <v>TINOCO SANTISTEBAN JIMMY JOEL</v>
      </c>
      <c r="I224" s="94">
        <v>44326</v>
      </c>
      <c r="J224" s="10">
        <v>1</v>
      </c>
      <c r="K224" s="2">
        <v>47158079</v>
      </c>
      <c r="L224" s="4">
        <f>VLOOKUP(Tabla1[[#This Row],[DNI ]],RUBRO!$F$2:$O$9996,8,FALSE)</f>
        <v>56.55</v>
      </c>
      <c r="M224" s="88">
        <v>0.29166666666666669</v>
      </c>
      <c r="N224" s="28">
        <v>0.54166666666666663</v>
      </c>
      <c r="O224" s="28">
        <v>0.58333333333333337</v>
      </c>
      <c r="P224" s="28">
        <v>0.70833333333333337</v>
      </c>
      <c r="Q224" s="31">
        <f>(Tabla1[[#This Row],[SALIDA]]-Tabla1[[#This Row],[FIN ]])+(Tabla1[[#This Row],[INICIO]]-Tabla1[[#This Row],[INGRESO]])</f>
        <v>0.37499999999999994</v>
      </c>
      <c r="R224" s="13">
        <f t="shared" si="9"/>
        <v>0.37499999999999994</v>
      </c>
      <c r="S224" s="31">
        <f t="shared" si="10"/>
        <v>0</v>
      </c>
      <c r="T224" s="136"/>
      <c r="U224" s="136"/>
      <c r="V224" s="137">
        <f>(Tabla1[[#This Row],[COS.BASE 3]]*0.25+Tabla1[[#This Row],[COS.BASE 3]])*Tabla1[[#This Row],[HORAS 25 % ]]</f>
        <v>0</v>
      </c>
      <c r="W224" s="138">
        <f>(Tabla1[[#This Row],[COS.BASE 3]]*0.35+Tabla1[[#This Row],[COS.BASE 3]])*Tabla1[[#This Row],[HORAS 35% ]]</f>
        <v>0</v>
      </c>
      <c r="X224" s="138">
        <f>SUM(Tabla1[[#This Row],[C.HORA.35]],Tabla1[[#This Row],[C.HORA.25]])</f>
        <v>0</v>
      </c>
      <c r="Y224" s="4"/>
      <c r="Z224" s="10">
        <f>Tabla1[[#This Row],[T.HORAS]]*24</f>
        <v>8.9999999999999982</v>
      </c>
      <c r="AA224" s="4">
        <f>Tabla1[[#This Row],[H.NORMALES]]*24</f>
        <v>8.9999999999999982</v>
      </c>
      <c r="AB224" s="10">
        <f>Tabla1[[#This Row],[H.EXTRAS]]*24</f>
        <v>0</v>
      </c>
      <c r="AC224" s="105">
        <f t="shared" si="11"/>
        <v>56.54999999999999</v>
      </c>
      <c r="AD224" s="120">
        <f>Tabla1[[#This Row],[COS.BASE 2]]/8</f>
        <v>7.0687499999999988</v>
      </c>
      <c r="AE224" s="105">
        <f>Tabla1[[#This Row],[CST_H_E]]+Tabla1[[#This Row],[COS.BASE 2]]</f>
        <v>56.54999999999999</v>
      </c>
      <c r="AF224" s="106">
        <f>+_xlfn.IFNA(INDEX(RUBRO!$W$2:$AA$732,MATCH(Tabla1[[#This Row],[FECHA ]],RUBRO!$W$2:$W$732,0),5)," ")</f>
        <v>0</v>
      </c>
      <c r="AG224" s="10">
        <f>+_xlfn.IFNA(INDEX(RUBRO!$W$2:$AA$732,MATCH(Tabla1[[#This Row],[FECHA ]],RUBRO!$W$2:$W$732,0),2)," ")</f>
        <v>0</v>
      </c>
      <c r="AH224" s="40">
        <f>IFERROR(Tabla1[[#This Row],[F]]*Tabla1[[#This Row],[COS.B+E]]," ")</f>
        <v>0</v>
      </c>
      <c r="AI224" s="40">
        <f>IFERROR(Tabla1[[#This Row],[COS.B+E]]*Tabla1[[#This Row],[D]]," ")</f>
        <v>0</v>
      </c>
      <c r="AJ224" s="40" t="str">
        <f>IFERROR(Tabla1[[#This Row],[F]]*#REF!," ")</f>
        <v xml:space="preserve"> </v>
      </c>
      <c r="AK224" s="40" t="str">
        <f>IFERROR(#REF!*Tabla1[[#This Row],[D]]," ")</f>
        <v xml:space="preserve"> </v>
      </c>
      <c r="AL224" s="103"/>
      <c r="AM224" s="103"/>
      <c r="AN224" s="103"/>
      <c r="AO224" s="38">
        <f>+Tabla1[[#This Row],[COS.B+E]]+Tabla1[[#This Row],[COS.F1]]+Tabla1[[#This Row],[COS.D1]]+Tabla1[[#This Row],[ALIMENTACION]]+Tabla1[[#This Row],[PRESTAMO]]+AN224</f>
        <v>56.54999999999999</v>
      </c>
      <c r="AP224" s="38" t="e">
        <f>+#REF!+Tabla1[[#This Row],[COS F2]]+Tabla1[[#This Row],[COS D2]]+Tabla1[[#This Row],[ALIMENTACION]]+Tabla1[[#This Row],[PRESTAMO]]+Tabla1[[#This Row],[PASAJES]]</f>
        <v>#REF!</v>
      </c>
    </row>
    <row r="225" spans="1:44" s="89" customFormat="1" x14ac:dyDescent="0.25">
      <c r="A225" s="73" t="str">
        <f>TEXT(Tabla1[[#This Row],[FECHA ]],"DDDDD")</f>
        <v>lunes</v>
      </c>
      <c r="B225" s="73" t="str">
        <f>_xlfn.IFNA(VLOOKUP(Tabla1[[#This Row],[DESTINO]],RUBRO!$Q$1:$R$9996,2,FALSE)," ")</f>
        <v>OBRA</v>
      </c>
      <c r="C225" s="122">
        <f>WEEKNUM(Tabla1[[#This Row],[FECHA ]],2)</f>
        <v>20</v>
      </c>
      <c r="D225" s="122" t="str">
        <f>TEXT(Tabla1[[#This Row],[FECHA ]],"MMM-YY")</f>
        <v>may-YY</v>
      </c>
      <c r="E225" s="122" t="str">
        <f>VLOOKUP(Tabla1[[#This Row],[DNI ]],RUBRO!$F$1:$O$9996,7,FALSE)</f>
        <v>5ta</v>
      </c>
      <c r="F225" s="122" t="str">
        <f>VLOOKUP(Tabla1[[#This Row],[DNI ]],RUBRO!$F$1:$O$88,3,FALSE)</f>
        <v>TECME-03</v>
      </c>
      <c r="G225" s="122" t="str">
        <f>VLOOKUP(Tabla1[[#This Row],[DNI ]],RUBRO!$F$1:$O$9996,5,FALSE)</f>
        <v>TECNICO ELECTRICO MONTAJISTA DE MAQUINARIA EXTRANJERA</v>
      </c>
      <c r="H225" s="125" t="str">
        <f>VLOOKUP(Tabla1[[#This Row],[DNI ]],RUBRO!$F$1:$O$9996,6,FALSE)</f>
        <v>TORRES RAMOS ANGY ANDREINA</v>
      </c>
      <c r="I225" s="126">
        <v>44326</v>
      </c>
      <c r="J225" s="127">
        <v>2</v>
      </c>
      <c r="K225" s="128">
        <v>76449683</v>
      </c>
      <c r="L225" s="91">
        <f>VLOOKUP(Tabla1[[#This Row],[DNI ]],RUBRO!$F$2:$O$9996,8,FALSE)</f>
        <v>73.87</v>
      </c>
      <c r="M225" s="129">
        <v>0.3125</v>
      </c>
      <c r="N225" s="130">
        <v>0.54166666666666663</v>
      </c>
      <c r="O225" s="130">
        <v>0.70833333333333337</v>
      </c>
      <c r="P225" s="130">
        <v>0.9375</v>
      </c>
      <c r="Q225" s="131">
        <f>(Tabla1[[#This Row],[SALIDA]]-Tabla1[[#This Row],[FIN ]])+(Tabla1[[#This Row],[INICIO]]-Tabla1[[#This Row],[INGRESO]])</f>
        <v>0.45833333333333326</v>
      </c>
      <c r="R225" s="132">
        <f t="shared" si="9"/>
        <v>0.33333333333333331</v>
      </c>
      <c r="S225" s="131">
        <f t="shared" si="10"/>
        <v>0.12499999999999994</v>
      </c>
      <c r="T225" s="139">
        <v>2</v>
      </c>
      <c r="U225" s="139">
        <v>1</v>
      </c>
      <c r="V225" s="137">
        <f>(Tabla1[[#This Row],[COS.BASE 3]]*0.25+Tabla1[[#This Row],[COS.BASE 3]])*Tabla1[[#This Row],[HORAS 25 % ]]</f>
        <v>22.984375</v>
      </c>
      <c r="W225" s="138">
        <f>(Tabla1[[#This Row],[COS.BASE 3]]*0.35+Tabla1[[#This Row],[COS.BASE 3]])*Tabla1[[#This Row],[HORAS 35% ]]</f>
        <v>12.411562499999999</v>
      </c>
      <c r="X225" s="138">
        <f>SUM(Tabla1[[#This Row],[C.HORA.35]],Tabla1[[#This Row],[C.HORA.25]])</f>
        <v>35.395937500000002</v>
      </c>
      <c r="Y225" s="91"/>
      <c r="Z225" s="127">
        <f>Tabla1[[#This Row],[T.HORAS]]*24</f>
        <v>10.999999999999998</v>
      </c>
      <c r="AA225" s="91">
        <f>Tabla1[[#This Row],[H.NORMALES]]*24</f>
        <v>8</v>
      </c>
      <c r="AB225" s="127">
        <f>Tabla1[[#This Row],[H.EXTRAS]]*24</f>
        <v>2.9999999999999987</v>
      </c>
      <c r="AC225" s="134">
        <v>73.55</v>
      </c>
      <c r="AD225" s="134">
        <f>Tabla1[[#This Row],[COS.BASE 2]]/8</f>
        <v>9.1937499999999996</v>
      </c>
      <c r="AE225" s="134">
        <f>Tabla1[[#This Row],[CST_H_E]]+Tabla1[[#This Row],[COS.BASE 2]]</f>
        <v>108.9459375</v>
      </c>
      <c r="AF225" s="135">
        <f>+_xlfn.IFNA(INDEX(RUBRO!$W$2:$AA$732,MATCH(Tabla1[[#This Row],[FECHA ]],RUBRO!$W$2:$W$732,0),5)," ")</f>
        <v>0</v>
      </c>
      <c r="AG225" s="127">
        <f>+_xlfn.IFNA(INDEX(RUBRO!$W$2:$AA$732,MATCH(Tabla1[[#This Row],[FECHA ]],RUBRO!$W$2:$W$732,0),2)," ")</f>
        <v>0</v>
      </c>
      <c r="AH225" s="133">
        <f>IFERROR(Tabla1[[#This Row],[F]]*Tabla1[[#This Row],[COS.B+E]]," ")</f>
        <v>0</v>
      </c>
      <c r="AI225" s="133">
        <f>IFERROR(Tabla1[[#This Row],[COS.B+E]]*Tabla1[[#This Row],[D]]," ")</f>
        <v>0</v>
      </c>
      <c r="AJ225" s="133" t="str">
        <f>IFERROR(Tabla1[[#This Row],[F]]*#REF!," ")</f>
        <v xml:space="preserve"> </v>
      </c>
      <c r="AK225" s="133" t="str">
        <f>IFERROR(#REF!*Tabla1[[#This Row],[D]]," ")</f>
        <v xml:space="preserve"> </v>
      </c>
      <c r="AL225" s="90"/>
      <c r="AM225" s="90"/>
      <c r="AN225" s="90"/>
      <c r="AO225" s="91">
        <f>+Tabla1[[#This Row],[COS.B+E]]+Tabla1[[#This Row],[COS.F1]]+Tabla1[[#This Row],[COS.D1]]+Tabla1[[#This Row],[ALIMENTACION]]+Tabla1[[#This Row],[PRESTAMO]]+AN225</f>
        <v>108.9459375</v>
      </c>
      <c r="AP225" s="91" t="e">
        <f>+#REF!+Tabla1[[#This Row],[COS F2]]+Tabla1[[#This Row],[COS D2]]+Tabla1[[#This Row],[ALIMENTACION]]+Tabla1[[#This Row],[PRESTAMO]]+Tabla1[[#This Row],[PASAJES]]</f>
        <v>#REF!</v>
      </c>
      <c r="AQ225" s="90"/>
      <c r="AR225" s="90"/>
    </row>
    <row r="226" spans="1:44" x14ac:dyDescent="0.25">
      <c r="A226" s="2" t="str">
        <f>TEXT(Tabla1[[#This Row],[FECHA ]],"DDDDD")</f>
        <v>lunes</v>
      </c>
      <c r="B226" s="2" t="str">
        <f>_xlfn.IFNA(VLOOKUP(Tabla1[[#This Row],[DESTINO]],RUBRO!$Q$1:$R$9996,2,FALSE)," ")</f>
        <v>OBRA</v>
      </c>
      <c r="C226" s="104">
        <f>WEEKNUM(Tabla1[[#This Row],[FECHA ]],2)</f>
        <v>20</v>
      </c>
      <c r="D226" s="104" t="str">
        <f>TEXT(Tabla1[[#This Row],[FECHA ]],"MMM-YY")</f>
        <v>may-YY</v>
      </c>
      <c r="E226" s="104" t="str">
        <f>VLOOKUP(Tabla1[[#This Row],[DNI ]],RUBRO!$F$1:$O$9996,7,FALSE)</f>
        <v>5ta</v>
      </c>
      <c r="F226" s="104" t="str">
        <f>VLOOKUP(Tabla1[[#This Row],[DNI ]],RUBRO!$F$1:$O$88,3,FALSE)</f>
        <v>MEC-04</v>
      </c>
      <c r="G226" s="104" t="str">
        <f>VLOOKUP(Tabla1[[#This Row],[DNI ]],RUBRO!$F$1:$O$9996,5,FALSE)</f>
        <v>MECANICO MONTAJISTA DE MAQUINARIA EXTRANJERA</v>
      </c>
      <c r="H226" s="66" t="str">
        <f>VLOOKUP(Tabla1[[#This Row],[DNI ]],RUBRO!$F$1:$O$9996,6,FALSE)</f>
        <v>VARGAS TARRILLO GLOBER</v>
      </c>
      <c r="I226" s="94">
        <v>44326</v>
      </c>
      <c r="J226" s="10">
        <v>2</v>
      </c>
      <c r="K226" s="2">
        <v>43878459</v>
      </c>
      <c r="L226" s="4">
        <f>VLOOKUP(Tabla1[[#This Row],[DNI ]],RUBRO!$F$2:$O$9996,8,FALSE)</f>
        <v>79.78</v>
      </c>
      <c r="M226" s="88">
        <v>0.29166666666666669</v>
      </c>
      <c r="N226" s="28">
        <v>0.54166666666666663</v>
      </c>
      <c r="O226" s="28">
        <v>0.58333333333333337</v>
      </c>
      <c r="P226" s="28">
        <v>0.75</v>
      </c>
      <c r="Q226" s="31">
        <f>(Tabla1[[#This Row],[SALIDA]]-Tabla1[[#This Row],[FIN ]])+(Tabla1[[#This Row],[INICIO]]-Tabla1[[#This Row],[INGRESO]])</f>
        <v>0.41666666666666657</v>
      </c>
      <c r="R226" s="13">
        <f t="shared" si="9"/>
        <v>0.33333333333333331</v>
      </c>
      <c r="S226" s="31">
        <f t="shared" si="10"/>
        <v>8.3333333333333259E-2</v>
      </c>
      <c r="T226" s="136">
        <v>2</v>
      </c>
      <c r="U226" s="136">
        <v>0</v>
      </c>
      <c r="V226" s="137">
        <f>(Tabla1[[#This Row],[COS.BASE 3]]*0.25+Tabla1[[#This Row],[COS.BASE 3]])*Tabla1[[#This Row],[HORAS 25 % ]]</f>
        <v>24.931249999999999</v>
      </c>
      <c r="W226" s="138">
        <f>(Tabla1[[#This Row],[COS.BASE 3]]*0.35+Tabla1[[#This Row],[COS.BASE 3]])*Tabla1[[#This Row],[HORAS 35% ]]</f>
        <v>0</v>
      </c>
      <c r="X226" s="138">
        <f>SUM(Tabla1[[#This Row],[C.HORA.35]],Tabla1[[#This Row],[C.HORA.25]])</f>
        <v>24.931249999999999</v>
      </c>
      <c r="Y226" s="4"/>
      <c r="Z226" s="10">
        <f>Tabla1[[#This Row],[T.HORAS]]*24</f>
        <v>9.9999999999999982</v>
      </c>
      <c r="AA226" s="4">
        <f>Tabla1[[#This Row],[H.NORMALES]]*24</f>
        <v>8</v>
      </c>
      <c r="AB226" s="10">
        <f>Tabla1[[#This Row],[H.EXTRAS]]*24</f>
        <v>1.9999999999999982</v>
      </c>
      <c r="AC226" s="105">
        <f t="shared" si="11"/>
        <v>79.78</v>
      </c>
      <c r="AD226" s="120">
        <f>Tabla1[[#This Row],[COS.BASE 2]]/8</f>
        <v>9.9725000000000001</v>
      </c>
      <c r="AE226" s="105">
        <f>Tabla1[[#This Row],[CST_H_E]]+Tabla1[[#This Row],[COS.BASE 2]]</f>
        <v>104.71125000000001</v>
      </c>
      <c r="AF226" s="106">
        <f>+_xlfn.IFNA(INDEX(RUBRO!$W$2:$AA$732,MATCH(Tabla1[[#This Row],[FECHA ]],RUBRO!$W$2:$W$732,0),5)," ")</f>
        <v>0</v>
      </c>
      <c r="AG226" s="10">
        <f>+_xlfn.IFNA(INDEX(RUBRO!$W$2:$AA$732,MATCH(Tabla1[[#This Row],[FECHA ]],RUBRO!$W$2:$W$732,0),2)," ")</f>
        <v>0</v>
      </c>
      <c r="AH226" s="40">
        <f>IFERROR(Tabla1[[#This Row],[F]]*Tabla1[[#This Row],[COS.B+E]]," ")</f>
        <v>0</v>
      </c>
      <c r="AI226" s="40">
        <f>IFERROR(Tabla1[[#This Row],[COS.B+E]]*Tabla1[[#This Row],[D]]," ")</f>
        <v>0</v>
      </c>
      <c r="AJ226" s="40" t="str">
        <f>IFERROR(Tabla1[[#This Row],[F]]*#REF!," ")</f>
        <v xml:space="preserve"> </v>
      </c>
      <c r="AK226" s="40" t="str">
        <f>IFERROR(#REF!*Tabla1[[#This Row],[D]]," ")</f>
        <v xml:space="preserve"> </v>
      </c>
      <c r="AL226" s="103"/>
      <c r="AM226" s="103"/>
      <c r="AN226" s="103"/>
      <c r="AO226" s="38">
        <f>+Tabla1[[#This Row],[COS.B+E]]+Tabla1[[#This Row],[COS.F1]]+Tabla1[[#This Row],[COS.D1]]+Tabla1[[#This Row],[ALIMENTACION]]+Tabla1[[#This Row],[PRESTAMO]]+AN226</f>
        <v>104.71125000000001</v>
      </c>
      <c r="AP226" s="38" t="e">
        <f>+#REF!+Tabla1[[#This Row],[COS F2]]+Tabla1[[#This Row],[COS D2]]+Tabla1[[#This Row],[ALIMENTACION]]+Tabla1[[#This Row],[PRESTAMO]]+Tabla1[[#This Row],[PASAJES]]</f>
        <v>#REF!</v>
      </c>
    </row>
    <row r="227" spans="1:44" x14ac:dyDescent="0.25">
      <c r="A227" s="2" t="str">
        <f>TEXT(Tabla1[[#This Row],[FECHA ]],"DDDDD")</f>
        <v>lunes</v>
      </c>
      <c r="B227" s="2" t="str">
        <f>_xlfn.IFNA(VLOOKUP(Tabla1[[#This Row],[DESTINO]],RUBRO!$Q$1:$R$9996,2,FALSE)," ")</f>
        <v>OBRA</v>
      </c>
      <c r="C227" s="104">
        <f>WEEKNUM(Tabla1[[#This Row],[FECHA ]],2)</f>
        <v>20</v>
      </c>
      <c r="D227" s="104" t="str">
        <f>TEXT(Tabla1[[#This Row],[FECHA ]],"MMM-YY")</f>
        <v>may-YY</v>
      </c>
      <c r="E227" s="104" t="str">
        <f>VLOOKUP(Tabla1[[#This Row],[DNI ]],RUBRO!$F$1:$O$9996,7,FALSE)</f>
        <v>5ta</v>
      </c>
      <c r="F227" s="104" t="str">
        <f>VLOOKUP(Tabla1[[#This Row],[DNI ]],RUBRO!$F$1:$O$88,3,FALSE)</f>
        <v>MEC-04</v>
      </c>
      <c r="G227" s="104" t="str">
        <f>VLOOKUP(Tabla1[[#This Row],[DNI ]],RUBRO!$F$1:$O$9996,5,FALSE)</f>
        <v>MECANICO MONTAJISTA DE MAQUINARIA EXTRANJERA</v>
      </c>
      <c r="H227" s="66" t="str">
        <f>VLOOKUP(Tabla1[[#This Row],[DNI ]],RUBRO!$F$1:$O$9996,6,FALSE)</f>
        <v>VARGAS TARRILLO OMAR ALEXANDER</v>
      </c>
      <c r="I227" s="94">
        <v>44326</v>
      </c>
      <c r="J227" s="10">
        <v>2</v>
      </c>
      <c r="K227" s="2">
        <v>46578402</v>
      </c>
      <c r="L227" s="4">
        <f>VLOOKUP(Tabla1[[#This Row],[DNI ]],RUBRO!$F$2:$O$9996,8,FALSE)</f>
        <v>103.42</v>
      </c>
      <c r="M227" s="88">
        <v>0.75</v>
      </c>
      <c r="N227" s="28"/>
      <c r="P227" s="28">
        <v>0.95833333333333337</v>
      </c>
      <c r="Q227" s="31">
        <f>(Tabla1[[#This Row],[SALIDA]]-Tabla1[[#This Row],[FIN ]])+(Tabla1[[#This Row],[INICIO]]-Tabla1[[#This Row],[INGRESO]])</f>
        <v>0.20833333333333337</v>
      </c>
      <c r="R227" s="13">
        <f t="shared" si="9"/>
        <v>0.20833333333333337</v>
      </c>
      <c r="S227" s="31">
        <f t="shared" si="10"/>
        <v>0</v>
      </c>
      <c r="T227" s="136">
        <v>0</v>
      </c>
      <c r="U227" s="136">
        <v>0</v>
      </c>
      <c r="V227" s="137">
        <f>(Tabla1[[#This Row],[COS.BASE 3]]*0.25+Tabla1[[#This Row],[COS.BASE 3]])*Tabla1[[#This Row],[HORAS 25 % ]]</f>
        <v>0</v>
      </c>
      <c r="W227" s="138">
        <f>(Tabla1[[#This Row],[COS.BASE 3]]*0.35+Tabla1[[#This Row],[COS.BASE 3]])*Tabla1[[#This Row],[HORAS 35% ]]</f>
        <v>0</v>
      </c>
      <c r="X227" s="138">
        <f>SUM(Tabla1[[#This Row],[C.HORA.35]],Tabla1[[#This Row],[C.HORA.25]])</f>
        <v>0</v>
      </c>
      <c r="Y227" s="4"/>
      <c r="Z227" s="10">
        <f>Tabla1[[#This Row],[T.HORAS]]*24</f>
        <v>5.0000000000000009</v>
      </c>
      <c r="AA227" s="4">
        <f>Tabla1[[#This Row],[H.NORMALES]]*24</f>
        <v>5.0000000000000009</v>
      </c>
      <c r="AB227" s="10">
        <f>Tabla1[[#This Row],[H.EXTRAS]]*24</f>
        <v>0</v>
      </c>
      <c r="AC227" s="105">
        <f t="shared" si="11"/>
        <v>64.637500000000017</v>
      </c>
      <c r="AD227" s="120">
        <f>Tabla1[[#This Row],[COS.BASE 2]]/8</f>
        <v>8.0796875000000021</v>
      </c>
      <c r="AE227" s="105">
        <f>Tabla1[[#This Row],[CST_H_E]]+Tabla1[[#This Row],[COS.BASE 2]]</f>
        <v>64.637500000000017</v>
      </c>
      <c r="AF227" s="106">
        <f>+_xlfn.IFNA(INDEX(RUBRO!$W$2:$AA$732,MATCH(Tabla1[[#This Row],[FECHA ]],RUBRO!$W$2:$W$732,0),5)," ")</f>
        <v>0</v>
      </c>
      <c r="AG227" s="10">
        <f>+_xlfn.IFNA(INDEX(RUBRO!$W$2:$AA$732,MATCH(Tabla1[[#This Row],[FECHA ]],RUBRO!$W$2:$W$732,0),2)," ")</f>
        <v>0</v>
      </c>
      <c r="AH227" s="40">
        <f>IFERROR(Tabla1[[#This Row],[F]]*Tabla1[[#This Row],[COS.B+E]]," ")</f>
        <v>0</v>
      </c>
      <c r="AI227" s="40">
        <f>IFERROR(Tabla1[[#This Row],[COS.B+E]]*Tabla1[[#This Row],[D]]," ")</f>
        <v>0</v>
      </c>
      <c r="AJ227" s="40" t="str">
        <f>IFERROR(Tabla1[[#This Row],[F]]*#REF!," ")</f>
        <v xml:space="preserve"> </v>
      </c>
      <c r="AK227" s="40" t="str">
        <f>IFERROR(#REF!*Tabla1[[#This Row],[D]]," ")</f>
        <v xml:space="preserve"> </v>
      </c>
      <c r="AL227" s="103"/>
      <c r="AM227" s="103"/>
      <c r="AN227" s="103"/>
      <c r="AO227" s="38">
        <f>+Tabla1[[#This Row],[COS.B+E]]+Tabla1[[#This Row],[COS.F1]]+Tabla1[[#This Row],[COS.D1]]+Tabla1[[#This Row],[ALIMENTACION]]+Tabla1[[#This Row],[PRESTAMO]]+AN227</f>
        <v>64.637500000000017</v>
      </c>
      <c r="AP227" s="38" t="e">
        <f>+#REF!+Tabla1[[#This Row],[COS F2]]+Tabla1[[#This Row],[COS D2]]+Tabla1[[#This Row],[ALIMENTACION]]+Tabla1[[#This Row],[PRESTAMO]]+Tabla1[[#This Row],[PASAJES]]</f>
        <v>#REF!</v>
      </c>
    </row>
    <row r="228" spans="1:44" x14ac:dyDescent="0.25">
      <c r="A228" s="2" t="str">
        <f>TEXT(Tabla1[[#This Row],[FECHA ]],"DDDDD")</f>
        <v>lunes</v>
      </c>
      <c r="B228" s="2" t="str">
        <f>_xlfn.IFNA(VLOOKUP(Tabla1[[#This Row],[DESTINO]],RUBRO!$Q$1:$R$9996,2,FALSE)," ")</f>
        <v>OBRA</v>
      </c>
      <c r="C228" s="104">
        <f>WEEKNUM(Tabla1[[#This Row],[FECHA ]],2)</f>
        <v>20</v>
      </c>
      <c r="D228" s="104" t="str">
        <f>TEXT(Tabla1[[#This Row],[FECHA ]],"MMM-YY")</f>
        <v>may-YY</v>
      </c>
      <c r="E228" s="104" t="str">
        <f>VLOOKUP(Tabla1[[#This Row],[DNI ]],RUBRO!$F$1:$O$9996,7,FALSE)</f>
        <v>5ta</v>
      </c>
      <c r="F228" s="104" t="e">
        <f>VLOOKUP(Tabla1[[#This Row],[DNI ]],RUBRO!$F$1:$O$88,3,FALSE)</f>
        <v>#N/A</v>
      </c>
      <c r="G228" s="104" t="str">
        <f>VLOOKUP(Tabla1[[#This Row],[DNI ]],RUBRO!$F$1:$O$9996,5,FALSE)</f>
        <v xml:space="preserve">PRACTICANTE </v>
      </c>
      <c r="H228" s="66" t="str">
        <f>VLOOKUP(Tabla1[[#This Row],[DNI ]],RUBRO!$F$1:$O$9996,6,FALSE)</f>
        <v>VASQUEZ CHUPILLON KEVIN</v>
      </c>
      <c r="I228" s="94">
        <v>44326</v>
      </c>
      <c r="J228" s="10">
        <v>2</v>
      </c>
      <c r="K228" s="2">
        <v>72814417</v>
      </c>
      <c r="L228" s="4">
        <f>VLOOKUP(Tabla1[[#This Row],[DNI ]],RUBRO!$F$2:$O$9996,8,FALSE)</f>
        <v>35.76</v>
      </c>
      <c r="M228" s="88">
        <v>0.29166666666666669</v>
      </c>
      <c r="N228" s="28">
        <v>0.54166666666666663</v>
      </c>
      <c r="O228" s="28">
        <v>0.58333333333333337</v>
      </c>
      <c r="P228" s="28">
        <v>0.83333333333333337</v>
      </c>
      <c r="Q228" s="31">
        <f>(Tabla1[[#This Row],[SALIDA]]-Tabla1[[#This Row],[FIN ]])+(Tabla1[[#This Row],[INICIO]]-Tabla1[[#This Row],[INGRESO]])</f>
        <v>0.49999999999999994</v>
      </c>
      <c r="R228" s="13">
        <f t="shared" si="9"/>
        <v>0.33333333333333331</v>
      </c>
      <c r="S228" s="31">
        <f t="shared" si="10"/>
        <v>0.16666666666666663</v>
      </c>
      <c r="T228" s="136">
        <v>2</v>
      </c>
      <c r="U228" s="136">
        <v>2</v>
      </c>
      <c r="V228" s="137">
        <f>(Tabla1[[#This Row],[COS.BASE 3]]*0.25+Tabla1[[#This Row],[COS.BASE 3]])*Tabla1[[#This Row],[HORAS 25 % ]]</f>
        <v>11.174999999999999</v>
      </c>
      <c r="W228" s="138">
        <f>(Tabla1[[#This Row],[COS.BASE 3]]*0.35+Tabla1[[#This Row],[COS.BASE 3]])*Tabla1[[#This Row],[HORAS 35% ]]</f>
        <v>12.068999999999999</v>
      </c>
      <c r="X228" s="138">
        <f>SUM(Tabla1[[#This Row],[C.HORA.35]],Tabla1[[#This Row],[C.HORA.25]])</f>
        <v>23.244</v>
      </c>
      <c r="Y228" s="4"/>
      <c r="Z228" s="10">
        <f>Tabla1[[#This Row],[T.HORAS]]*24</f>
        <v>11.999999999999998</v>
      </c>
      <c r="AA228" s="4">
        <f>Tabla1[[#This Row],[H.NORMALES]]*24</f>
        <v>8</v>
      </c>
      <c r="AB228" s="10">
        <f>Tabla1[[#This Row],[H.EXTRAS]]*24</f>
        <v>3.9999999999999991</v>
      </c>
      <c r="AC228" s="105">
        <f t="shared" si="11"/>
        <v>35.76</v>
      </c>
      <c r="AD228" s="120">
        <f>Tabla1[[#This Row],[COS.BASE 2]]/8</f>
        <v>4.47</v>
      </c>
      <c r="AE228" s="105">
        <f>Tabla1[[#This Row],[CST_H_E]]+Tabla1[[#This Row],[COS.BASE 2]]</f>
        <v>59.003999999999998</v>
      </c>
      <c r="AF228" s="106">
        <f>+_xlfn.IFNA(INDEX(RUBRO!$W$2:$AA$732,MATCH(Tabla1[[#This Row],[FECHA ]],RUBRO!$W$2:$W$732,0),5)," ")</f>
        <v>0</v>
      </c>
      <c r="AG228" s="10">
        <f>+_xlfn.IFNA(INDEX(RUBRO!$W$2:$AA$732,MATCH(Tabla1[[#This Row],[FECHA ]],RUBRO!$W$2:$W$732,0),2)," ")</f>
        <v>0</v>
      </c>
      <c r="AH228" s="40">
        <f>IFERROR(Tabla1[[#This Row],[F]]*Tabla1[[#This Row],[COS.B+E]]," ")</f>
        <v>0</v>
      </c>
      <c r="AI228" s="40">
        <f>IFERROR(Tabla1[[#This Row],[COS.B+E]]*Tabla1[[#This Row],[D]]," ")</f>
        <v>0</v>
      </c>
      <c r="AJ228" s="40" t="str">
        <f>IFERROR(Tabla1[[#This Row],[F]]*#REF!," ")</f>
        <v xml:space="preserve"> </v>
      </c>
      <c r="AK228" s="40" t="str">
        <f>IFERROR(#REF!*Tabla1[[#This Row],[D]]," ")</f>
        <v xml:space="preserve"> </v>
      </c>
      <c r="AL228" s="103"/>
      <c r="AM228" s="103"/>
      <c r="AN228" s="103"/>
      <c r="AO228" s="38">
        <f>+Tabla1[[#This Row],[COS.B+E]]+Tabla1[[#This Row],[COS.F1]]+Tabla1[[#This Row],[COS.D1]]+Tabla1[[#This Row],[ALIMENTACION]]+Tabla1[[#This Row],[PRESTAMO]]+AN228</f>
        <v>59.003999999999998</v>
      </c>
      <c r="AP228" s="38" t="e">
        <f>+#REF!+Tabla1[[#This Row],[COS F2]]+Tabla1[[#This Row],[COS D2]]+Tabla1[[#This Row],[ALIMENTACION]]+Tabla1[[#This Row],[PRESTAMO]]+Tabla1[[#This Row],[PASAJES]]</f>
        <v>#REF!</v>
      </c>
    </row>
    <row r="229" spans="1:44" x14ac:dyDescent="0.25">
      <c r="A229" s="2" t="str">
        <f>TEXT(Tabla1[[#This Row],[FECHA ]],"DDDDD")</f>
        <v>lunes</v>
      </c>
      <c r="B229" s="2" t="str">
        <f>_xlfn.IFNA(VLOOKUP(Tabla1[[#This Row],[DESTINO]],RUBRO!$Q$1:$R$9996,2,FALSE)," ")</f>
        <v>OBRA</v>
      </c>
      <c r="C229" s="104">
        <f>WEEKNUM(Tabla1[[#This Row],[FECHA ]],2)</f>
        <v>20</v>
      </c>
      <c r="D229" s="104" t="str">
        <f>TEXT(Tabla1[[#This Row],[FECHA ]],"MMM-YY")</f>
        <v>may-YY</v>
      </c>
      <c r="E229" s="104" t="str">
        <f>VLOOKUP(Tabla1[[#This Row],[DNI ]],RUBRO!$F$1:$O$9996,7,FALSE)</f>
        <v>5ta</v>
      </c>
      <c r="F229" s="104" t="str">
        <f>VLOOKUP(Tabla1[[#This Row],[DNI ]],RUBRO!$F$1:$O$88,3,FALSE)</f>
        <v>MEC-04</v>
      </c>
      <c r="G229" s="104" t="str">
        <f>VLOOKUP(Tabla1[[#This Row],[DNI ]],RUBRO!$F$1:$O$9996,5,FALSE)</f>
        <v>MECANICO MONTAJISTA DE MAQUINARIA EXTRANJERA</v>
      </c>
      <c r="H229" s="66" t="str">
        <f>VLOOKUP(Tabla1[[#This Row],[DNI ]],RUBRO!$F$1:$O$9996,6,FALSE)</f>
        <v>VASQUEZ GAMBOA JUAN JOSE</v>
      </c>
      <c r="I229" s="94">
        <v>44326</v>
      </c>
      <c r="J229" s="10">
        <v>2</v>
      </c>
      <c r="K229" s="2">
        <v>45416906</v>
      </c>
      <c r="L229" s="4">
        <f>VLOOKUP(Tabla1[[#This Row],[DNI ]],RUBRO!$F$2:$O$9996,8,FALSE)</f>
        <v>87</v>
      </c>
      <c r="M229" s="88">
        <v>0.29166666666666669</v>
      </c>
      <c r="N229" s="28">
        <v>0.54166666666666663</v>
      </c>
      <c r="O229" s="28">
        <v>0.58333333333333337</v>
      </c>
      <c r="P229" s="28">
        <v>0.75</v>
      </c>
      <c r="Q229" s="31">
        <f>(Tabla1[[#This Row],[SALIDA]]-Tabla1[[#This Row],[FIN ]])+(Tabla1[[#This Row],[INICIO]]-Tabla1[[#This Row],[INGRESO]])</f>
        <v>0.41666666666666657</v>
      </c>
      <c r="R229" s="13">
        <f t="shared" si="9"/>
        <v>0.33333333333333331</v>
      </c>
      <c r="S229" s="31">
        <f t="shared" si="10"/>
        <v>8.3333333333333259E-2</v>
      </c>
      <c r="T229" s="136"/>
      <c r="U229" s="136"/>
      <c r="V229" s="137">
        <f>(Tabla1[[#This Row],[COS.BASE 3]]*0.25+Tabla1[[#This Row],[COS.BASE 3]])*Tabla1[[#This Row],[HORAS 25 % ]]</f>
        <v>0</v>
      </c>
      <c r="W229" s="138">
        <f>(Tabla1[[#This Row],[COS.BASE 3]]*0.35+Tabla1[[#This Row],[COS.BASE 3]])*Tabla1[[#This Row],[HORAS 35% ]]</f>
        <v>0</v>
      </c>
      <c r="X229" s="138">
        <f>SUM(Tabla1[[#This Row],[C.HORA.35]],Tabla1[[#This Row],[C.HORA.25]])</f>
        <v>0</v>
      </c>
      <c r="Y229" s="4"/>
      <c r="Z229" s="10">
        <f>Tabla1[[#This Row],[T.HORAS]]*24</f>
        <v>9.9999999999999982</v>
      </c>
      <c r="AA229" s="4">
        <f>Tabla1[[#This Row],[H.NORMALES]]*24</f>
        <v>8</v>
      </c>
      <c r="AB229" s="10">
        <f>Tabla1[[#This Row],[H.EXTRAS]]*24</f>
        <v>1.9999999999999982</v>
      </c>
      <c r="AC229" s="105">
        <f t="shared" si="11"/>
        <v>87</v>
      </c>
      <c r="AD229" s="120">
        <f>Tabla1[[#This Row],[COS.BASE 2]]/8</f>
        <v>10.875</v>
      </c>
      <c r="AE229" s="105">
        <f>Tabla1[[#This Row],[CST_H_E]]+Tabla1[[#This Row],[COS.BASE 2]]</f>
        <v>87</v>
      </c>
      <c r="AF229" s="106">
        <f>+_xlfn.IFNA(INDEX(RUBRO!$W$2:$AA$732,MATCH(Tabla1[[#This Row],[FECHA ]],RUBRO!$W$2:$W$732,0),5)," ")</f>
        <v>0</v>
      </c>
      <c r="AG229" s="10">
        <f>+_xlfn.IFNA(INDEX(RUBRO!$W$2:$AA$732,MATCH(Tabla1[[#This Row],[FECHA ]],RUBRO!$W$2:$W$732,0),2)," ")</f>
        <v>0</v>
      </c>
      <c r="AH229" s="40">
        <f>IFERROR(Tabla1[[#This Row],[F]]*Tabla1[[#This Row],[COS.B+E]]," ")</f>
        <v>0</v>
      </c>
      <c r="AI229" s="40">
        <f>IFERROR(Tabla1[[#This Row],[COS.B+E]]*Tabla1[[#This Row],[D]]," ")</f>
        <v>0</v>
      </c>
      <c r="AJ229" s="40" t="str">
        <f>IFERROR(Tabla1[[#This Row],[F]]*#REF!," ")</f>
        <v xml:space="preserve"> </v>
      </c>
      <c r="AK229" s="40" t="str">
        <f>IFERROR(#REF!*Tabla1[[#This Row],[D]]," ")</f>
        <v xml:space="preserve"> </v>
      </c>
      <c r="AL229" s="103"/>
      <c r="AM229" s="103"/>
      <c r="AN229" s="103"/>
      <c r="AO229" s="38">
        <f>+Tabla1[[#This Row],[COS.B+E]]+Tabla1[[#This Row],[COS.F1]]+Tabla1[[#This Row],[COS.D1]]+Tabla1[[#This Row],[ALIMENTACION]]+Tabla1[[#This Row],[PRESTAMO]]+AN229</f>
        <v>87</v>
      </c>
      <c r="AP229" s="38" t="e">
        <f>+#REF!+Tabla1[[#This Row],[COS F2]]+Tabla1[[#This Row],[COS D2]]+Tabla1[[#This Row],[ALIMENTACION]]+Tabla1[[#This Row],[PRESTAMO]]+Tabla1[[#This Row],[PASAJES]]</f>
        <v>#REF!</v>
      </c>
    </row>
    <row r="230" spans="1:44" x14ac:dyDescent="0.25">
      <c r="A230" s="2" t="str">
        <f>TEXT(Tabla1[[#This Row],[FECHA ]],"DDDDD")</f>
        <v>lunes</v>
      </c>
      <c r="B230" s="2" t="str">
        <f>_xlfn.IFNA(VLOOKUP(Tabla1[[#This Row],[DESTINO]],RUBRO!$Q$1:$R$9996,2,FALSE)," ")</f>
        <v>OBRA</v>
      </c>
      <c r="C230" s="104">
        <f>WEEKNUM(Tabla1[[#This Row],[FECHA ]],2)</f>
        <v>20</v>
      </c>
      <c r="D230" s="104" t="str">
        <f>TEXT(Tabla1[[#This Row],[FECHA ]],"MMM-YY")</f>
        <v>may-YY</v>
      </c>
      <c r="E230" s="104" t="str">
        <f>VLOOKUP(Tabla1[[#This Row],[DNI ]],RUBRO!$F$1:$O$9996,7,FALSE)</f>
        <v>5ta</v>
      </c>
      <c r="F230" s="104" t="str">
        <f>VLOOKUP(Tabla1[[#This Row],[DNI ]],RUBRO!$F$1:$O$88,3,FALSE)</f>
        <v>TEC-04</v>
      </c>
      <c r="G230" s="104" t="str">
        <f>VLOOKUP(Tabla1[[#This Row],[DNI ]],RUBRO!$F$1:$O$9996,5,FALSE)</f>
        <v>TECNICO MECANICO MONTAJISTA DE MAQUINARIA EXTRANJERA</v>
      </c>
      <c r="H230" s="66" t="str">
        <f>VLOOKUP(Tabla1[[#This Row],[DNI ]],RUBRO!$F$1:$O$9996,6,FALSE)</f>
        <v>VASQUEZ TARRILLO LUIS</v>
      </c>
      <c r="I230" s="94">
        <v>44326</v>
      </c>
      <c r="J230" s="10">
        <v>2</v>
      </c>
      <c r="K230" s="2">
        <v>44044783</v>
      </c>
      <c r="L230" s="4">
        <f>VLOOKUP(Tabla1[[#This Row],[DNI ]],RUBRO!$F$2:$O$9996,8,FALSE)</f>
        <v>70.92</v>
      </c>
      <c r="M230" s="88">
        <v>0.25</v>
      </c>
      <c r="N230" s="28">
        <v>0.54166666666666663</v>
      </c>
      <c r="O230" s="28">
        <v>0.58333333333333337</v>
      </c>
      <c r="P230" s="28">
        <v>0.8125</v>
      </c>
      <c r="Q230" s="31">
        <f>(Tabla1[[#This Row],[SALIDA]]-Tabla1[[#This Row],[FIN ]])+(Tabla1[[#This Row],[INICIO]]-Tabla1[[#This Row],[INGRESO]])</f>
        <v>0.52083333333333326</v>
      </c>
      <c r="R230" s="13">
        <f t="shared" si="9"/>
        <v>0.33333333333333331</v>
      </c>
      <c r="S230" s="31">
        <f t="shared" si="10"/>
        <v>0.18749999999999994</v>
      </c>
      <c r="T230" s="136"/>
      <c r="U230" s="136"/>
      <c r="V230" s="137">
        <f>(Tabla1[[#This Row],[COS.BASE 3]]*0.25+Tabla1[[#This Row],[COS.BASE 3]])*Tabla1[[#This Row],[HORAS 25 % ]]</f>
        <v>0</v>
      </c>
      <c r="W230" s="138">
        <f>(Tabla1[[#This Row],[COS.BASE 3]]*0.35+Tabla1[[#This Row],[COS.BASE 3]])*Tabla1[[#This Row],[HORAS 35% ]]</f>
        <v>0</v>
      </c>
      <c r="X230" s="138">
        <f>SUM(Tabla1[[#This Row],[C.HORA.35]],Tabla1[[#This Row],[C.HORA.25]])</f>
        <v>0</v>
      </c>
      <c r="Y230" s="4"/>
      <c r="Z230" s="10">
        <f>Tabla1[[#This Row],[T.HORAS]]*24</f>
        <v>12.499999999999998</v>
      </c>
      <c r="AA230" s="4">
        <f>Tabla1[[#This Row],[H.NORMALES]]*24</f>
        <v>8</v>
      </c>
      <c r="AB230" s="10">
        <f>Tabla1[[#This Row],[H.EXTRAS]]*24</f>
        <v>4.4999999999999982</v>
      </c>
      <c r="AC230" s="105">
        <f t="shared" ref="AC230:AC261" si="12">IF(J230=1,(((R230*24)*(L230/9))),0)+IF(J230=2,(((R230*24)*(L230/8))),0)+IF(J230=8,(((R230*24)*(L230/8))),0)</f>
        <v>70.92</v>
      </c>
      <c r="AD230" s="120">
        <f>Tabla1[[#This Row],[COS.BASE 2]]/8</f>
        <v>8.8650000000000002</v>
      </c>
      <c r="AE230" s="105">
        <f>Tabla1[[#This Row],[CST_H_E]]+Tabla1[[#This Row],[COS.BASE 2]]</f>
        <v>70.92</v>
      </c>
      <c r="AF230" s="106">
        <f>+_xlfn.IFNA(INDEX(RUBRO!$W$2:$AA$732,MATCH(Tabla1[[#This Row],[FECHA ]],RUBRO!$W$2:$W$732,0),5)," ")</f>
        <v>0</v>
      </c>
      <c r="AG230" s="10">
        <f>+_xlfn.IFNA(INDEX(RUBRO!$W$2:$AA$732,MATCH(Tabla1[[#This Row],[FECHA ]],RUBRO!$W$2:$W$732,0),2)," ")</f>
        <v>0</v>
      </c>
      <c r="AH230" s="40">
        <f>IFERROR(Tabla1[[#This Row],[F]]*Tabla1[[#This Row],[COS.B+E]]," ")</f>
        <v>0</v>
      </c>
      <c r="AI230" s="40">
        <f>IFERROR(Tabla1[[#This Row],[COS.B+E]]*Tabla1[[#This Row],[D]]," ")</f>
        <v>0</v>
      </c>
      <c r="AJ230" s="40" t="str">
        <f>IFERROR(Tabla1[[#This Row],[F]]*#REF!," ")</f>
        <v xml:space="preserve"> </v>
      </c>
      <c r="AK230" s="40" t="str">
        <f>IFERROR(#REF!*Tabla1[[#This Row],[D]]," ")</f>
        <v xml:space="preserve"> </v>
      </c>
      <c r="AL230" s="103"/>
      <c r="AM230" s="103"/>
      <c r="AN230" s="103"/>
      <c r="AO230" s="38">
        <f>+Tabla1[[#This Row],[COS.B+E]]+Tabla1[[#This Row],[COS.F1]]+Tabla1[[#This Row],[COS.D1]]+Tabla1[[#This Row],[ALIMENTACION]]+Tabla1[[#This Row],[PRESTAMO]]+AN230</f>
        <v>70.92</v>
      </c>
      <c r="AP230" s="38" t="e">
        <f>+#REF!+Tabla1[[#This Row],[COS F2]]+Tabla1[[#This Row],[COS D2]]+Tabla1[[#This Row],[ALIMENTACION]]+Tabla1[[#This Row],[PRESTAMO]]+Tabla1[[#This Row],[PASAJES]]</f>
        <v>#REF!</v>
      </c>
    </row>
    <row r="231" spans="1:44" x14ac:dyDescent="0.25">
      <c r="A231" s="2" t="str">
        <f>TEXT(Tabla1[[#This Row],[FECHA ]],"DDDDD")</f>
        <v>lunes</v>
      </c>
      <c r="B231" s="2" t="str">
        <f>_xlfn.IFNA(VLOOKUP(Tabla1[[#This Row],[DESTINO]],RUBRO!$Q$1:$R$9996,2,FALSE)," ")</f>
        <v>OBRA</v>
      </c>
      <c r="C231" s="104">
        <f>WEEKNUM(Tabla1[[#This Row],[FECHA ]],2)</f>
        <v>20</v>
      </c>
      <c r="D231" s="104" t="str">
        <f>TEXT(Tabla1[[#This Row],[FECHA ]],"MMM-YY")</f>
        <v>may-YY</v>
      </c>
      <c r="E231" s="104" t="str">
        <f>VLOOKUP(Tabla1[[#This Row],[DNI ]],RUBRO!$F$1:$O$9996,7,FALSE)</f>
        <v>5ta</v>
      </c>
      <c r="F231" s="104" t="str">
        <f>VLOOKUP(Tabla1[[#This Row],[DNI ]],RUBRO!$F$1:$O$88,3,FALSE)</f>
        <v>MAEME-03</v>
      </c>
      <c r="G231" s="104" t="str">
        <f>VLOOKUP(Tabla1[[#This Row],[DNI ]],RUBRO!$F$1:$O$9996,5,FALSE)</f>
        <v>MAESTRO ELECTRICO MONTAJISTA DE MAQUINARIA EXTRANJERA</v>
      </c>
      <c r="H231" s="66" t="str">
        <f>VLOOKUP(Tabla1[[#This Row],[DNI ]],RUBRO!$F$1:$O$9996,6,FALSE)</f>
        <v xml:space="preserve">VELASQUEZ LIZA JOSE ROGELIO </v>
      </c>
      <c r="I231" s="94">
        <v>44326</v>
      </c>
      <c r="J231" s="10">
        <v>2</v>
      </c>
      <c r="K231" s="2">
        <v>44685832</v>
      </c>
      <c r="L231" s="4">
        <f>VLOOKUP(Tabla1[[#This Row],[DNI ]],RUBRO!$F$2:$O$9996,8,FALSE)</f>
        <v>88.47</v>
      </c>
      <c r="M231" s="88">
        <v>0.29166666666666669</v>
      </c>
      <c r="N231" s="28">
        <v>0.54166666666666663</v>
      </c>
      <c r="O231" s="28">
        <v>0.58333333333333337</v>
      </c>
      <c r="P231" s="28">
        <v>0.75</v>
      </c>
      <c r="Q231" s="31">
        <f>(Tabla1[[#This Row],[SALIDA]]-Tabla1[[#This Row],[FIN ]])+(Tabla1[[#This Row],[INICIO]]-Tabla1[[#This Row],[INGRESO]])</f>
        <v>0.41666666666666657</v>
      </c>
      <c r="R231" s="13">
        <f t="shared" si="9"/>
        <v>0.33333333333333331</v>
      </c>
      <c r="S231" s="31">
        <f t="shared" si="10"/>
        <v>8.3333333333333259E-2</v>
      </c>
      <c r="T231" s="136"/>
      <c r="U231" s="136"/>
      <c r="V231" s="137">
        <f>(Tabla1[[#This Row],[COS.BASE 3]]*0.25+Tabla1[[#This Row],[COS.BASE 3]])*Tabla1[[#This Row],[HORAS 25 % ]]</f>
        <v>0</v>
      </c>
      <c r="W231" s="138">
        <f>(Tabla1[[#This Row],[COS.BASE 3]]*0.35+Tabla1[[#This Row],[COS.BASE 3]])*Tabla1[[#This Row],[HORAS 35% ]]</f>
        <v>0</v>
      </c>
      <c r="X231" s="138">
        <f>SUM(Tabla1[[#This Row],[C.HORA.35]],Tabla1[[#This Row],[C.HORA.25]])</f>
        <v>0</v>
      </c>
      <c r="Y231" s="4"/>
      <c r="Z231" s="10">
        <f>Tabla1[[#This Row],[T.HORAS]]*24</f>
        <v>9.9999999999999982</v>
      </c>
      <c r="AA231" s="4">
        <f>Tabla1[[#This Row],[H.NORMALES]]*24</f>
        <v>8</v>
      </c>
      <c r="AB231" s="10">
        <f>Tabla1[[#This Row],[H.EXTRAS]]*24</f>
        <v>1.9999999999999982</v>
      </c>
      <c r="AC231" s="105">
        <f t="shared" si="12"/>
        <v>88.47</v>
      </c>
      <c r="AD231" s="120">
        <f>Tabla1[[#This Row],[COS.BASE 2]]/8</f>
        <v>11.05875</v>
      </c>
      <c r="AE231" s="105">
        <f>Tabla1[[#This Row],[CST_H_E]]+Tabla1[[#This Row],[COS.BASE 2]]</f>
        <v>88.47</v>
      </c>
      <c r="AF231" s="106">
        <f>+_xlfn.IFNA(INDEX(RUBRO!$W$2:$AA$732,MATCH(Tabla1[[#This Row],[FECHA ]],RUBRO!$W$2:$W$732,0),5)," ")</f>
        <v>0</v>
      </c>
      <c r="AG231" s="10">
        <f>+_xlfn.IFNA(INDEX(RUBRO!$W$2:$AA$732,MATCH(Tabla1[[#This Row],[FECHA ]],RUBRO!$W$2:$W$732,0),2)," ")</f>
        <v>0</v>
      </c>
      <c r="AH231" s="40">
        <f>IFERROR(Tabla1[[#This Row],[F]]*Tabla1[[#This Row],[COS.B+E]]," ")</f>
        <v>0</v>
      </c>
      <c r="AI231" s="40">
        <f>IFERROR(Tabla1[[#This Row],[COS.B+E]]*Tabla1[[#This Row],[D]]," ")</f>
        <v>0</v>
      </c>
      <c r="AJ231" s="40" t="str">
        <f>IFERROR(Tabla1[[#This Row],[F]]*#REF!," ")</f>
        <v xml:space="preserve"> </v>
      </c>
      <c r="AK231" s="40" t="str">
        <f>IFERROR(#REF!*Tabla1[[#This Row],[D]]," ")</f>
        <v xml:space="preserve"> </v>
      </c>
      <c r="AL231" s="103"/>
      <c r="AM231" s="103"/>
      <c r="AN231" s="103"/>
      <c r="AO231" s="38">
        <f>+Tabla1[[#This Row],[COS.B+E]]+Tabla1[[#This Row],[COS.F1]]+Tabla1[[#This Row],[COS.D1]]+Tabla1[[#This Row],[ALIMENTACION]]+Tabla1[[#This Row],[PRESTAMO]]+AN231</f>
        <v>88.47</v>
      </c>
      <c r="AP231" s="38" t="e">
        <f>+#REF!+Tabla1[[#This Row],[COS F2]]+Tabla1[[#This Row],[COS D2]]+Tabla1[[#This Row],[ALIMENTACION]]+Tabla1[[#This Row],[PRESTAMO]]+Tabla1[[#This Row],[PASAJES]]</f>
        <v>#REF!</v>
      </c>
    </row>
    <row r="232" spans="1:44" x14ac:dyDescent="0.25">
      <c r="A232" s="2" t="str">
        <f>TEXT(Tabla1[[#This Row],[FECHA ]],"DDDDD")</f>
        <v>lunes</v>
      </c>
      <c r="B232" s="2" t="str">
        <f>_xlfn.IFNA(VLOOKUP(Tabla1[[#This Row],[DESTINO]],RUBRO!$Q$1:$R$9996,2,FALSE)," ")</f>
        <v>FALTA</v>
      </c>
      <c r="C232" s="104">
        <f>WEEKNUM(Tabla1[[#This Row],[FECHA ]],2)</f>
        <v>20</v>
      </c>
      <c r="D232" s="104" t="str">
        <f>TEXT(Tabla1[[#This Row],[FECHA ]],"MMM-YY")</f>
        <v>may-YY</v>
      </c>
      <c r="E232" s="104" t="str">
        <f>VLOOKUP(Tabla1[[#This Row],[DNI ]],RUBRO!$F$1:$O$9996,7,FALSE)</f>
        <v>5ta</v>
      </c>
      <c r="F232" s="104" t="str">
        <f>VLOOKUP(Tabla1[[#This Row],[DNI ]],RUBRO!$F$1:$O$88,3,FALSE)</f>
        <v>TEC-05</v>
      </c>
      <c r="G232" s="104" t="str">
        <f>VLOOKUP(Tabla1[[#This Row],[DNI ]],RUBRO!$F$1:$O$9996,5,FALSE)</f>
        <v>TECNICO MECANICO MONTAJISTA DE NAVE INDUSTRIAL</v>
      </c>
      <c r="H232" s="66" t="str">
        <f>VLOOKUP(Tabla1[[#This Row],[DNI ]],RUBRO!$F$1:$O$9996,6,FALSE)</f>
        <v>VENTURA CUBAS ALEXANDER JOHAN</v>
      </c>
      <c r="I232" s="94">
        <v>44326</v>
      </c>
      <c r="J232" s="10">
        <v>4</v>
      </c>
      <c r="K232" s="2">
        <v>47749907</v>
      </c>
      <c r="L232" s="4">
        <f>VLOOKUP(Tabla1[[#This Row],[DNI ]],RUBRO!$F$2:$O$9996,8,FALSE)</f>
        <v>80</v>
      </c>
      <c r="M232" s="88"/>
      <c r="N232" s="28"/>
      <c r="P232" s="28"/>
      <c r="Q232" s="31">
        <f>(Tabla1[[#This Row],[SALIDA]]-Tabla1[[#This Row],[FIN ]])+(Tabla1[[#This Row],[INICIO]]-Tabla1[[#This Row],[INGRESO]])</f>
        <v>0</v>
      </c>
      <c r="R232" s="13">
        <f t="shared" si="9"/>
        <v>0</v>
      </c>
      <c r="S232" s="31">
        <f t="shared" si="10"/>
        <v>0</v>
      </c>
      <c r="T232" s="136"/>
      <c r="U232" s="136"/>
      <c r="V232" s="137">
        <f>(Tabla1[[#This Row],[COS.BASE 3]]*0.25+Tabla1[[#This Row],[COS.BASE 3]])*Tabla1[[#This Row],[HORAS 25 % ]]</f>
        <v>0</v>
      </c>
      <c r="W232" s="138">
        <f>(Tabla1[[#This Row],[COS.BASE 3]]*0.35+Tabla1[[#This Row],[COS.BASE 3]])*Tabla1[[#This Row],[HORAS 35% ]]</f>
        <v>0</v>
      </c>
      <c r="X232" s="138">
        <f>SUM(Tabla1[[#This Row],[C.HORA.35]],Tabla1[[#This Row],[C.HORA.25]])</f>
        <v>0</v>
      </c>
      <c r="Y232" s="4"/>
      <c r="Z232" s="10">
        <f>Tabla1[[#This Row],[T.HORAS]]*24</f>
        <v>0</v>
      </c>
      <c r="AA232" s="4">
        <f>Tabla1[[#This Row],[H.NORMALES]]*24</f>
        <v>0</v>
      </c>
      <c r="AB232" s="10">
        <f>Tabla1[[#This Row],[H.EXTRAS]]*24</f>
        <v>0</v>
      </c>
      <c r="AC232" s="105">
        <f t="shared" si="12"/>
        <v>0</v>
      </c>
      <c r="AD232" s="120">
        <f>Tabla1[[#This Row],[COS.BASE 2]]/8</f>
        <v>0</v>
      </c>
      <c r="AE232" s="105">
        <f>Tabla1[[#This Row],[CST_H_E]]+Tabla1[[#This Row],[COS.BASE 2]]</f>
        <v>0</v>
      </c>
      <c r="AF232" s="106">
        <f>+_xlfn.IFNA(INDEX(RUBRO!$W$2:$AA$732,MATCH(Tabla1[[#This Row],[FECHA ]],RUBRO!$W$2:$W$732,0),5)," ")</f>
        <v>0</v>
      </c>
      <c r="AG232" s="10">
        <f>+_xlfn.IFNA(INDEX(RUBRO!$W$2:$AA$732,MATCH(Tabla1[[#This Row],[FECHA ]],RUBRO!$W$2:$W$732,0),2)," ")</f>
        <v>0</v>
      </c>
      <c r="AH232" s="40">
        <f>IFERROR(Tabla1[[#This Row],[F]]*Tabla1[[#This Row],[COS.B+E]]," ")</f>
        <v>0</v>
      </c>
      <c r="AI232" s="40">
        <f>IFERROR(Tabla1[[#This Row],[COS.B+E]]*Tabla1[[#This Row],[D]]," ")</f>
        <v>0</v>
      </c>
      <c r="AJ232" s="40" t="str">
        <f>IFERROR(Tabla1[[#This Row],[F]]*#REF!," ")</f>
        <v xml:space="preserve"> </v>
      </c>
      <c r="AK232" s="40" t="str">
        <f>IFERROR(#REF!*Tabla1[[#This Row],[D]]," ")</f>
        <v xml:space="preserve"> </v>
      </c>
      <c r="AL232" s="103"/>
      <c r="AM232" s="103"/>
      <c r="AN232" s="103"/>
      <c r="AO232" s="38">
        <f>+Tabla1[[#This Row],[COS.B+E]]+Tabla1[[#This Row],[COS.F1]]+Tabla1[[#This Row],[COS.D1]]+Tabla1[[#This Row],[ALIMENTACION]]+Tabla1[[#This Row],[PRESTAMO]]+AN232</f>
        <v>0</v>
      </c>
      <c r="AP232" s="38" t="e">
        <f>+#REF!+Tabla1[[#This Row],[COS F2]]+Tabla1[[#This Row],[COS D2]]+Tabla1[[#This Row],[ALIMENTACION]]+Tabla1[[#This Row],[PRESTAMO]]+Tabla1[[#This Row],[PASAJES]]</f>
        <v>#REF!</v>
      </c>
    </row>
    <row r="233" spans="1:44" x14ac:dyDescent="0.25">
      <c r="A233" s="2" t="str">
        <f>TEXT(Tabla1[[#This Row],[FECHA ]],"DDDDD")</f>
        <v>lunes</v>
      </c>
      <c r="B233" s="2" t="str">
        <f>_xlfn.IFNA(VLOOKUP(Tabla1[[#This Row],[DESTINO]],RUBRO!$Q$1:$R$9996,2,FALSE)," ")</f>
        <v>OBRA</v>
      </c>
      <c r="C233" s="104">
        <f>WEEKNUM(Tabla1[[#This Row],[FECHA ]],2)</f>
        <v>20</v>
      </c>
      <c r="D233" s="104" t="str">
        <f>TEXT(Tabla1[[#This Row],[FECHA ]],"MMM-YY")</f>
        <v>may-YY</v>
      </c>
      <c r="E233" s="104" t="str">
        <f>VLOOKUP(Tabla1[[#This Row],[DNI ]],RUBRO!$F$1:$O$9996,7,FALSE)</f>
        <v>5ta</v>
      </c>
      <c r="F233" s="104" t="str">
        <f>VLOOKUP(Tabla1[[#This Row],[DNI ]],RUBRO!$F$1:$O$88,3,FALSE)</f>
        <v>MAE-08</v>
      </c>
      <c r="G233" s="104" t="str">
        <f>VLOOKUP(Tabla1[[#This Row],[DNI ]],RUBRO!$F$1:$O$9996,5,FALSE)</f>
        <v>MAESTRO PINTOR</v>
      </c>
      <c r="H233" s="66" t="str">
        <f>VLOOKUP(Tabla1[[#This Row],[DNI ]],RUBRO!$F$1:$O$9996,6,FALSE)</f>
        <v>ZETA DELGADO DERWIS YENNER</v>
      </c>
      <c r="I233" s="94">
        <v>44326</v>
      </c>
      <c r="J233" s="10">
        <v>2</v>
      </c>
      <c r="K233" s="2">
        <v>46859101</v>
      </c>
      <c r="L233" s="4">
        <f>VLOOKUP(Tabla1[[#This Row],[DNI ]],RUBRO!$F$2:$O$9996,8,FALSE)</f>
        <v>70</v>
      </c>
      <c r="M233" s="88">
        <v>0.29166666666666669</v>
      </c>
      <c r="N233" s="28"/>
      <c r="P233" s="28">
        <v>0.5</v>
      </c>
      <c r="Q233" s="31">
        <f>(Tabla1[[#This Row],[SALIDA]]-Tabla1[[#This Row],[FIN ]])+(Tabla1[[#This Row],[INICIO]]-Tabla1[[#This Row],[INGRESO]])</f>
        <v>0.20833333333333331</v>
      </c>
      <c r="R233" s="13">
        <f t="shared" si="9"/>
        <v>0.20833333333333331</v>
      </c>
      <c r="S233" s="31">
        <f t="shared" si="10"/>
        <v>0</v>
      </c>
      <c r="T233" s="136"/>
      <c r="U233" s="136"/>
      <c r="V233" s="137">
        <f>(Tabla1[[#This Row],[COS.BASE 3]]*0.25+Tabla1[[#This Row],[COS.BASE 3]])*Tabla1[[#This Row],[HORAS 25 % ]]</f>
        <v>0</v>
      </c>
      <c r="W233" s="138">
        <f>(Tabla1[[#This Row],[COS.BASE 3]]*0.35+Tabla1[[#This Row],[COS.BASE 3]])*Tabla1[[#This Row],[HORAS 35% ]]</f>
        <v>0</v>
      </c>
      <c r="X233" s="138">
        <f>SUM(Tabla1[[#This Row],[C.HORA.35]],Tabla1[[#This Row],[C.HORA.25]])</f>
        <v>0</v>
      </c>
      <c r="Y233" s="4"/>
      <c r="Z233" s="10">
        <f>Tabla1[[#This Row],[T.HORAS]]*24</f>
        <v>5</v>
      </c>
      <c r="AA233" s="4">
        <f>Tabla1[[#This Row],[H.NORMALES]]*24</f>
        <v>5</v>
      </c>
      <c r="AB233" s="10">
        <f>Tabla1[[#This Row],[H.EXTRAS]]*24</f>
        <v>0</v>
      </c>
      <c r="AC233" s="105">
        <f t="shared" si="12"/>
        <v>43.75</v>
      </c>
      <c r="AD233" s="120">
        <f>Tabla1[[#This Row],[COS.BASE 2]]/8</f>
        <v>5.46875</v>
      </c>
      <c r="AE233" s="105">
        <f>Tabla1[[#This Row],[CST_H_E]]+Tabla1[[#This Row],[COS.BASE 2]]</f>
        <v>43.75</v>
      </c>
      <c r="AF233" s="106">
        <f>+_xlfn.IFNA(INDEX(RUBRO!$W$2:$AA$732,MATCH(Tabla1[[#This Row],[FECHA ]],RUBRO!$W$2:$W$732,0),5)," ")</f>
        <v>0</v>
      </c>
      <c r="AG233" s="10">
        <f>+_xlfn.IFNA(INDEX(RUBRO!$W$2:$AA$732,MATCH(Tabla1[[#This Row],[FECHA ]],RUBRO!$W$2:$W$732,0),2)," ")</f>
        <v>0</v>
      </c>
      <c r="AH233" s="40">
        <f>IFERROR(Tabla1[[#This Row],[F]]*Tabla1[[#This Row],[COS.B+E]]," ")</f>
        <v>0</v>
      </c>
      <c r="AI233" s="40">
        <f>IFERROR(Tabla1[[#This Row],[COS.B+E]]*Tabla1[[#This Row],[D]]," ")</f>
        <v>0</v>
      </c>
      <c r="AJ233" s="40" t="str">
        <f>IFERROR(Tabla1[[#This Row],[F]]*#REF!," ")</f>
        <v xml:space="preserve"> </v>
      </c>
      <c r="AK233" s="40" t="str">
        <f>IFERROR(#REF!*Tabla1[[#This Row],[D]]," ")</f>
        <v xml:space="preserve"> </v>
      </c>
      <c r="AL233" s="103"/>
      <c r="AM233" s="103"/>
      <c r="AN233" s="103"/>
      <c r="AO233" s="38">
        <f>+Tabla1[[#This Row],[COS.B+E]]+Tabla1[[#This Row],[COS.F1]]+Tabla1[[#This Row],[COS.D1]]+Tabla1[[#This Row],[ALIMENTACION]]+Tabla1[[#This Row],[PRESTAMO]]+AN233</f>
        <v>43.75</v>
      </c>
      <c r="AP233" s="38" t="e">
        <f>+#REF!+Tabla1[[#This Row],[COS F2]]+Tabla1[[#This Row],[COS D2]]+Tabla1[[#This Row],[ALIMENTACION]]+Tabla1[[#This Row],[PRESTAMO]]+Tabla1[[#This Row],[PASAJES]]</f>
        <v>#REF!</v>
      </c>
    </row>
    <row r="234" spans="1:44" x14ac:dyDescent="0.25">
      <c r="A234" s="2" t="str">
        <f>TEXT(Tabla1[[#This Row],[FECHA ]],"DDDDD")</f>
        <v>martes</v>
      </c>
      <c r="B234" s="2" t="str">
        <f>_xlfn.IFNA(VLOOKUP(Tabla1[[#This Row],[DESTINO]],RUBRO!$Q$1:$R$9996,2,FALSE)," ")</f>
        <v>PLANTA</v>
      </c>
      <c r="C234" s="104">
        <f>WEEKNUM(Tabla1[[#This Row],[FECHA ]],2)</f>
        <v>20</v>
      </c>
      <c r="D234" s="104" t="str">
        <f>TEXT(Tabla1[[#This Row],[FECHA ]],"MMM-YY")</f>
        <v>may-YY</v>
      </c>
      <c r="E234" s="104" t="str">
        <f>VLOOKUP(Tabla1[[#This Row],[DNI ]],RUBRO!$F$1:$O$9996,7,FALSE)</f>
        <v>5ta</v>
      </c>
      <c r="F234" s="104" t="str">
        <f>VLOOKUP(Tabla1[[#This Row],[DNI ]],RUBRO!$F$1:$O$88,3,FALSE)</f>
        <v>TEC-02</v>
      </c>
      <c r="G234" s="104" t="str">
        <f>VLOOKUP(Tabla1[[#This Row],[DNI ]],RUBRO!$F$1:$O$9996,5,FALSE)</f>
        <v>TECNICO MECANICO MONTAJISTA DE MAQUINARIA</v>
      </c>
      <c r="H234" s="66" t="str">
        <f>VLOOKUP(Tabla1[[#This Row],[DNI ]],RUBRO!$F$1:$O$9996,6,FALSE)</f>
        <v>ALVAREZ ALVINES JUAN MANUEL</v>
      </c>
      <c r="I234" s="94">
        <v>44327</v>
      </c>
      <c r="J234" s="10">
        <v>1</v>
      </c>
      <c r="K234" s="2">
        <v>46108491</v>
      </c>
      <c r="L234" s="4">
        <f>VLOOKUP(Tabla1[[#This Row],[DNI ]],RUBRO!$F$2:$O$9996,8,FALSE)</f>
        <v>50</v>
      </c>
      <c r="M234" s="88">
        <v>0.29166666666666669</v>
      </c>
      <c r="N234" s="28">
        <v>0.54166666666666663</v>
      </c>
      <c r="O234" s="28">
        <v>0.58333333333333337</v>
      </c>
      <c r="P234" s="28">
        <v>0.79166666666666663</v>
      </c>
      <c r="Q234" s="31">
        <f>(Tabla1[[#This Row],[SALIDA]]-Tabla1[[#This Row],[FIN ]])+(Tabla1[[#This Row],[INICIO]]-Tabla1[[#This Row],[INGRESO]])</f>
        <v>0.4583333333333332</v>
      </c>
      <c r="R234" s="13">
        <f t="shared" si="9"/>
        <v>0.375</v>
      </c>
      <c r="S234" s="31">
        <f t="shared" si="10"/>
        <v>8.3333333333333204E-2</v>
      </c>
      <c r="T234" s="136"/>
      <c r="U234" s="136"/>
      <c r="V234" s="137">
        <f>(Tabla1[[#This Row],[COS.BASE 3]]*0.25+Tabla1[[#This Row],[COS.BASE 3]])*Tabla1[[#This Row],[HORAS 25 % ]]</f>
        <v>0</v>
      </c>
      <c r="W234" s="138">
        <f>(Tabla1[[#This Row],[COS.BASE 3]]*0.35+Tabla1[[#This Row],[COS.BASE 3]])*Tabla1[[#This Row],[HORAS 35% ]]</f>
        <v>0</v>
      </c>
      <c r="X234" s="138">
        <f>SUM(Tabla1[[#This Row],[C.HORA.35]],Tabla1[[#This Row],[C.HORA.25]])</f>
        <v>0</v>
      </c>
      <c r="Y234" s="4"/>
      <c r="Z234" s="10">
        <f>Tabla1[[#This Row],[T.HORAS]]*24</f>
        <v>10.999999999999996</v>
      </c>
      <c r="AA234" s="4">
        <f>Tabla1[[#This Row],[H.NORMALES]]*24</f>
        <v>9</v>
      </c>
      <c r="AB234" s="10">
        <f>Tabla1[[#This Row],[H.EXTRAS]]*24</f>
        <v>1.9999999999999969</v>
      </c>
      <c r="AC234" s="105">
        <f t="shared" si="12"/>
        <v>50</v>
      </c>
      <c r="AD234" s="120">
        <f>Tabla1[[#This Row],[COS.BASE 2]]/8</f>
        <v>6.25</v>
      </c>
      <c r="AE234" s="105">
        <f>Tabla1[[#This Row],[CST_H_E]]+Tabla1[[#This Row],[COS.BASE 2]]</f>
        <v>50</v>
      </c>
      <c r="AF234" s="106">
        <f>+_xlfn.IFNA(INDEX(RUBRO!$W$2:$AA$732,MATCH(Tabla1[[#This Row],[FECHA ]],RUBRO!$W$2:$W$732,0),5)," ")</f>
        <v>0</v>
      </c>
      <c r="AG234" s="10">
        <f>+_xlfn.IFNA(INDEX(RUBRO!$W$2:$AA$732,MATCH(Tabla1[[#This Row],[FECHA ]],RUBRO!$W$2:$W$732,0),2)," ")</f>
        <v>0</v>
      </c>
      <c r="AH234" s="40">
        <f>IFERROR(Tabla1[[#This Row],[F]]*Tabla1[[#This Row],[COS.B+E]]," ")</f>
        <v>0</v>
      </c>
      <c r="AI234" s="40">
        <f>IFERROR(Tabla1[[#This Row],[COS.B+E]]*Tabla1[[#This Row],[D]]," ")</f>
        <v>0</v>
      </c>
      <c r="AJ234" s="40" t="str">
        <f>IFERROR(Tabla1[[#This Row],[F]]*#REF!," ")</f>
        <v xml:space="preserve"> </v>
      </c>
      <c r="AK234" s="40" t="str">
        <f>IFERROR(#REF!*Tabla1[[#This Row],[D]]," ")</f>
        <v xml:space="preserve"> </v>
      </c>
      <c r="AL234" s="103"/>
      <c r="AM234" s="103"/>
      <c r="AN234" s="103"/>
      <c r="AO234" s="38">
        <f>+Tabla1[[#This Row],[COS.B+E]]+Tabla1[[#This Row],[COS.F1]]+Tabla1[[#This Row],[COS.D1]]+Tabla1[[#This Row],[ALIMENTACION]]+Tabla1[[#This Row],[PRESTAMO]]+AN234</f>
        <v>50</v>
      </c>
      <c r="AP234" s="38" t="e">
        <f>+#REF!+Tabla1[[#This Row],[COS F2]]+Tabla1[[#This Row],[COS D2]]+Tabla1[[#This Row],[ALIMENTACION]]+Tabla1[[#This Row],[PRESTAMO]]+Tabla1[[#This Row],[PASAJES]]</f>
        <v>#REF!</v>
      </c>
    </row>
    <row r="235" spans="1:44" x14ac:dyDescent="0.25">
      <c r="A235" s="2" t="str">
        <f>TEXT(Tabla1[[#This Row],[FECHA ]],"DDDDD")</f>
        <v>martes</v>
      </c>
      <c r="B235" s="2" t="str">
        <f>_xlfn.IFNA(VLOOKUP(Tabla1[[#This Row],[DESTINO]],RUBRO!$Q$1:$R$9996,2,FALSE)," ")</f>
        <v>PLANTA</v>
      </c>
      <c r="C235" s="104">
        <f>WEEKNUM(Tabla1[[#This Row],[FECHA ]],2)</f>
        <v>20</v>
      </c>
      <c r="D235" s="104" t="str">
        <f>TEXT(Tabla1[[#This Row],[FECHA ]],"MMM-YY")</f>
        <v>may-YY</v>
      </c>
      <c r="E235" s="104" t="str">
        <f>VLOOKUP(Tabla1[[#This Row],[DNI ]],RUBRO!$F$1:$O$9996,7,FALSE)</f>
        <v>4ta</v>
      </c>
      <c r="F235" s="104" t="str">
        <f>VLOOKUP(Tabla1[[#This Row],[DNI ]],RUBRO!$F$1:$O$88,3,FALSE)</f>
        <v>OPE-03</v>
      </c>
      <c r="G235" s="104" t="str">
        <f>VLOOKUP(Tabla1[[#This Row],[DNI ]],RUBRO!$F$1:$O$9996,5,FALSE)</f>
        <v>OPERARIO ELECTRICO</v>
      </c>
      <c r="H235" s="66" t="str">
        <f>VLOOKUP(Tabla1[[#This Row],[DNI ]],RUBRO!$F$1:$O$9996,6,FALSE)</f>
        <v>AYALA RAMIREZ RUBEN ISAI</v>
      </c>
      <c r="I235" s="94">
        <v>44327</v>
      </c>
      <c r="J235" s="10">
        <v>1</v>
      </c>
      <c r="K235" s="2">
        <v>75557820</v>
      </c>
      <c r="L235" s="4">
        <f>VLOOKUP(Tabla1[[#This Row],[DNI ]],RUBRO!$F$2:$O$9996,8,FALSE)</f>
        <v>50</v>
      </c>
      <c r="M235" s="88">
        <v>0.29166666666666669</v>
      </c>
      <c r="N235" s="28">
        <v>0.54166666666666663</v>
      </c>
      <c r="O235" s="28">
        <v>0.58333333333333337</v>
      </c>
      <c r="P235" s="28">
        <v>0.75</v>
      </c>
      <c r="Q235" s="31">
        <f>(Tabla1[[#This Row],[SALIDA]]-Tabla1[[#This Row],[FIN ]])+(Tabla1[[#This Row],[INICIO]]-Tabla1[[#This Row],[INGRESO]])</f>
        <v>0.41666666666666657</v>
      </c>
      <c r="R235" s="13">
        <f t="shared" si="9"/>
        <v>0.375</v>
      </c>
      <c r="S235" s="31">
        <f t="shared" si="10"/>
        <v>4.1666666666666574E-2</v>
      </c>
      <c r="T235" s="136"/>
      <c r="U235" s="136"/>
      <c r="V235" s="137">
        <f>(Tabla1[[#This Row],[COS.BASE 3]]*0.25+Tabla1[[#This Row],[COS.BASE 3]])*Tabla1[[#This Row],[HORAS 25 % ]]</f>
        <v>0</v>
      </c>
      <c r="W235" s="138">
        <f>(Tabla1[[#This Row],[COS.BASE 3]]*0.35+Tabla1[[#This Row],[COS.BASE 3]])*Tabla1[[#This Row],[HORAS 35% ]]</f>
        <v>0</v>
      </c>
      <c r="X235" s="138">
        <f>SUM(Tabla1[[#This Row],[C.HORA.35]],Tabla1[[#This Row],[C.HORA.25]])</f>
        <v>0</v>
      </c>
      <c r="Y235" s="4"/>
      <c r="Z235" s="10">
        <f>Tabla1[[#This Row],[T.HORAS]]*24</f>
        <v>9.9999999999999982</v>
      </c>
      <c r="AA235" s="4">
        <f>Tabla1[[#This Row],[H.NORMALES]]*24</f>
        <v>9</v>
      </c>
      <c r="AB235" s="10">
        <f>Tabla1[[#This Row],[H.EXTRAS]]*24</f>
        <v>0.99999999999999778</v>
      </c>
      <c r="AC235" s="105">
        <f t="shared" si="12"/>
        <v>50</v>
      </c>
      <c r="AD235" s="120">
        <f>Tabla1[[#This Row],[COS.BASE 2]]/8</f>
        <v>6.25</v>
      </c>
      <c r="AE235" s="105">
        <f>Tabla1[[#This Row],[CST_H_E]]+Tabla1[[#This Row],[COS.BASE 2]]</f>
        <v>50</v>
      </c>
      <c r="AF235" s="106">
        <f>+_xlfn.IFNA(INDEX(RUBRO!$W$2:$AA$732,MATCH(Tabla1[[#This Row],[FECHA ]],RUBRO!$W$2:$W$732,0),5)," ")</f>
        <v>0</v>
      </c>
      <c r="AG235" s="10">
        <f>+_xlfn.IFNA(INDEX(RUBRO!$W$2:$AA$732,MATCH(Tabla1[[#This Row],[FECHA ]],RUBRO!$W$2:$W$732,0),2)," ")</f>
        <v>0</v>
      </c>
      <c r="AH235" s="40">
        <f>IFERROR(Tabla1[[#This Row],[F]]*Tabla1[[#This Row],[COS.B+E]]," ")</f>
        <v>0</v>
      </c>
      <c r="AI235" s="40">
        <f>IFERROR(Tabla1[[#This Row],[COS.B+E]]*Tabla1[[#This Row],[D]]," ")</f>
        <v>0</v>
      </c>
      <c r="AJ235" s="40" t="str">
        <f>IFERROR(Tabla1[[#This Row],[F]]*#REF!," ")</f>
        <v xml:space="preserve"> </v>
      </c>
      <c r="AK235" s="40" t="str">
        <f>IFERROR(#REF!*Tabla1[[#This Row],[D]]," ")</f>
        <v xml:space="preserve"> </v>
      </c>
      <c r="AL235" s="103"/>
      <c r="AM235" s="103"/>
      <c r="AN235" s="103"/>
      <c r="AO235" s="38">
        <f>+Tabla1[[#This Row],[COS.B+E]]+Tabla1[[#This Row],[COS.F1]]+Tabla1[[#This Row],[COS.D1]]+Tabla1[[#This Row],[ALIMENTACION]]+Tabla1[[#This Row],[PRESTAMO]]+AN235</f>
        <v>50</v>
      </c>
      <c r="AP235" s="38" t="e">
        <f>+#REF!+Tabla1[[#This Row],[COS F2]]+Tabla1[[#This Row],[COS D2]]+Tabla1[[#This Row],[ALIMENTACION]]+Tabla1[[#This Row],[PRESTAMO]]+Tabla1[[#This Row],[PASAJES]]</f>
        <v>#REF!</v>
      </c>
    </row>
    <row r="236" spans="1:44" x14ac:dyDescent="0.25">
      <c r="A236" s="2" t="str">
        <f>TEXT(Tabla1[[#This Row],[FECHA ]],"DDDDD")</f>
        <v>martes</v>
      </c>
      <c r="B236" s="2" t="str">
        <f>_xlfn.IFNA(VLOOKUP(Tabla1[[#This Row],[DESTINO]],RUBRO!$Q$1:$R$9996,2,FALSE)," ")</f>
        <v>OBRA</v>
      </c>
      <c r="C236" s="104">
        <f>WEEKNUM(Tabla1[[#This Row],[FECHA ]],2)</f>
        <v>20</v>
      </c>
      <c r="D236" s="104" t="str">
        <f>TEXT(Tabla1[[#This Row],[FECHA ]],"MMM-YY")</f>
        <v>may-YY</v>
      </c>
      <c r="E236" s="104" t="str">
        <f>VLOOKUP(Tabla1[[#This Row],[DNI ]],RUBRO!$F$1:$O$9996,7,FALSE)</f>
        <v>5ta</v>
      </c>
      <c r="F236" s="104" t="str">
        <f>VLOOKUP(Tabla1[[#This Row],[DNI ]],RUBRO!$F$1:$O$88,3,FALSE)</f>
        <v>OPE-03</v>
      </c>
      <c r="G236" s="104" t="str">
        <f>VLOOKUP(Tabla1[[#This Row],[DNI ]],RUBRO!$F$1:$O$9996,5,FALSE)</f>
        <v>OPERARIO ELECTRICO</v>
      </c>
      <c r="H236" s="66" t="str">
        <f>VLOOKUP(Tabla1[[#This Row],[DNI ]],RUBRO!$F$1:$O$9996,6,FALSE)</f>
        <v>BARRAGAN SALAZAR JHONATAN PEDRO</v>
      </c>
      <c r="I236" s="94">
        <v>44327</v>
      </c>
      <c r="J236" s="10">
        <v>2</v>
      </c>
      <c r="K236" s="2">
        <v>46801821</v>
      </c>
      <c r="L236" s="4">
        <f>VLOOKUP(Tabla1[[#This Row],[DNI ]],RUBRO!$F$2:$O$9996,8,FALSE)</f>
        <v>43.5</v>
      </c>
      <c r="M236" s="88">
        <v>0.29166666666666669</v>
      </c>
      <c r="N236" s="28">
        <v>0.54166666666666663</v>
      </c>
      <c r="O236" s="28">
        <v>0.58333333333333337</v>
      </c>
      <c r="P236" s="28">
        <v>0.75</v>
      </c>
      <c r="Q236" s="31">
        <f>(Tabla1[[#This Row],[SALIDA]]-Tabla1[[#This Row],[FIN ]])+(Tabla1[[#This Row],[INICIO]]-Tabla1[[#This Row],[INGRESO]])</f>
        <v>0.41666666666666657</v>
      </c>
      <c r="R236" s="13">
        <f t="shared" si="9"/>
        <v>0.33333333333333331</v>
      </c>
      <c r="S236" s="31">
        <f t="shared" si="10"/>
        <v>8.3333333333333259E-2</v>
      </c>
      <c r="T236" s="136"/>
      <c r="U236" s="136"/>
      <c r="V236" s="137">
        <f>(Tabla1[[#This Row],[COS.BASE 3]]*0.25+Tabla1[[#This Row],[COS.BASE 3]])*Tabla1[[#This Row],[HORAS 25 % ]]</f>
        <v>0</v>
      </c>
      <c r="W236" s="138">
        <f>(Tabla1[[#This Row],[COS.BASE 3]]*0.35+Tabla1[[#This Row],[COS.BASE 3]])*Tabla1[[#This Row],[HORAS 35% ]]</f>
        <v>0</v>
      </c>
      <c r="X236" s="138">
        <f>SUM(Tabla1[[#This Row],[C.HORA.35]],Tabla1[[#This Row],[C.HORA.25]])</f>
        <v>0</v>
      </c>
      <c r="Y236" s="4"/>
      <c r="Z236" s="10">
        <f>Tabla1[[#This Row],[T.HORAS]]*24</f>
        <v>9.9999999999999982</v>
      </c>
      <c r="AA236" s="4">
        <f>Tabla1[[#This Row],[H.NORMALES]]*24</f>
        <v>8</v>
      </c>
      <c r="AB236" s="10">
        <f>Tabla1[[#This Row],[H.EXTRAS]]*24</f>
        <v>1.9999999999999982</v>
      </c>
      <c r="AC236" s="105">
        <f t="shared" si="12"/>
        <v>43.5</v>
      </c>
      <c r="AD236" s="120">
        <f>Tabla1[[#This Row],[COS.BASE 2]]/8</f>
        <v>5.4375</v>
      </c>
      <c r="AE236" s="105">
        <f>Tabla1[[#This Row],[CST_H_E]]+Tabla1[[#This Row],[COS.BASE 2]]</f>
        <v>43.5</v>
      </c>
      <c r="AF236" s="106">
        <f>+_xlfn.IFNA(INDEX(RUBRO!$W$2:$AA$732,MATCH(Tabla1[[#This Row],[FECHA ]],RUBRO!$W$2:$W$732,0),5)," ")</f>
        <v>0</v>
      </c>
      <c r="AG236" s="10">
        <f>+_xlfn.IFNA(INDEX(RUBRO!$W$2:$AA$732,MATCH(Tabla1[[#This Row],[FECHA ]],RUBRO!$W$2:$W$732,0),2)," ")</f>
        <v>0</v>
      </c>
      <c r="AH236" s="40">
        <f>IFERROR(Tabla1[[#This Row],[F]]*Tabla1[[#This Row],[COS.B+E]]," ")</f>
        <v>0</v>
      </c>
      <c r="AI236" s="40">
        <f>IFERROR(Tabla1[[#This Row],[COS.B+E]]*Tabla1[[#This Row],[D]]," ")</f>
        <v>0</v>
      </c>
      <c r="AJ236" s="40" t="str">
        <f>IFERROR(Tabla1[[#This Row],[F]]*#REF!," ")</f>
        <v xml:space="preserve"> </v>
      </c>
      <c r="AK236" s="40" t="str">
        <f>IFERROR(#REF!*Tabla1[[#This Row],[D]]," ")</f>
        <v xml:space="preserve"> </v>
      </c>
      <c r="AL236" s="103"/>
      <c r="AM236" s="103"/>
      <c r="AN236" s="103"/>
      <c r="AO236" s="38">
        <f>+Tabla1[[#This Row],[COS.B+E]]+Tabla1[[#This Row],[COS.F1]]+Tabla1[[#This Row],[COS.D1]]+Tabla1[[#This Row],[ALIMENTACION]]+Tabla1[[#This Row],[PRESTAMO]]+AN236</f>
        <v>43.5</v>
      </c>
      <c r="AP236" s="38" t="e">
        <f>+#REF!+Tabla1[[#This Row],[COS F2]]+Tabla1[[#This Row],[COS D2]]+Tabla1[[#This Row],[ALIMENTACION]]+Tabla1[[#This Row],[PRESTAMO]]+Tabla1[[#This Row],[PASAJES]]</f>
        <v>#REF!</v>
      </c>
    </row>
    <row r="237" spans="1:44" x14ac:dyDescent="0.25">
      <c r="A237" s="2" t="str">
        <f>TEXT(Tabla1[[#This Row],[FECHA ]],"DDDDD")</f>
        <v>martes</v>
      </c>
      <c r="B237" s="2" t="str">
        <f>_xlfn.IFNA(VLOOKUP(Tabla1[[#This Row],[DESTINO]],RUBRO!$Q$1:$R$9996,2,FALSE)," ")</f>
        <v>PLANTA</v>
      </c>
      <c r="C237" s="104">
        <f>WEEKNUM(Tabla1[[#This Row],[FECHA ]],2)</f>
        <v>20</v>
      </c>
      <c r="D237" s="104" t="str">
        <f>TEXT(Tabla1[[#This Row],[FECHA ]],"MMM-YY")</f>
        <v>may-YY</v>
      </c>
      <c r="E237" s="104" t="str">
        <f>VLOOKUP(Tabla1[[#This Row],[DNI ]],RUBRO!$F$1:$O$9996,7,FALSE)</f>
        <v>5ta</v>
      </c>
      <c r="F237" s="104" t="str">
        <f>VLOOKUP(Tabla1[[#This Row],[DNI ]],RUBRO!$F$1:$O$88,3,FALSE)</f>
        <v>OPE-01</v>
      </c>
      <c r="G237" s="104" t="str">
        <f>VLOOKUP(Tabla1[[#This Row],[DNI ]],RUBRO!$F$1:$O$9996,5,FALSE)</f>
        <v>OPERARIO SOLDADOR</v>
      </c>
      <c r="H237" s="66" t="str">
        <f>VLOOKUP(Tabla1[[#This Row],[DNI ]],RUBRO!$F$1:$O$9996,6,FALSE)</f>
        <v>BENDEZU PISCO JORGE GUILLERMO</v>
      </c>
      <c r="I237" s="94">
        <v>44327</v>
      </c>
      <c r="J237" s="10">
        <v>1</v>
      </c>
      <c r="K237" s="2">
        <v>10664396</v>
      </c>
      <c r="L237" s="4">
        <f>VLOOKUP(Tabla1[[#This Row],[DNI ]],RUBRO!$F$2:$O$9996,8,FALSE)</f>
        <v>60</v>
      </c>
      <c r="M237" s="88">
        <v>0.29166666666666669</v>
      </c>
      <c r="N237" s="28">
        <v>0.54166666666666663</v>
      </c>
      <c r="O237" s="28">
        <v>0.58333333333333337</v>
      </c>
      <c r="P237" s="28">
        <v>0.75</v>
      </c>
      <c r="Q237" s="31">
        <f>(Tabla1[[#This Row],[SALIDA]]-Tabla1[[#This Row],[FIN ]])+(Tabla1[[#This Row],[INICIO]]-Tabla1[[#This Row],[INGRESO]])</f>
        <v>0.41666666666666657</v>
      </c>
      <c r="R237" s="13">
        <f t="shared" si="9"/>
        <v>0.375</v>
      </c>
      <c r="S237" s="31">
        <f t="shared" si="10"/>
        <v>4.1666666666666574E-2</v>
      </c>
      <c r="T237" s="136"/>
      <c r="U237" s="136"/>
      <c r="V237" s="137">
        <f>(Tabla1[[#This Row],[COS.BASE 3]]*0.25+Tabla1[[#This Row],[COS.BASE 3]])*Tabla1[[#This Row],[HORAS 25 % ]]</f>
        <v>0</v>
      </c>
      <c r="W237" s="138">
        <f>(Tabla1[[#This Row],[COS.BASE 3]]*0.35+Tabla1[[#This Row],[COS.BASE 3]])*Tabla1[[#This Row],[HORAS 35% ]]</f>
        <v>0</v>
      </c>
      <c r="X237" s="138">
        <f>SUM(Tabla1[[#This Row],[C.HORA.35]],Tabla1[[#This Row],[C.HORA.25]])</f>
        <v>0</v>
      </c>
      <c r="Y237" s="4"/>
      <c r="Z237" s="10">
        <f>Tabla1[[#This Row],[T.HORAS]]*24</f>
        <v>9.9999999999999982</v>
      </c>
      <c r="AA237" s="4">
        <f>Tabla1[[#This Row],[H.NORMALES]]*24</f>
        <v>9</v>
      </c>
      <c r="AB237" s="10">
        <f>Tabla1[[#This Row],[H.EXTRAS]]*24</f>
        <v>0.99999999999999778</v>
      </c>
      <c r="AC237" s="105">
        <f t="shared" si="12"/>
        <v>60</v>
      </c>
      <c r="AD237" s="120">
        <f>Tabla1[[#This Row],[COS.BASE 2]]/8</f>
        <v>7.5</v>
      </c>
      <c r="AE237" s="105">
        <f>Tabla1[[#This Row],[CST_H_E]]+Tabla1[[#This Row],[COS.BASE 2]]</f>
        <v>60</v>
      </c>
      <c r="AF237" s="106">
        <f>+_xlfn.IFNA(INDEX(RUBRO!$W$2:$AA$732,MATCH(Tabla1[[#This Row],[FECHA ]],RUBRO!$W$2:$W$732,0),5)," ")</f>
        <v>0</v>
      </c>
      <c r="AG237" s="10">
        <f>+_xlfn.IFNA(INDEX(RUBRO!$W$2:$AA$732,MATCH(Tabla1[[#This Row],[FECHA ]],RUBRO!$W$2:$W$732,0),2)," ")</f>
        <v>0</v>
      </c>
      <c r="AH237" s="40">
        <f>IFERROR(Tabla1[[#This Row],[F]]*Tabla1[[#This Row],[COS.B+E]]," ")</f>
        <v>0</v>
      </c>
      <c r="AI237" s="40">
        <f>IFERROR(Tabla1[[#This Row],[COS.B+E]]*Tabla1[[#This Row],[D]]," ")</f>
        <v>0</v>
      </c>
      <c r="AJ237" s="40" t="str">
        <f>IFERROR(Tabla1[[#This Row],[F]]*#REF!," ")</f>
        <v xml:space="preserve"> </v>
      </c>
      <c r="AK237" s="40" t="str">
        <f>IFERROR(#REF!*Tabla1[[#This Row],[D]]," ")</f>
        <v xml:space="preserve"> </v>
      </c>
      <c r="AL237" s="103"/>
      <c r="AM237" s="103"/>
      <c r="AN237" s="103"/>
      <c r="AO237" s="38">
        <f>+Tabla1[[#This Row],[COS.B+E]]+Tabla1[[#This Row],[COS.F1]]+Tabla1[[#This Row],[COS.D1]]+Tabla1[[#This Row],[ALIMENTACION]]+Tabla1[[#This Row],[PRESTAMO]]+AN237</f>
        <v>60</v>
      </c>
      <c r="AP237" s="38" t="e">
        <f>+#REF!+Tabla1[[#This Row],[COS F2]]+Tabla1[[#This Row],[COS D2]]+Tabla1[[#This Row],[ALIMENTACION]]+Tabla1[[#This Row],[PRESTAMO]]+Tabla1[[#This Row],[PASAJES]]</f>
        <v>#REF!</v>
      </c>
    </row>
    <row r="238" spans="1:44" x14ac:dyDescent="0.25">
      <c r="A238" s="2" t="str">
        <f>TEXT(Tabla1[[#This Row],[FECHA ]],"DDDDD")</f>
        <v>martes</v>
      </c>
      <c r="B238" s="2" t="str">
        <f>_xlfn.IFNA(VLOOKUP(Tabla1[[#This Row],[DESTINO]],RUBRO!$Q$1:$R$9996,2,FALSE)," ")</f>
        <v>FALTA</v>
      </c>
      <c r="C238" s="104">
        <f>WEEKNUM(Tabla1[[#This Row],[FECHA ]],2)</f>
        <v>20</v>
      </c>
      <c r="D238" s="104" t="str">
        <f>TEXT(Tabla1[[#This Row],[FECHA ]],"MMM-YY")</f>
        <v>may-YY</v>
      </c>
      <c r="E238" s="104" t="str">
        <f>VLOOKUP(Tabla1[[#This Row],[DNI ]],RUBRO!$F$1:$O$9996,7,FALSE)</f>
        <v>4ta</v>
      </c>
      <c r="F238" s="104" t="str">
        <f>VLOOKUP(Tabla1[[#This Row],[DNI ]],RUBRO!$F$1:$O$88,3,FALSE)</f>
        <v>OPE-01</v>
      </c>
      <c r="G238" s="104" t="str">
        <f>VLOOKUP(Tabla1[[#This Row],[DNI ]],RUBRO!$F$1:$O$9996,5,FALSE)</f>
        <v>OPERARIO SOLDADOR</v>
      </c>
      <c r="H238" s="66" t="str">
        <f>VLOOKUP(Tabla1[[#This Row],[DNI ]],RUBRO!$F$1:$O$9996,6,FALSE)</f>
        <v>BONILLA CHAVEZ LUIS DANIEL</v>
      </c>
      <c r="I238" s="94">
        <v>44327</v>
      </c>
      <c r="J238" s="10">
        <v>4</v>
      </c>
      <c r="K238" s="2">
        <v>71995358</v>
      </c>
      <c r="L238" s="4">
        <f>VLOOKUP(Tabla1[[#This Row],[DNI ]],RUBRO!$F$2:$O$9996,8,FALSE)</f>
        <v>45</v>
      </c>
      <c r="M238" s="88"/>
      <c r="N238" s="28"/>
      <c r="P238" s="28"/>
      <c r="Q238" s="31">
        <f>(Tabla1[[#This Row],[SALIDA]]-Tabla1[[#This Row],[FIN ]])+(Tabla1[[#This Row],[INICIO]]-Tabla1[[#This Row],[INGRESO]])</f>
        <v>0</v>
      </c>
      <c r="R238" s="13">
        <f t="shared" si="9"/>
        <v>0</v>
      </c>
      <c r="S238" s="31">
        <f t="shared" si="10"/>
        <v>0</v>
      </c>
      <c r="T238" s="136"/>
      <c r="U238" s="136"/>
      <c r="V238" s="137">
        <f>(Tabla1[[#This Row],[COS.BASE 3]]*0.25+Tabla1[[#This Row],[COS.BASE 3]])*Tabla1[[#This Row],[HORAS 25 % ]]</f>
        <v>0</v>
      </c>
      <c r="W238" s="138">
        <f>(Tabla1[[#This Row],[COS.BASE 3]]*0.35+Tabla1[[#This Row],[COS.BASE 3]])*Tabla1[[#This Row],[HORAS 35% ]]</f>
        <v>0</v>
      </c>
      <c r="X238" s="138">
        <f>SUM(Tabla1[[#This Row],[C.HORA.35]],Tabla1[[#This Row],[C.HORA.25]])</f>
        <v>0</v>
      </c>
      <c r="Y238" s="4"/>
      <c r="Z238" s="10">
        <f>Tabla1[[#This Row],[T.HORAS]]*24</f>
        <v>0</v>
      </c>
      <c r="AA238" s="4">
        <f>Tabla1[[#This Row],[H.NORMALES]]*24</f>
        <v>0</v>
      </c>
      <c r="AB238" s="10">
        <f>Tabla1[[#This Row],[H.EXTRAS]]*24</f>
        <v>0</v>
      </c>
      <c r="AC238" s="105">
        <f t="shared" si="12"/>
        <v>0</v>
      </c>
      <c r="AD238" s="120">
        <f>Tabla1[[#This Row],[COS.BASE 2]]/8</f>
        <v>0</v>
      </c>
      <c r="AE238" s="105">
        <f>Tabla1[[#This Row],[CST_H_E]]+Tabla1[[#This Row],[COS.BASE 2]]</f>
        <v>0</v>
      </c>
      <c r="AF238" s="106">
        <f>+_xlfn.IFNA(INDEX(RUBRO!$W$2:$AA$732,MATCH(Tabla1[[#This Row],[FECHA ]],RUBRO!$W$2:$W$732,0),5)," ")</f>
        <v>0</v>
      </c>
      <c r="AG238" s="10">
        <f>+_xlfn.IFNA(INDEX(RUBRO!$W$2:$AA$732,MATCH(Tabla1[[#This Row],[FECHA ]],RUBRO!$W$2:$W$732,0),2)," ")</f>
        <v>0</v>
      </c>
      <c r="AH238" s="40">
        <f>IFERROR(Tabla1[[#This Row],[F]]*Tabla1[[#This Row],[COS.B+E]]," ")</f>
        <v>0</v>
      </c>
      <c r="AI238" s="40">
        <f>IFERROR(Tabla1[[#This Row],[COS.B+E]]*Tabla1[[#This Row],[D]]," ")</f>
        <v>0</v>
      </c>
      <c r="AJ238" s="40" t="str">
        <f>IFERROR(Tabla1[[#This Row],[F]]*#REF!," ")</f>
        <v xml:space="preserve"> </v>
      </c>
      <c r="AK238" s="40" t="str">
        <f>IFERROR(#REF!*Tabla1[[#This Row],[D]]," ")</f>
        <v xml:space="preserve"> </v>
      </c>
      <c r="AL238" s="103"/>
      <c r="AM238" s="103"/>
      <c r="AN238" s="103"/>
      <c r="AO238" s="38">
        <f>+Tabla1[[#This Row],[COS.B+E]]+Tabla1[[#This Row],[COS.F1]]+Tabla1[[#This Row],[COS.D1]]+Tabla1[[#This Row],[ALIMENTACION]]+Tabla1[[#This Row],[PRESTAMO]]+AN238</f>
        <v>0</v>
      </c>
      <c r="AP238" s="38" t="e">
        <f>+#REF!+Tabla1[[#This Row],[COS F2]]+Tabla1[[#This Row],[COS D2]]+Tabla1[[#This Row],[ALIMENTACION]]+Tabla1[[#This Row],[PRESTAMO]]+Tabla1[[#This Row],[PASAJES]]</f>
        <v>#REF!</v>
      </c>
    </row>
    <row r="239" spans="1:44" x14ac:dyDescent="0.25">
      <c r="A239" s="2" t="str">
        <f>TEXT(Tabla1[[#This Row],[FECHA ]],"DDDDD")</f>
        <v>martes</v>
      </c>
      <c r="B239" s="2" t="str">
        <f>_xlfn.IFNA(VLOOKUP(Tabla1[[#This Row],[DESTINO]],RUBRO!$Q$1:$R$9996,2,FALSE)," ")</f>
        <v>OBRA</v>
      </c>
      <c r="C239" s="104">
        <f>WEEKNUM(Tabla1[[#This Row],[FECHA ]],2)</f>
        <v>20</v>
      </c>
      <c r="D239" s="104" t="str">
        <f>TEXT(Tabla1[[#This Row],[FECHA ]],"MMM-YY")</f>
        <v>may-YY</v>
      </c>
      <c r="E239" s="104" t="str">
        <f>VLOOKUP(Tabla1[[#This Row],[DNI ]],RUBRO!$F$1:$O$9996,7,FALSE)</f>
        <v>5ta</v>
      </c>
      <c r="F239" s="104" t="str">
        <f>VLOOKUP(Tabla1[[#This Row],[DNI ]],RUBRO!$F$1:$O$88,3,FALSE)</f>
        <v>MEC-04</v>
      </c>
      <c r="G239" s="104" t="str">
        <f>VLOOKUP(Tabla1[[#This Row],[DNI ]],RUBRO!$F$1:$O$9996,5,FALSE)</f>
        <v>MECANICO MONTAJISTA DE MAQUINARIA EXTRANJERA</v>
      </c>
      <c r="H239" s="66" t="str">
        <f>VLOOKUP(Tabla1[[#This Row],[DNI ]],RUBRO!$F$1:$O$9996,6,FALSE)</f>
        <v>BUSTAMANTE GONZALES CARLOS</v>
      </c>
      <c r="I239" s="94">
        <v>44327</v>
      </c>
      <c r="J239" s="10">
        <v>2</v>
      </c>
      <c r="K239" s="2">
        <v>27291529</v>
      </c>
      <c r="L239" s="4">
        <f>VLOOKUP(Tabla1[[#This Row],[DNI ]],RUBRO!$F$2:$O$9996,8,FALSE)</f>
        <v>72.540000000000006</v>
      </c>
      <c r="M239" s="88">
        <v>0.29166666666666669</v>
      </c>
      <c r="N239" s="28">
        <v>0.54166666666666663</v>
      </c>
      <c r="O239" s="28">
        <v>0.58333333333333337</v>
      </c>
      <c r="P239" s="28">
        <v>0.79166666666666663</v>
      </c>
      <c r="Q239" s="31">
        <f>(Tabla1[[#This Row],[SALIDA]]-Tabla1[[#This Row],[FIN ]])+(Tabla1[[#This Row],[INICIO]]-Tabla1[[#This Row],[INGRESO]])</f>
        <v>0.4583333333333332</v>
      </c>
      <c r="R239" s="13">
        <f t="shared" si="9"/>
        <v>0.33333333333333331</v>
      </c>
      <c r="S239" s="31">
        <f t="shared" si="10"/>
        <v>0.12499999999999989</v>
      </c>
      <c r="T239" s="136"/>
      <c r="U239" s="136"/>
      <c r="V239" s="137">
        <f>(Tabla1[[#This Row],[COS.BASE 3]]*0.25+Tabla1[[#This Row],[COS.BASE 3]])*Tabla1[[#This Row],[HORAS 25 % ]]</f>
        <v>0</v>
      </c>
      <c r="W239" s="138">
        <f>(Tabla1[[#This Row],[COS.BASE 3]]*0.35+Tabla1[[#This Row],[COS.BASE 3]])*Tabla1[[#This Row],[HORAS 35% ]]</f>
        <v>0</v>
      </c>
      <c r="X239" s="138">
        <f>SUM(Tabla1[[#This Row],[C.HORA.35]],Tabla1[[#This Row],[C.HORA.25]])</f>
        <v>0</v>
      </c>
      <c r="Y239" s="4"/>
      <c r="Z239" s="10">
        <f>Tabla1[[#This Row],[T.HORAS]]*24</f>
        <v>10.999999999999996</v>
      </c>
      <c r="AA239" s="4">
        <f>Tabla1[[#This Row],[H.NORMALES]]*24</f>
        <v>8</v>
      </c>
      <c r="AB239" s="10">
        <f>Tabla1[[#This Row],[H.EXTRAS]]*24</f>
        <v>2.9999999999999973</v>
      </c>
      <c r="AC239" s="105">
        <f t="shared" si="12"/>
        <v>72.540000000000006</v>
      </c>
      <c r="AD239" s="120">
        <f>Tabla1[[#This Row],[COS.BASE 2]]/8</f>
        <v>9.0675000000000008</v>
      </c>
      <c r="AE239" s="105">
        <f>Tabla1[[#This Row],[CST_H_E]]+Tabla1[[#This Row],[COS.BASE 2]]</f>
        <v>72.540000000000006</v>
      </c>
      <c r="AF239" s="106">
        <f>+_xlfn.IFNA(INDEX(RUBRO!$W$2:$AA$732,MATCH(Tabla1[[#This Row],[FECHA ]],RUBRO!$W$2:$W$732,0),5)," ")</f>
        <v>0</v>
      </c>
      <c r="AG239" s="10">
        <f>+_xlfn.IFNA(INDEX(RUBRO!$W$2:$AA$732,MATCH(Tabla1[[#This Row],[FECHA ]],RUBRO!$W$2:$W$732,0),2)," ")</f>
        <v>0</v>
      </c>
      <c r="AH239" s="40">
        <f>IFERROR(Tabla1[[#This Row],[F]]*Tabla1[[#This Row],[COS.B+E]]," ")</f>
        <v>0</v>
      </c>
      <c r="AI239" s="40">
        <f>IFERROR(Tabla1[[#This Row],[COS.B+E]]*Tabla1[[#This Row],[D]]," ")</f>
        <v>0</v>
      </c>
      <c r="AJ239" s="40" t="str">
        <f>IFERROR(Tabla1[[#This Row],[F]]*#REF!," ")</f>
        <v xml:space="preserve"> </v>
      </c>
      <c r="AK239" s="40" t="str">
        <f>IFERROR(#REF!*Tabla1[[#This Row],[D]]," ")</f>
        <v xml:space="preserve"> </v>
      </c>
      <c r="AL239" s="103"/>
      <c r="AM239" s="103"/>
      <c r="AN239" s="103"/>
      <c r="AO239" s="38">
        <f>+Tabla1[[#This Row],[COS.B+E]]+Tabla1[[#This Row],[COS.F1]]+Tabla1[[#This Row],[COS.D1]]+Tabla1[[#This Row],[ALIMENTACION]]+Tabla1[[#This Row],[PRESTAMO]]+AN239</f>
        <v>72.540000000000006</v>
      </c>
      <c r="AP239" s="38" t="e">
        <f>+#REF!+Tabla1[[#This Row],[COS F2]]+Tabla1[[#This Row],[COS D2]]+Tabla1[[#This Row],[ALIMENTACION]]+Tabla1[[#This Row],[PRESTAMO]]+Tabla1[[#This Row],[PASAJES]]</f>
        <v>#REF!</v>
      </c>
    </row>
    <row r="240" spans="1:44" x14ac:dyDescent="0.25">
      <c r="A240" s="2" t="str">
        <f>TEXT(Tabla1[[#This Row],[FECHA ]],"DDDDD")</f>
        <v>martes</v>
      </c>
      <c r="B240" s="2" t="str">
        <f>_xlfn.IFNA(VLOOKUP(Tabla1[[#This Row],[DESTINO]],RUBRO!$Q$1:$R$9996,2,FALSE)," ")</f>
        <v>PLANTA</v>
      </c>
      <c r="C240" s="104">
        <f>WEEKNUM(Tabla1[[#This Row],[FECHA ]],2)</f>
        <v>20</v>
      </c>
      <c r="D240" s="104" t="str">
        <f>TEXT(Tabla1[[#This Row],[FECHA ]],"MMM-YY")</f>
        <v>may-YY</v>
      </c>
      <c r="E240" s="104" t="str">
        <f>VLOOKUP(Tabla1[[#This Row],[DNI ]],RUBRO!$F$1:$O$9996,7,FALSE)</f>
        <v>5ta</v>
      </c>
      <c r="F240" s="104" t="str">
        <f>VLOOKUP(Tabla1[[#This Row],[DNI ]],RUBRO!$F$1:$O$88,3,FALSE)</f>
        <v>TECMN-03</v>
      </c>
      <c r="G240" s="104" t="str">
        <f>VLOOKUP(Tabla1[[#This Row],[DNI ]],RUBRO!$F$1:$O$9996,5,FALSE)</f>
        <v>TECNICO ELECTRICO MONTAJISTA DE MAQUINARIA</v>
      </c>
      <c r="H240" s="66" t="str">
        <f>VLOOKUP(Tabla1[[#This Row],[DNI ]],RUBRO!$F$1:$O$9996,6,FALSE)</f>
        <v>CAMIZAN CUNIAS LENDER NEYDEN</v>
      </c>
      <c r="I240" s="94">
        <v>44327</v>
      </c>
      <c r="J240" s="10">
        <v>1</v>
      </c>
      <c r="K240" s="2">
        <v>47711616</v>
      </c>
      <c r="L240" s="4">
        <f>VLOOKUP(Tabla1[[#This Row],[DNI ]],RUBRO!$F$2:$O$9996,8,FALSE)</f>
        <v>47.73</v>
      </c>
      <c r="M240" s="88">
        <v>0.29166666666666669</v>
      </c>
      <c r="N240" s="28">
        <v>0.54166666666666663</v>
      </c>
      <c r="O240" s="28">
        <v>0.58333333333333337</v>
      </c>
      <c r="P240" s="28">
        <v>0.75</v>
      </c>
      <c r="Q240" s="31">
        <f>(Tabla1[[#This Row],[SALIDA]]-Tabla1[[#This Row],[FIN ]])+(Tabla1[[#This Row],[INICIO]]-Tabla1[[#This Row],[INGRESO]])</f>
        <v>0.41666666666666657</v>
      </c>
      <c r="R240" s="13">
        <f t="shared" si="9"/>
        <v>0.375</v>
      </c>
      <c r="S240" s="31">
        <f t="shared" si="10"/>
        <v>4.1666666666666574E-2</v>
      </c>
      <c r="T240" s="136"/>
      <c r="U240" s="136"/>
      <c r="V240" s="137">
        <f>(Tabla1[[#This Row],[COS.BASE 3]]*0.25+Tabla1[[#This Row],[COS.BASE 3]])*Tabla1[[#This Row],[HORAS 25 % ]]</f>
        <v>0</v>
      </c>
      <c r="W240" s="138">
        <f>(Tabla1[[#This Row],[COS.BASE 3]]*0.35+Tabla1[[#This Row],[COS.BASE 3]])*Tabla1[[#This Row],[HORAS 35% ]]</f>
        <v>0</v>
      </c>
      <c r="X240" s="138">
        <f>SUM(Tabla1[[#This Row],[C.HORA.35]],Tabla1[[#This Row],[C.HORA.25]])</f>
        <v>0</v>
      </c>
      <c r="Y240" s="4"/>
      <c r="Z240" s="10">
        <f>Tabla1[[#This Row],[T.HORAS]]*24</f>
        <v>9.9999999999999982</v>
      </c>
      <c r="AA240" s="4">
        <f>Tabla1[[#This Row],[H.NORMALES]]*24</f>
        <v>9</v>
      </c>
      <c r="AB240" s="10">
        <f>Tabla1[[#This Row],[H.EXTRAS]]*24</f>
        <v>0.99999999999999778</v>
      </c>
      <c r="AC240" s="105">
        <f t="shared" si="12"/>
        <v>47.73</v>
      </c>
      <c r="AD240" s="120">
        <f>Tabla1[[#This Row],[COS.BASE 2]]/8</f>
        <v>5.9662499999999996</v>
      </c>
      <c r="AE240" s="105">
        <f>Tabla1[[#This Row],[CST_H_E]]+Tabla1[[#This Row],[COS.BASE 2]]</f>
        <v>47.73</v>
      </c>
      <c r="AF240" s="106">
        <f>+_xlfn.IFNA(INDEX(RUBRO!$W$2:$AA$732,MATCH(Tabla1[[#This Row],[FECHA ]],RUBRO!$W$2:$W$732,0),5)," ")</f>
        <v>0</v>
      </c>
      <c r="AG240" s="10">
        <f>+_xlfn.IFNA(INDEX(RUBRO!$W$2:$AA$732,MATCH(Tabla1[[#This Row],[FECHA ]],RUBRO!$W$2:$W$732,0),2)," ")</f>
        <v>0</v>
      </c>
      <c r="AH240" s="40">
        <f>IFERROR(Tabla1[[#This Row],[F]]*Tabla1[[#This Row],[COS.B+E]]," ")</f>
        <v>0</v>
      </c>
      <c r="AI240" s="40">
        <f>IFERROR(Tabla1[[#This Row],[COS.B+E]]*Tabla1[[#This Row],[D]]," ")</f>
        <v>0</v>
      </c>
      <c r="AJ240" s="40" t="str">
        <f>IFERROR(Tabla1[[#This Row],[F]]*#REF!," ")</f>
        <v xml:space="preserve"> </v>
      </c>
      <c r="AK240" s="40" t="str">
        <f>IFERROR(#REF!*Tabla1[[#This Row],[D]]," ")</f>
        <v xml:space="preserve"> </v>
      </c>
      <c r="AL240" s="103"/>
      <c r="AM240" s="103"/>
      <c r="AN240" s="103"/>
      <c r="AO240" s="38">
        <f>+Tabla1[[#This Row],[COS.B+E]]+Tabla1[[#This Row],[COS.F1]]+Tabla1[[#This Row],[COS.D1]]+Tabla1[[#This Row],[ALIMENTACION]]+Tabla1[[#This Row],[PRESTAMO]]+AN240</f>
        <v>47.73</v>
      </c>
      <c r="AP240" s="38" t="e">
        <f>+#REF!+Tabla1[[#This Row],[COS F2]]+Tabla1[[#This Row],[COS D2]]+Tabla1[[#This Row],[ALIMENTACION]]+Tabla1[[#This Row],[PRESTAMO]]+Tabla1[[#This Row],[PASAJES]]</f>
        <v>#REF!</v>
      </c>
    </row>
    <row r="241" spans="1:42" x14ac:dyDescent="0.25">
      <c r="A241" s="2" t="str">
        <f>TEXT(Tabla1[[#This Row],[FECHA ]],"DDDDD")</f>
        <v>martes</v>
      </c>
      <c r="B241" s="2" t="str">
        <f>_xlfn.IFNA(VLOOKUP(Tabla1[[#This Row],[DESTINO]],RUBRO!$Q$1:$R$9996,2,FALSE)," ")</f>
        <v>OBRA</v>
      </c>
      <c r="C241" s="104">
        <f>WEEKNUM(Tabla1[[#This Row],[FECHA ]],2)</f>
        <v>20</v>
      </c>
      <c r="D241" s="104" t="str">
        <f>TEXT(Tabla1[[#This Row],[FECHA ]],"MMM-YY")</f>
        <v>may-YY</v>
      </c>
      <c r="E241" s="104" t="str">
        <f>VLOOKUP(Tabla1[[#This Row],[DNI ]],RUBRO!$F$1:$O$9996,7,FALSE)</f>
        <v>5ta</v>
      </c>
      <c r="F241" s="104" t="str">
        <f>VLOOKUP(Tabla1[[#This Row],[DNI ]],RUBRO!$F$1:$O$88,3,FALSE)</f>
        <v>TEC-05</v>
      </c>
      <c r="G241" s="104" t="str">
        <f>VLOOKUP(Tabla1[[#This Row],[DNI ]],RUBRO!$F$1:$O$9996,5,FALSE)</f>
        <v>TECNICO MECANICO MONTAJISTA DE NAVE INDUSTRIAL</v>
      </c>
      <c r="H241" s="66" t="str">
        <f>VLOOKUP(Tabla1[[#This Row],[DNI ]],RUBRO!$F$1:$O$9996,6,FALSE)</f>
        <v>CAVERO ANCAJIMA JHONATAN</v>
      </c>
      <c r="I241" s="94">
        <v>44327</v>
      </c>
      <c r="J241" s="10">
        <v>2</v>
      </c>
      <c r="K241" s="2">
        <v>48237026</v>
      </c>
      <c r="L241" s="4">
        <f>VLOOKUP(Tabla1[[#This Row],[DNI ]],RUBRO!$F$2:$O$9996,8,FALSE)</f>
        <v>52.2</v>
      </c>
      <c r="M241" s="88">
        <v>0.29166666666666669</v>
      </c>
      <c r="N241" s="28">
        <v>0.54166666666666663</v>
      </c>
      <c r="O241" s="28">
        <v>0.58333333333333337</v>
      </c>
      <c r="P241" s="28">
        <v>0.75</v>
      </c>
      <c r="Q241" s="31">
        <f>(Tabla1[[#This Row],[SALIDA]]-Tabla1[[#This Row],[FIN ]])+(Tabla1[[#This Row],[INICIO]]-Tabla1[[#This Row],[INGRESO]])</f>
        <v>0.41666666666666657</v>
      </c>
      <c r="R241" s="13">
        <f t="shared" si="9"/>
        <v>0.33333333333333331</v>
      </c>
      <c r="S241" s="31">
        <f t="shared" si="10"/>
        <v>8.3333333333333259E-2</v>
      </c>
      <c r="T241" s="136"/>
      <c r="U241" s="136"/>
      <c r="V241" s="137">
        <f>(Tabla1[[#This Row],[COS.BASE 3]]*0.25+Tabla1[[#This Row],[COS.BASE 3]])*Tabla1[[#This Row],[HORAS 25 % ]]</f>
        <v>0</v>
      </c>
      <c r="W241" s="138">
        <f>(Tabla1[[#This Row],[COS.BASE 3]]*0.35+Tabla1[[#This Row],[COS.BASE 3]])*Tabla1[[#This Row],[HORAS 35% ]]</f>
        <v>0</v>
      </c>
      <c r="X241" s="138">
        <f>SUM(Tabla1[[#This Row],[C.HORA.35]],Tabla1[[#This Row],[C.HORA.25]])</f>
        <v>0</v>
      </c>
      <c r="Y241" s="4"/>
      <c r="Z241" s="10">
        <f>Tabla1[[#This Row],[T.HORAS]]*24</f>
        <v>9.9999999999999982</v>
      </c>
      <c r="AA241" s="4">
        <f>Tabla1[[#This Row],[H.NORMALES]]*24</f>
        <v>8</v>
      </c>
      <c r="AB241" s="10">
        <f>Tabla1[[#This Row],[H.EXTRAS]]*24</f>
        <v>1.9999999999999982</v>
      </c>
      <c r="AC241" s="105">
        <f t="shared" si="12"/>
        <v>52.2</v>
      </c>
      <c r="AD241" s="120">
        <f>Tabla1[[#This Row],[COS.BASE 2]]/8</f>
        <v>6.5250000000000004</v>
      </c>
      <c r="AE241" s="105">
        <f>Tabla1[[#This Row],[CST_H_E]]+Tabla1[[#This Row],[COS.BASE 2]]</f>
        <v>52.2</v>
      </c>
      <c r="AF241" s="106">
        <f>+_xlfn.IFNA(INDEX(RUBRO!$W$2:$AA$732,MATCH(Tabla1[[#This Row],[FECHA ]],RUBRO!$W$2:$W$732,0),5)," ")</f>
        <v>0</v>
      </c>
      <c r="AG241" s="10">
        <f>+_xlfn.IFNA(INDEX(RUBRO!$W$2:$AA$732,MATCH(Tabla1[[#This Row],[FECHA ]],RUBRO!$W$2:$W$732,0),2)," ")</f>
        <v>0</v>
      </c>
      <c r="AH241" s="40">
        <f>IFERROR(Tabla1[[#This Row],[F]]*Tabla1[[#This Row],[COS.B+E]]," ")</f>
        <v>0</v>
      </c>
      <c r="AI241" s="40">
        <f>IFERROR(Tabla1[[#This Row],[COS.B+E]]*Tabla1[[#This Row],[D]]," ")</f>
        <v>0</v>
      </c>
      <c r="AJ241" s="40" t="str">
        <f>IFERROR(Tabla1[[#This Row],[F]]*#REF!," ")</f>
        <v xml:space="preserve"> </v>
      </c>
      <c r="AK241" s="40" t="str">
        <f>IFERROR(#REF!*Tabla1[[#This Row],[D]]," ")</f>
        <v xml:space="preserve"> </v>
      </c>
      <c r="AL241" s="103"/>
      <c r="AM241" s="103"/>
      <c r="AN241" s="103"/>
      <c r="AO241" s="38">
        <f>+Tabla1[[#This Row],[COS.B+E]]+Tabla1[[#This Row],[COS.F1]]+Tabla1[[#This Row],[COS.D1]]+Tabla1[[#This Row],[ALIMENTACION]]+Tabla1[[#This Row],[PRESTAMO]]+AN241</f>
        <v>52.2</v>
      </c>
      <c r="AP241" s="38" t="e">
        <f>+#REF!+Tabla1[[#This Row],[COS F2]]+Tabla1[[#This Row],[COS D2]]+Tabla1[[#This Row],[ALIMENTACION]]+Tabla1[[#This Row],[PRESTAMO]]+Tabla1[[#This Row],[PASAJES]]</f>
        <v>#REF!</v>
      </c>
    </row>
    <row r="242" spans="1:42" x14ac:dyDescent="0.25">
      <c r="A242" s="2" t="str">
        <f>TEXT(Tabla1[[#This Row],[FECHA ]],"DDDDD")</f>
        <v>martes</v>
      </c>
      <c r="B242" s="2" t="str">
        <f>_xlfn.IFNA(VLOOKUP(Tabla1[[#This Row],[DESTINO]],RUBRO!$Q$1:$R$9996,2,FALSE)," ")</f>
        <v>OBRA</v>
      </c>
      <c r="C242" s="104">
        <f>WEEKNUM(Tabla1[[#This Row],[FECHA ]],2)</f>
        <v>20</v>
      </c>
      <c r="D242" s="104" t="str">
        <f>TEXT(Tabla1[[#This Row],[FECHA ]],"MMM-YY")</f>
        <v>may-YY</v>
      </c>
      <c r="E242" s="104" t="str">
        <f>VLOOKUP(Tabla1[[#This Row],[DNI ]],RUBRO!$F$1:$O$9996,7,FALSE)</f>
        <v>5ta</v>
      </c>
      <c r="F242" s="104" t="str">
        <f>VLOOKUP(Tabla1[[#This Row],[DNI ]],RUBRO!$F$1:$O$88,3,FALSE)</f>
        <v>TECME-03</v>
      </c>
      <c r="G242" s="104" t="str">
        <f>VLOOKUP(Tabla1[[#This Row],[DNI ]],RUBRO!$F$1:$O$9996,5,FALSE)</f>
        <v>TECNICO ELECTRICO MONTAJISTA DE MAQUINARIA EXTRANJERA</v>
      </c>
      <c r="H242" s="66" t="str">
        <f>VLOOKUP(Tabla1[[#This Row],[DNI ]],RUBRO!$F$1:$O$9996,6,FALSE)</f>
        <v>CHAQUILA JIMENEZ VICTOR JHEYNER</v>
      </c>
      <c r="I242" s="94">
        <v>44327</v>
      </c>
      <c r="J242" s="10">
        <v>2</v>
      </c>
      <c r="K242" s="2">
        <v>47055982</v>
      </c>
      <c r="L242" s="4">
        <f>VLOOKUP(Tabla1[[#This Row],[DNI ]],RUBRO!$F$2:$O$9996,8,FALSE)</f>
        <v>73.72</v>
      </c>
      <c r="M242" s="88">
        <v>0.875</v>
      </c>
      <c r="N242" s="28"/>
      <c r="P242" s="28">
        <v>0.99930555555555556</v>
      </c>
      <c r="Q242" s="31">
        <f>(Tabla1[[#This Row],[SALIDA]]-Tabla1[[#This Row],[FIN ]])+(Tabla1[[#This Row],[INICIO]]-Tabla1[[#This Row],[INGRESO]])</f>
        <v>0.12430555555555556</v>
      </c>
      <c r="R242" s="13">
        <f t="shared" si="9"/>
        <v>0.12430555555555556</v>
      </c>
      <c r="S242" s="31">
        <f t="shared" si="10"/>
        <v>0</v>
      </c>
      <c r="T242" s="136"/>
      <c r="U242" s="136"/>
      <c r="V242" s="137">
        <f>(Tabla1[[#This Row],[COS.BASE 3]]*0.25+Tabla1[[#This Row],[COS.BASE 3]])*Tabla1[[#This Row],[HORAS 25 % ]]</f>
        <v>0</v>
      </c>
      <c r="W242" s="138">
        <f>(Tabla1[[#This Row],[COS.BASE 3]]*0.35+Tabla1[[#This Row],[COS.BASE 3]])*Tabla1[[#This Row],[HORAS 35% ]]</f>
        <v>0</v>
      </c>
      <c r="X242" s="138">
        <f>SUM(Tabla1[[#This Row],[C.HORA.35]],Tabla1[[#This Row],[C.HORA.25]])</f>
        <v>0</v>
      </c>
      <c r="Y242" s="4"/>
      <c r="Z242" s="10">
        <f>Tabla1[[#This Row],[T.HORAS]]*24</f>
        <v>2.9833333333333334</v>
      </c>
      <c r="AA242" s="4">
        <f>Tabla1[[#This Row],[H.NORMALES]]*24</f>
        <v>2.9833333333333334</v>
      </c>
      <c r="AB242" s="10">
        <f>Tabla1[[#This Row],[H.EXTRAS]]*24</f>
        <v>0</v>
      </c>
      <c r="AC242" s="105">
        <f t="shared" si="12"/>
        <v>27.491416666666666</v>
      </c>
      <c r="AD242" s="120">
        <f>Tabla1[[#This Row],[COS.BASE 2]]/8</f>
        <v>3.4364270833333332</v>
      </c>
      <c r="AE242" s="105">
        <f>Tabla1[[#This Row],[CST_H_E]]+Tabla1[[#This Row],[COS.BASE 2]]</f>
        <v>27.491416666666666</v>
      </c>
      <c r="AF242" s="106">
        <f>+_xlfn.IFNA(INDEX(RUBRO!$W$2:$AA$732,MATCH(Tabla1[[#This Row],[FECHA ]],RUBRO!$W$2:$W$732,0),5)," ")</f>
        <v>0</v>
      </c>
      <c r="AG242" s="10">
        <f>+_xlfn.IFNA(INDEX(RUBRO!$W$2:$AA$732,MATCH(Tabla1[[#This Row],[FECHA ]],RUBRO!$W$2:$W$732,0),2)," ")</f>
        <v>0</v>
      </c>
      <c r="AH242" s="40">
        <f>IFERROR(Tabla1[[#This Row],[F]]*Tabla1[[#This Row],[COS.B+E]]," ")</f>
        <v>0</v>
      </c>
      <c r="AI242" s="40">
        <f>IFERROR(Tabla1[[#This Row],[COS.B+E]]*Tabla1[[#This Row],[D]]," ")</f>
        <v>0</v>
      </c>
      <c r="AJ242" s="40" t="str">
        <f>IFERROR(Tabla1[[#This Row],[F]]*#REF!," ")</f>
        <v xml:space="preserve"> </v>
      </c>
      <c r="AK242" s="40" t="str">
        <f>IFERROR(#REF!*Tabla1[[#This Row],[D]]," ")</f>
        <v xml:space="preserve"> </v>
      </c>
      <c r="AL242" s="103"/>
      <c r="AM242" s="103"/>
      <c r="AN242" s="103"/>
      <c r="AO242" s="38">
        <f>+Tabla1[[#This Row],[COS.B+E]]+Tabla1[[#This Row],[COS.F1]]+Tabla1[[#This Row],[COS.D1]]+Tabla1[[#This Row],[ALIMENTACION]]+Tabla1[[#This Row],[PRESTAMO]]+AN242</f>
        <v>27.491416666666666</v>
      </c>
      <c r="AP242" s="38" t="e">
        <f>+#REF!+Tabla1[[#This Row],[COS F2]]+Tabla1[[#This Row],[COS D2]]+Tabla1[[#This Row],[ALIMENTACION]]+Tabla1[[#This Row],[PRESTAMO]]+Tabla1[[#This Row],[PASAJES]]</f>
        <v>#REF!</v>
      </c>
    </row>
    <row r="243" spans="1:42" x14ac:dyDescent="0.25">
      <c r="A243" s="2" t="str">
        <f>TEXT(Tabla1[[#This Row],[FECHA ]],"DDDDD")</f>
        <v>martes</v>
      </c>
      <c r="B243" s="2" t="str">
        <f>_xlfn.IFNA(VLOOKUP(Tabla1[[#This Row],[DESTINO]],RUBRO!$Q$1:$R$9996,2,FALSE)," ")</f>
        <v>OBRA</v>
      </c>
      <c r="C243" s="104">
        <f>WEEKNUM(Tabla1[[#This Row],[FECHA ]],2)</f>
        <v>20</v>
      </c>
      <c r="D243" s="104" t="str">
        <f>TEXT(Tabla1[[#This Row],[FECHA ]],"MMM-YY")</f>
        <v>may-YY</v>
      </c>
      <c r="E243" s="104" t="str">
        <f>VLOOKUP(Tabla1[[#This Row],[DNI ]],RUBRO!$F$1:$O$9996,7,FALSE)</f>
        <v>5ta</v>
      </c>
      <c r="F243" s="104" t="e">
        <f>VLOOKUP(Tabla1[[#This Row],[DNI ]],RUBRO!$F$1:$O$88,3,FALSE)</f>
        <v>#N/A</v>
      </c>
      <c r="G243" s="104" t="str">
        <f>VLOOKUP(Tabla1[[#This Row],[DNI ]],RUBRO!$F$1:$O$9996,5,FALSE)</f>
        <v>AYUDANTE DE PRODUCCION</v>
      </c>
      <c r="H243" s="66" t="str">
        <f>VLOOKUP(Tabla1[[#This Row],[DNI ]],RUBRO!$F$1:$O$9996,6,FALSE)</f>
        <v>COPIA BALDERA NILSON</v>
      </c>
      <c r="I243" s="94">
        <v>44327</v>
      </c>
      <c r="J243" s="10">
        <v>2</v>
      </c>
      <c r="K243" s="2">
        <v>48359730</v>
      </c>
      <c r="L243" s="4">
        <f>VLOOKUP(Tabla1[[#This Row],[DNI ]],RUBRO!$F$2:$O$9996,8,FALSE)</f>
        <v>55</v>
      </c>
      <c r="M243" s="88">
        <v>0.29166666666666669</v>
      </c>
      <c r="N243" s="28">
        <v>0.54166666666666663</v>
      </c>
      <c r="O243" s="28">
        <v>0.58333333333333337</v>
      </c>
      <c r="P243" s="28">
        <v>0.75</v>
      </c>
      <c r="Q243" s="31">
        <f>(Tabla1[[#This Row],[SALIDA]]-Tabla1[[#This Row],[FIN ]])+(Tabla1[[#This Row],[INICIO]]-Tabla1[[#This Row],[INGRESO]])</f>
        <v>0.41666666666666657</v>
      </c>
      <c r="R243" s="13">
        <f t="shared" si="9"/>
        <v>0.33333333333333331</v>
      </c>
      <c r="S243" s="31">
        <f t="shared" si="10"/>
        <v>8.3333333333333259E-2</v>
      </c>
      <c r="T243" s="136"/>
      <c r="U243" s="136"/>
      <c r="V243" s="137">
        <f>(Tabla1[[#This Row],[COS.BASE 3]]*0.25+Tabla1[[#This Row],[COS.BASE 3]])*Tabla1[[#This Row],[HORAS 25 % ]]</f>
        <v>0</v>
      </c>
      <c r="W243" s="138">
        <f>(Tabla1[[#This Row],[COS.BASE 3]]*0.35+Tabla1[[#This Row],[COS.BASE 3]])*Tabla1[[#This Row],[HORAS 35% ]]</f>
        <v>0</v>
      </c>
      <c r="X243" s="138">
        <f>SUM(Tabla1[[#This Row],[C.HORA.35]],Tabla1[[#This Row],[C.HORA.25]])</f>
        <v>0</v>
      </c>
      <c r="Y243" s="4"/>
      <c r="Z243" s="10">
        <f>Tabla1[[#This Row],[T.HORAS]]*24</f>
        <v>9.9999999999999982</v>
      </c>
      <c r="AA243" s="4">
        <f>Tabla1[[#This Row],[H.NORMALES]]*24</f>
        <v>8</v>
      </c>
      <c r="AB243" s="10">
        <f>Tabla1[[#This Row],[H.EXTRAS]]*24</f>
        <v>1.9999999999999982</v>
      </c>
      <c r="AC243" s="105">
        <f t="shared" si="12"/>
        <v>55</v>
      </c>
      <c r="AD243" s="120">
        <f>Tabla1[[#This Row],[COS.BASE 2]]/8</f>
        <v>6.875</v>
      </c>
      <c r="AE243" s="105">
        <f>Tabla1[[#This Row],[CST_H_E]]+Tabla1[[#This Row],[COS.BASE 2]]</f>
        <v>55</v>
      </c>
      <c r="AF243" s="106">
        <f>+_xlfn.IFNA(INDEX(RUBRO!$W$2:$AA$732,MATCH(Tabla1[[#This Row],[FECHA ]],RUBRO!$W$2:$W$732,0),5)," ")</f>
        <v>0</v>
      </c>
      <c r="AG243" s="10">
        <f>+_xlfn.IFNA(INDEX(RUBRO!$W$2:$AA$732,MATCH(Tabla1[[#This Row],[FECHA ]],RUBRO!$W$2:$W$732,0),2)," ")</f>
        <v>0</v>
      </c>
      <c r="AH243" s="40">
        <f>IFERROR(Tabla1[[#This Row],[F]]*Tabla1[[#This Row],[COS.B+E]]," ")</f>
        <v>0</v>
      </c>
      <c r="AI243" s="40">
        <f>IFERROR(Tabla1[[#This Row],[COS.B+E]]*Tabla1[[#This Row],[D]]," ")</f>
        <v>0</v>
      </c>
      <c r="AJ243" s="40" t="str">
        <f>IFERROR(Tabla1[[#This Row],[F]]*#REF!," ")</f>
        <v xml:space="preserve"> </v>
      </c>
      <c r="AK243" s="40" t="str">
        <f>IFERROR(#REF!*Tabla1[[#This Row],[D]]," ")</f>
        <v xml:space="preserve"> </v>
      </c>
      <c r="AL243" s="103"/>
      <c r="AM243" s="103"/>
      <c r="AN243" s="103"/>
      <c r="AO243" s="38">
        <f>+Tabla1[[#This Row],[COS.B+E]]+Tabla1[[#This Row],[COS.F1]]+Tabla1[[#This Row],[COS.D1]]+Tabla1[[#This Row],[ALIMENTACION]]+Tabla1[[#This Row],[PRESTAMO]]+AN243</f>
        <v>55</v>
      </c>
      <c r="AP243" s="38" t="e">
        <f>+#REF!+Tabla1[[#This Row],[COS F2]]+Tabla1[[#This Row],[COS D2]]+Tabla1[[#This Row],[ALIMENTACION]]+Tabla1[[#This Row],[PRESTAMO]]+Tabla1[[#This Row],[PASAJES]]</f>
        <v>#REF!</v>
      </c>
    </row>
    <row r="244" spans="1:42" x14ac:dyDescent="0.25">
      <c r="A244" s="2" t="str">
        <f>TEXT(Tabla1[[#This Row],[FECHA ]],"DDDDD")</f>
        <v>martes</v>
      </c>
      <c r="B244" s="2" t="str">
        <f>_xlfn.IFNA(VLOOKUP(Tabla1[[#This Row],[DESTINO]],RUBRO!$Q$1:$R$9996,2,FALSE)," ")</f>
        <v>PLANTA</v>
      </c>
      <c r="C244" s="104">
        <f>WEEKNUM(Tabla1[[#This Row],[FECHA ]],2)</f>
        <v>20</v>
      </c>
      <c r="D244" s="104" t="str">
        <f>TEXT(Tabla1[[#This Row],[FECHA ]],"MMM-YY")</f>
        <v>may-YY</v>
      </c>
      <c r="E244" s="104" t="str">
        <f>VLOOKUP(Tabla1[[#This Row],[DNI ]],RUBRO!$F$1:$O$9996,7,FALSE)</f>
        <v>5ta</v>
      </c>
      <c r="F244" s="104" t="str">
        <f>VLOOKUP(Tabla1[[#This Row],[DNI ]],RUBRO!$F$1:$O$88,3,FALSE)</f>
        <v>OPE-01</v>
      </c>
      <c r="G244" s="104" t="str">
        <f>VLOOKUP(Tabla1[[#This Row],[DNI ]],RUBRO!$F$1:$O$9996,5,FALSE)</f>
        <v>OPERARIO SOLDADOR</v>
      </c>
      <c r="H244" s="66" t="str">
        <f>VLOOKUP(Tabla1[[#This Row],[DNI ]],RUBRO!$F$1:$O$9996,6,FALSE)</f>
        <v>CORDOVA OJEDA JHON GIAMPIERRE</v>
      </c>
      <c r="I244" s="94">
        <v>44327</v>
      </c>
      <c r="J244" s="10">
        <v>1</v>
      </c>
      <c r="K244" s="2">
        <v>74359947</v>
      </c>
      <c r="L244" s="4">
        <f>VLOOKUP(Tabla1[[#This Row],[DNI ]],RUBRO!$F$2:$O$9996,8,FALSE)</f>
        <v>57.62</v>
      </c>
      <c r="M244" s="88">
        <v>0.29166666666666669</v>
      </c>
      <c r="N244" s="28">
        <v>0.54166666666666663</v>
      </c>
      <c r="O244" s="28">
        <v>0.58333333333333337</v>
      </c>
      <c r="P244" s="28">
        <v>0.79166666666666663</v>
      </c>
      <c r="Q244" s="31">
        <f>(Tabla1[[#This Row],[SALIDA]]-Tabla1[[#This Row],[FIN ]])+(Tabla1[[#This Row],[INICIO]]-Tabla1[[#This Row],[INGRESO]])</f>
        <v>0.4583333333333332</v>
      </c>
      <c r="R244" s="13">
        <f t="shared" si="9"/>
        <v>0.375</v>
      </c>
      <c r="S244" s="31">
        <f t="shared" si="10"/>
        <v>8.3333333333333204E-2</v>
      </c>
      <c r="T244" s="136"/>
      <c r="U244" s="136"/>
      <c r="V244" s="137">
        <f>(Tabla1[[#This Row],[COS.BASE 3]]*0.25+Tabla1[[#This Row],[COS.BASE 3]])*Tabla1[[#This Row],[HORAS 25 % ]]</f>
        <v>0</v>
      </c>
      <c r="W244" s="138">
        <f>(Tabla1[[#This Row],[COS.BASE 3]]*0.35+Tabla1[[#This Row],[COS.BASE 3]])*Tabla1[[#This Row],[HORAS 35% ]]</f>
        <v>0</v>
      </c>
      <c r="X244" s="138">
        <f>SUM(Tabla1[[#This Row],[C.HORA.35]],Tabla1[[#This Row],[C.HORA.25]])</f>
        <v>0</v>
      </c>
      <c r="Y244" s="4"/>
      <c r="Z244" s="10">
        <f>Tabla1[[#This Row],[T.HORAS]]*24</f>
        <v>10.999999999999996</v>
      </c>
      <c r="AA244" s="4">
        <f>Tabla1[[#This Row],[H.NORMALES]]*24</f>
        <v>9</v>
      </c>
      <c r="AB244" s="10">
        <f>Tabla1[[#This Row],[H.EXTRAS]]*24</f>
        <v>1.9999999999999969</v>
      </c>
      <c r="AC244" s="105">
        <f t="shared" si="12"/>
        <v>57.62</v>
      </c>
      <c r="AD244" s="120">
        <f>Tabla1[[#This Row],[COS.BASE 2]]/8</f>
        <v>7.2024999999999997</v>
      </c>
      <c r="AE244" s="105">
        <f>Tabla1[[#This Row],[CST_H_E]]+Tabla1[[#This Row],[COS.BASE 2]]</f>
        <v>57.62</v>
      </c>
      <c r="AF244" s="106">
        <f>+_xlfn.IFNA(INDEX(RUBRO!$W$2:$AA$732,MATCH(Tabla1[[#This Row],[FECHA ]],RUBRO!$W$2:$W$732,0),5)," ")</f>
        <v>0</v>
      </c>
      <c r="AG244" s="10">
        <f>+_xlfn.IFNA(INDEX(RUBRO!$W$2:$AA$732,MATCH(Tabla1[[#This Row],[FECHA ]],RUBRO!$W$2:$W$732,0),2)," ")</f>
        <v>0</v>
      </c>
      <c r="AH244" s="40">
        <f>IFERROR(Tabla1[[#This Row],[F]]*Tabla1[[#This Row],[COS.B+E]]," ")</f>
        <v>0</v>
      </c>
      <c r="AI244" s="40">
        <f>IFERROR(Tabla1[[#This Row],[COS.B+E]]*Tabla1[[#This Row],[D]]," ")</f>
        <v>0</v>
      </c>
      <c r="AJ244" s="40" t="str">
        <f>IFERROR(Tabla1[[#This Row],[F]]*#REF!," ")</f>
        <v xml:space="preserve"> </v>
      </c>
      <c r="AK244" s="40" t="str">
        <f>IFERROR(#REF!*Tabla1[[#This Row],[D]]," ")</f>
        <v xml:space="preserve"> </v>
      </c>
      <c r="AL244" s="103"/>
      <c r="AM244" s="103"/>
      <c r="AN244" s="103"/>
      <c r="AO244" s="38">
        <f>+Tabla1[[#This Row],[COS.B+E]]+Tabla1[[#This Row],[COS.F1]]+Tabla1[[#This Row],[COS.D1]]+Tabla1[[#This Row],[ALIMENTACION]]+Tabla1[[#This Row],[PRESTAMO]]+AN244</f>
        <v>57.62</v>
      </c>
      <c r="AP244" s="38" t="e">
        <f>+#REF!+Tabla1[[#This Row],[COS F2]]+Tabla1[[#This Row],[COS D2]]+Tabla1[[#This Row],[ALIMENTACION]]+Tabla1[[#This Row],[PRESTAMO]]+Tabla1[[#This Row],[PASAJES]]</f>
        <v>#REF!</v>
      </c>
    </row>
    <row r="245" spans="1:42" x14ac:dyDescent="0.25">
      <c r="A245" s="2" t="str">
        <f>TEXT(Tabla1[[#This Row],[FECHA ]],"DDDDD")</f>
        <v>martes</v>
      </c>
      <c r="B245" s="2" t="str">
        <f>_xlfn.IFNA(VLOOKUP(Tabla1[[#This Row],[DESTINO]],RUBRO!$Q$1:$R$9996,2,FALSE)," ")</f>
        <v>PLANTA</v>
      </c>
      <c r="C245" s="104">
        <f>WEEKNUM(Tabla1[[#This Row],[FECHA ]],2)</f>
        <v>20</v>
      </c>
      <c r="D245" s="104" t="str">
        <f>TEXT(Tabla1[[#This Row],[FECHA ]],"MMM-YY")</f>
        <v>may-YY</v>
      </c>
      <c r="E245" s="104" t="str">
        <f>VLOOKUP(Tabla1[[#This Row],[DNI ]],RUBRO!$F$1:$O$9996,7,FALSE)</f>
        <v>5ta</v>
      </c>
      <c r="F245" s="104" t="str">
        <f>VLOOKUP(Tabla1[[#This Row],[DNI ]],RUBRO!$F$1:$O$88,3,FALSE)</f>
        <v>TEC-02</v>
      </c>
      <c r="G245" s="104" t="str">
        <f>VLOOKUP(Tabla1[[#This Row],[DNI ]],RUBRO!$F$1:$O$9996,5,FALSE)</f>
        <v>TECNICO MECANICO MONTAJISTA DE MAQUINARIA</v>
      </c>
      <c r="H245" s="66" t="str">
        <f>VLOOKUP(Tabla1[[#This Row],[DNI ]],RUBRO!$F$1:$O$9996,6,FALSE)</f>
        <v>CORREA TORRES NOYLER</v>
      </c>
      <c r="I245" s="94">
        <v>44327</v>
      </c>
      <c r="J245" s="10">
        <v>1</v>
      </c>
      <c r="K245" s="2">
        <v>47321409</v>
      </c>
      <c r="L245" s="4">
        <f>VLOOKUP(Tabla1[[#This Row],[DNI ]],RUBRO!$F$2:$O$9996,8,FALSE)</f>
        <v>65</v>
      </c>
      <c r="M245" s="88">
        <v>0.29166666666666669</v>
      </c>
      <c r="N245" s="28">
        <v>0.54166666666666663</v>
      </c>
      <c r="O245" s="28">
        <v>0.58333333333333337</v>
      </c>
      <c r="P245" s="28">
        <v>0.75</v>
      </c>
      <c r="Q245" s="31">
        <f>(Tabla1[[#This Row],[SALIDA]]-Tabla1[[#This Row],[FIN ]])+(Tabla1[[#This Row],[INICIO]]-Tabla1[[#This Row],[INGRESO]])</f>
        <v>0.41666666666666657</v>
      </c>
      <c r="R245" s="13">
        <f t="shared" si="9"/>
        <v>0.375</v>
      </c>
      <c r="S245" s="31">
        <f t="shared" si="10"/>
        <v>4.1666666666666574E-2</v>
      </c>
      <c r="T245" s="136"/>
      <c r="U245" s="136"/>
      <c r="V245" s="137">
        <f>(Tabla1[[#This Row],[COS.BASE 3]]*0.25+Tabla1[[#This Row],[COS.BASE 3]])*Tabla1[[#This Row],[HORAS 25 % ]]</f>
        <v>0</v>
      </c>
      <c r="W245" s="138">
        <f>(Tabla1[[#This Row],[COS.BASE 3]]*0.35+Tabla1[[#This Row],[COS.BASE 3]])*Tabla1[[#This Row],[HORAS 35% ]]</f>
        <v>0</v>
      </c>
      <c r="X245" s="138">
        <f>SUM(Tabla1[[#This Row],[C.HORA.35]],Tabla1[[#This Row],[C.HORA.25]])</f>
        <v>0</v>
      </c>
      <c r="Y245" s="4"/>
      <c r="Z245" s="10">
        <f>Tabla1[[#This Row],[T.HORAS]]*24</f>
        <v>9.9999999999999982</v>
      </c>
      <c r="AA245" s="4">
        <f>Tabla1[[#This Row],[H.NORMALES]]*24</f>
        <v>9</v>
      </c>
      <c r="AB245" s="10">
        <f>Tabla1[[#This Row],[H.EXTRAS]]*24</f>
        <v>0.99999999999999778</v>
      </c>
      <c r="AC245" s="105">
        <f t="shared" si="12"/>
        <v>65</v>
      </c>
      <c r="AD245" s="120">
        <f>Tabla1[[#This Row],[COS.BASE 2]]/8</f>
        <v>8.125</v>
      </c>
      <c r="AE245" s="105">
        <f>Tabla1[[#This Row],[CST_H_E]]+Tabla1[[#This Row],[COS.BASE 2]]</f>
        <v>65</v>
      </c>
      <c r="AF245" s="106">
        <f>+_xlfn.IFNA(INDEX(RUBRO!$W$2:$AA$732,MATCH(Tabla1[[#This Row],[FECHA ]],RUBRO!$W$2:$W$732,0),5)," ")</f>
        <v>0</v>
      </c>
      <c r="AG245" s="10">
        <f>+_xlfn.IFNA(INDEX(RUBRO!$W$2:$AA$732,MATCH(Tabla1[[#This Row],[FECHA ]],RUBRO!$W$2:$W$732,0),2)," ")</f>
        <v>0</v>
      </c>
      <c r="AH245" s="40">
        <f>IFERROR(Tabla1[[#This Row],[F]]*Tabla1[[#This Row],[COS.B+E]]," ")</f>
        <v>0</v>
      </c>
      <c r="AI245" s="40">
        <f>IFERROR(Tabla1[[#This Row],[COS.B+E]]*Tabla1[[#This Row],[D]]," ")</f>
        <v>0</v>
      </c>
      <c r="AJ245" s="40" t="str">
        <f>IFERROR(Tabla1[[#This Row],[F]]*#REF!," ")</f>
        <v xml:space="preserve"> </v>
      </c>
      <c r="AK245" s="40" t="str">
        <f>IFERROR(#REF!*Tabla1[[#This Row],[D]]," ")</f>
        <v xml:space="preserve"> </v>
      </c>
      <c r="AL245" s="103"/>
      <c r="AM245" s="103"/>
      <c r="AN245" s="103"/>
      <c r="AO245" s="38">
        <f>+Tabla1[[#This Row],[COS.B+E]]+Tabla1[[#This Row],[COS.F1]]+Tabla1[[#This Row],[COS.D1]]+Tabla1[[#This Row],[ALIMENTACION]]+Tabla1[[#This Row],[PRESTAMO]]+AN245</f>
        <v>65</v>
      </c>
      <c r="AP245" s="38" t="e">
        <f>+#REF!+Tabla1[[#This Row],[COS F2]]+Tabla1[[#This Row],[COS D2]]+Tabla1[[#This Row],[ALIMENTACION]]+Tabla1[[#This Row],[PRESTAMO]]+Tabla1[[#This Row],[PASAJES]]</f>
        <v>#REF!</v>
      </c>
    </row>
    <row r="246" spans="1:42" x14ac:dyDescent="0.25">
      <c r="A246" s="2" t="str">
        <f>TEXT(Tabla1[[#This Row],[FECHA ]],"DDDDD")</f>
        <v>martes</v>
      </c>
      <c r="B246" s="2" t="str">
        <f>_xlfn.IFNA(VLOOKUP(Tabla1[[#This Row],[DESTINO]],RUBRO!$Q$1:$R$9996,2,FALSE)," ")</f>
        <v>OBRA</v>
      </c>
      <c r="C246" s="104">
        <f>WEEKNUM(Tabla1[[#This Row],[FECHA ]],2)</f>
        <v>20</v>
      </c>
      <c r="D246" s="104" t="str">
        <f>TEXT(Tabla1[[#This Row],[FECHA ]],"MMM-YY")</f>
        <v>may-YY</v>
      </c>
      <c r="E246" s="104" t="str">
        <f>VLOOKUP(Tabla1[[#This Row],[DNI ]],RUBRO!$F$1:$O$9996,7,FALSE)</f>
        <v>5ta</v>
      </c>
      <c r="F246" s="104" t="str">
        <f>VLOOKUP(Tabla1[[#This Row],[DNI ]],RUBRO!$F$1:$O$88,3,FALSE)</f>
        <v>TEC-04</v>
      </c>
      <c r="G246" s="104" t="str">
        <f>VLOOKUP(Tabla1[[#This Row],[DNI ]],RUBRO!$F$1:$O$9996,5,FALSE)</f>
        <v>TECNICO MECANICO MONTAJISTA DE MAQUINARIA EXTRANJERA</v>
      </c>
      <c r="H246" s="66" t="str">
        <f>VLOOKUP(Tabla1[[#This Row],[DNI ]],RUBRO!$F$1:$O$9996,6,FALSE)</f>
        <v>CUYA CAYCHO DANIEL LORENZO</v>
      </c>
      <c r="I246" s="94">
        <v>44327</v>
      </c>
      <c r="J246" s="10">
        <v>2</v>
      </c>
      <c r="K246" s="2">
        <v>70133802</v>
      </c>
      <c r="L246" s="4">
        <f>VLOOKUP(Tabla1[[#This Row],[DNI ]],RUBRO!$F$2:$O$9996,8,FALSE)</f>
        <v>66.92</v>
      </c>
      <c r="M246" s="88">
        <v>0.29166666666666669</v>
      </c>
      <c r="N246" s="28">
        <v>0.54166666666666663</v>
      </c>
      <c r="O246" s="28">
        <v>0.58333333333333337</v>
      </c>
      <c r="P246" s="28">
        <v>0.79166666666666663</v>
      </c>
      <c r="Q246" s="31">
        <f>(Tabla1[[#This Row],[SALIDA]]-Tabla1[[#This Row],[FIN ]])+(Tabla1[[#This Row],[INICIO]]-Tabla1[[#This Row],[INGRESO]])</f>
        <v>0.4583333333333332</v>
      </c>
      <c r="R246" s="13">
        <f t="shared" si="9"/>
        <v>0.33333333333333331</v>
      </c>
      <c r="S246" s="31">
        <f t="shared" si="10"/>
        <v>0.12499999999999989</v>
      </c>
      <c r="T246" s="136"/>
      <c r="U246" s="136"/>
      <c r="V246" s="137">
        <f>(Tabla1[[#This Row],[COS.BASE 3]]*0.25+Tabla1[[#This Row],[COS.BASE 3]])*Tabla1[[#This Row],[HORAS 25 % ]]</f>
        <v>0</v>
      </c>
      <c r="W246" s="138">
        <f>(Tabla1[[#This Row],[COS.BASE 3]]*0.35+Tabla1[[#This Row],[COS.BASE 3]])*Tabla1[[#This Row],[HORAS 35% ]]</f>
        <v>0</v>
      </c>
      <c r="X246" s="138">
        <f>SUM(Tabla1[[#This Row],[C.HORA.35]],Tabla1[[#This Row],[C.HORA.25]])</f>
        <v>0</v>
      </c>
      <c r="Y246" s="4"/>
      <c r="Z246" s="10">
        <f>Tabla1[[#This Row],[T.HORAS]]*24</f>
        <v>10.999999999999996</v>
      </c>
      <c r="AA246" s="4">
        <f>Tabla1[[#This Row],[H.NORMALES]]*24</f>
        <v>8</v>
      </c>
      <c r="AB246" s="10">
        <f>Tabla1[[#This Row],[H.EXTRAS]]*24</f>
        <v>2.9999999999999973</v>
      </c>
      <c r="AC246" s="105">
        <f t="shared" si="12"/>
        <v>66.92</v>
      </c>
      <c r="AD246" s="120">
        <f>Tabla1[[#This Row],[COS.BASE 2]]/8</f>
        <v>8.3650000000000002</v>
      </c>
      <c r="AE246" s="105">
        <f>Tabla1[[#This Row],[CST_H_E]]+Tabla1[[#This Row],[COS.BASE 2]]</f>
        <v>66.92</v>
      </c>
      <c r="AF246" s="106">
        <f>+_xlfn.IFNA(INDEX(RUBRO!$W$2:$AA$732,MATCH(Tabla1[[#This Row],[FECHA ]],RUBRO!$W$2:$W$732,0),5)," ")</f>
        <v>0</v>
      </c>
      <c r="AG246" s="10">
        <f>+_xlfn.IFNA(INDEX(RUBRO!$W$2:$AA$732,MATCH(Tabla1[[#This Row],[FECHA ]],RUBRO!$W$2:$W$732,0),2)," ")</f>
        <v>0</v>
      </c>
      <c r="AH246" s="40">
        <f>IFERROR(Tabla1[[#This Row],[F]]*Tabla1[[#This Row],[COS.B+E]]," ")</f>
        <v>0</v>
      </c>
      <c r="AI246" s="40">
        <f>IFERROR(Tabla1[[#This Row],[COS.B+E]]*Tabla1[[#This Row],[D]]," ")</f>
        <v>0</v>
      </c>
      <c r="AJ246" s="40" t="str">
        <f>IFERROR(Tabla1[[#This Row],[F]]*#REF!," ")</f>
        <v xml:space="preserve"> </v>
      </c>
      <c r="AK246" s="40" t="str">
        <f>IFERROR(#REF!*Tabla1[[#This Row],[D]]," ")</f>
        <v xml:space="preserve"> </v>
      </c>
      <c r="AL246" s="103"/>
      <c r="AM246" s="103"/>
      <c r="AN246" s="103"/>
      <c r="AO246" s="38">
        <f>+Tabla1[[#This Row],[COS.B+E]]+Tabla1[[#This Row],[COS.F1]]+Tabla1[[#This Row],[COS.D1]]+Tabla1[[#This Row],[ALIMENTACION]]+Tabla1[[#This Row],[PRESTAMO]]+AN246</f>
        <v>66.92</v>
      </c>
      <c r="AP246" s="38" t="e">
        <f>+#REF!+Tabla1[[#This Row],[COS F2]]+Tabla1[[#This Row],[COS D2]]+Tabla1[[#This Row],[ALIMENTACION]]+Tabla1[[#This Row],[PRESTAMO]]+Tabla1[[#This Row],[PASAJES]]</f>
        <v>#REF!</v>
      </c>
    </row>
    <row r="247" spans="1:42" x14ac:dyDescent="0.25">
      <c r="A247" s="2" t="str">
        <f>TEXT(Tabla1[[#This Row],[FECHA ]],"DDDDD")</f>
        <v>martes</v>
      </c>
      <c r="B247" s="2" t="str">
        <f>_xlfn.IFNA(VLOOKUP(Tabla1[[#This Row],[DESTINO]],RUBRO!$Q$1:$R$9996,2,FALSE)," ")</f>
        <v>FALTA</v>
      </c>
      <c r="C247" s="104">
        <f>WEEKNUM(Tabla1[[#This Row],[FECHA ]],2)</f>
        <v>20</v>
      </c>
      <c r="D247" s="104" t="str">
        <f>TEXT(Tabla1[[#This Row],[FECHA ]],"MMM-YY")</f>
        <v>may-YY</v>
      </c>
      <c r="E247" s="104" t="str">
        <f>VLOOKUP(Tabla1[[#This Row],[DNI ]],RUBRO!$F$1:$O$9996,7,FALSE)</f>
        <v>4ta</v>
      </c>
      <c r="F247" s="104" t="e">
        <f>VLOOKUP(Tabla1[[#This Row],[DNI ]],RUBRO!$F$1:$O$88,3,FALSE)</f>
        <v>#N/A</v>
      </c>
      <c r="G247" s="104" t="str">
        <f>VLOOKUP(Tabla1[[#This Row],[DNI ]],RUBRO!$F$1:$O$9996,5,FALSE)</f>
        <v>TECNICO SOLDADOR</v>
      </c>
      <c r="H247" s="66" t="str">
        <f>VLOOKUP(Tabla1[[#This Row],[DNI ]],RUBRO!$F$1:$O$9996,6,FALSE)</f>
        <v>DAMIAN DAMIAN MIGUEL ANGEL</v>
      </c>
      <c r="I247" s="94">
        <v>44327</v>
      </c>
      <c r="J247" s="10">
        <v>4</v>
      </c>
      <c r="K247" s="2">
        <v>75494335</v>
      </c>
      <c r="L247" s="4">
        <f>VLOOKUP(Tabla1[[#This Row],[DNI ]],RUBRO!$F$2:$O$9996,8,FALSE)</f>
        <v>90</v>
      </c>
      <c r="M247" s="88"/>
      <c r="N247" s="28"/>
      <c r="P247" s="28"/>
      <c r="Q247" s="31">
        <f>(Tabla1[[#This Row],[SALIDA]]-Tabla1[[#This Row],[FIN ]])+(Tabla1[[#This Row],[INICIO]]-Tabla1[[#This Row],[INGRESO]])</f>
        <v>0</v>
      </c>
      <c r="R247" s="13">
        <f t="shared" si="9"/>
        <v>0</v>
      </c>
      <c r="S247" s="31">
        <f t="shared" si="10"/>
        <v>0</v>
      </c>
      <c r="T247" s="136"/>
      <c r="U247" s="136"/>
      <c r="V247" s="137">
        <f>(Tabla1[[#This Row],[COS.BASE 3]]*0.25+Tabla1[[#This Row],[COS.BASE 3]])*Tabla1[[#This Row],[HORAS 25 % ]]</f>
        <v>0</v>
      </c>
      <c r="W247" s="138">
        <f>(Tabla1[[#This Row],[COS.BASE 3]]*0.35+Tabla1[[#This Row],[COS.BASE 3]])*Tabla1[[#This Row],[HORAS 35% ]]</f>
        <v>0</v>
      </c>
      <c r="X247" s="138">
        <f>SUM(Tabla1[[#This Row],[C.HORA.35]],Tabla1[[#This Row],[C.HORA.25]])</f>
        <v>0</v>
      </c>
      <c r="Y247" s="4"/>
      <c r="Z247" s="10">
        <f>Tabla1[[#This Row],[T.HORAS]]*24</f>
        <v>0</v>
      </c>
      <c r="AA247" s="4">
        <f>Tabla1[[#This Row],[H.NORMALES]]*24</f>
        <v>0</v>
      </c>
      <c r="AB247" s="10">
        <f>Tabla1[[#This Row],[H.EXTRAS]]*24</f>
        <v>0</v>
      </c>
      <c r="AC247" s="105">
        <f t="shared" si="12"/>
        <v>0</v>
      </c>
      <c r="AD247" s="120">
        <f>Tabla1[[#This Row],[COS.BASE 2]]/8</f>
        <v>0</v>
      </c>
      <c r="AE247" s="105">
        <f>Tabla1[[#This Row],[CST_H_E]]+Tabla1[[#This Row],[COS.BASE 2]]</f>
        <v>0</v>
      </c>
      <c r="AF247" s="106">
        <f>+_xlfn.IFNA(INDEX(RUBRO!$W$2:$AA$732,MATCH(Tabla1[[#This Row],[FECHA ]],RUBRO!$W$2:$W$732,0),5)," ")</f>
        <v>0</v>
      </c>
      <c r="AG247" s="10">
        <f>+_xlfn.IFNA(INDEX(RUBRO!$W$2:$AA$732,MATCH(Tabla1[[#This Row],[FECHA ]],RUBRO!$W$2:$W$732,0),2)," ")</f>
        <v>0</v>
      </c>
      <c r="AH247" s="40">
        <f>IFERROR(Tabla1[[#This Row],[F]]*Tabla1[[#This Row],[COS.B+E]]," ")</f>
        <v>0</v>
      </c>
      <c r="AI247" s="40">
        <f>IFERROR(Tabla1[[#This Row],[COS.B+E]]*Tabla1[[#This Row],[D]]," ")</f>
        <v>0</v>
      </c>
      <c r="AJ247" s="40" t="str">
        <f>IFERROR(Tabla1[[#This Row],[F]]*#REF!," ")</f>
        <v xml:space="preserve"> </v>
      </c>
      <c r="AK247" s="40" t="str">
        <f>IFERROR(#REF!*Tabla1[[#This Row],[D]]," ")</f>
        <v xml:space="preserve"> </v>
      </c>
      <c r="AL247" s="103"/>
      <c r="AM247" s="103"/>
      <c r="AN247" s="103"/>
      <c r="AO247" s="38">
        <f>+Tabla1[[#This Row],[COS.B+E]]+Tabla1[[#This Row],[COS.F1]]+Tabla1[[#This Row],[COS.D1]]+Tabla1[[#This Row],[ALIMENTACION]]+Tabla1[[#This Row],[PRESTAMO]]+AN247</f>
        <v>0</v>
      </c>
      <c r="AP247" s="38" t="e">
        <f>+#REF!+Tabla1[[#This Row],[COS F2]]+Tabla1[[#This Row],[COS D2]]+Tabla1[[#This Row],[ALIMENTACION]]+Tabla1[[#This Row],[PRESTAMO]]+Tabla1[[#This Row],[PASAJES]]</f>
        <v>#REF!</v>
      </c>
    </row>
    <row r="248" spans="1:42" x14ac:dyDescent="0.25">
      <c r="A248" s="2" t="str">
        <f>TEXT(Tabla1[[#This Row],[FECHA ]],"DDDDD")</f>
        <v>martes</v>
      </c>
      <c r="B248" s="2" t="str">
        <f>_xlfn.IFNA(VLOOKUP(Tabla1[[#This Row],[DESTINO]],RUBRO!$Q$1:$R$9996,2,FALSE)," ")</f>
        <v>PLANTA</v>
      </c>
      <c r="C248" s="104">
        <f>WEEKNUM(Tabla1[[#This Row],[FECHA ]],2)</f>
        <v>20</v>
      </c>
      <c r="D248" s="104" t="str">
        <f>TEXT(Tabla1[[#This Row],[FECHA ]],"MMM-YY")</f>
        <v>may-YY</v>
      </c>
      <c r="E248" s="104" t="str">
        <f>VLOOKUP(Tabla1[[#This Row],[DNI ]],RUBRO!$F$1:$O$9996,7,FALSE)</f>
        <v>5ta</v>
      </c>
      <c r="F248" s="104" t="e">
        <f>VLOOKUP(Tabla1[[#This Row],[DNI ]],RUBRO!$F$1:$O$88,3,FALSE)</f>
        <v>#N/A</v>
      </c>
      <c r="G248" s="104" t="str">
        <f>VLOOKUP(Tabla1[[#This Row],[DNI ]],RUBRO!$F$1:$O$9996,5,FALSE)</f>
        <v>AYUDANTE DE PRODUCCION</v>
      </c>
      <c r="H248" s="66" t="str">
        <f>VLOOKUP(Tabla1[[#This Row],[DNI ]],RUBRO!$F$1:$O$9996,6,FALSE)</f>
        <v xml:space="preserve">DELGADO CORONADO ROBERTO </v>
      </c>
      <c r="I248" s="94">
        <v>44327</v>
      </c>
      <c r="J248" s="10">
        <v>1</v>
      </c>
      <c r="K248" s="2">
        <v>76288149</v>
      </c>
      <c r="L248" s="4">
        <f>VLOOKUP(Tabla1[[#This Row],[DNI ]],RUBRO!$F$2:$O$9996,8,FALSE)</f>
        <v>44.32</v>
      </c>
      <c r="M248" s="88">
        <v>0.29166666666666669</v>
      </c>
      <c r="N248" s="28">
        <v>0.54166666666666663</v>
      </c>
      <c r="O248" s="28">
        <v>0.58333333333333337</v>
      </c>
      <c r="P248" s="28">
        <v>0.70833333333333337</v>
      </c>
      <c r="Q248" s="31">
        <f>(Tabla1[[#This Row],[SALIDA]]-Tabla1[[#This Row],[FIN ]])+(Tabla1[[#This Row],[INICIO]]-Tabla1[[#This Row],[INGRESO]])</f>
        <v>0.37499999999999994</v>
      </c>
      <c r="R248" s="13">
        <f t="shared" si="9"/>
        <v>0.37499999999999994</v>
      </c>
      <c r="S248" s="31">
        <f t="shared" si="10"/>
        <v>0</v>
      </c>
      <c r="T248" s="136"/>
      <c r="U248" s="136"/>
      <c r="V248" s="137">
        <f>(Tabla1[[#This Row],[COS.BASE 3]]*0.25+Tabla1[[#This Row],[COS.BASE 3]])*Tabla1[[#This Row],[HORAS 25 % ]]</f>
        <v>0</v>
      </c>
      <c r="W248" s="138">
        <f>(Tabla1[[#This Row],[COS.BASE 3]]*0.35+Tabla1[[#This Row],[COS.BASE 3]])*Tabla1[[#This Row],[HORAS 35% ]]</f>
        <v>0</v>
      </c>
      <c r="X248" s="138">
        <f>SUM(Tabla1[[#This Row],[C.HORA.35]],Tabla1[[#This Row],[C.HORA.25]])</f>
        <v>0</v>
      </c>
      <c r="Y248" s="4"/>
      <c r="Z248" s="10">
        <f>Tabla1[[#This Row],[T.HORAS]]*24</f>
        <v>8.9999999999999982</v>
      </c>
      <c r="AA248" s="4">
        <f>Tabla1[[#This Row],[H.NORMALES]]*24</f>
        <v>8.9999999999999982</v>
      </c>
      <c r="AB248" s="10">
        <f>Tabla1[[#This Row],[H.EXTRAS]]*24</f>
        <v>0</v>
      </c>
      <c r="AC248" s="105">
        <f t="shared" si="12"/>
        <v>44.319999999999986</v>
      </c>
      <c r="AD248" s="120">
        <f>Tabla1[[#This Row],[COS.BASE 2]]/8</f>
        <v>5.5399999999999983</v>
      </c>
      <c r="AE248" s="105">
        <f>Tabla1[[#This Row],[CST_H_E]]+Tabla1[[#This Row],[COS.BASE 2]]</f>
        <v>44.319999999999986</v>
      </c>
      <c r="AF248" s="106">
        <f>+_xlfn.IFNA(INDEX(RUBRO!$W$2:$AA$732,MATCH(Tabla1[[#This Row],[FECHA ]],RUBRO!$W$2:$W$732,0),5)," ")</f>
        <v>0</v>
      </c>
      <c r="AG248" s="10">
        <f>+_xlfn.IFNA(INDEX(RUBRO!$W$2:$AA$732,MATCH(Tabla1[[#This Row],[FECHA ]],RUBRO!$W$2:$W$732,0),2)," ")</f>
        <v>0</v>
      </c>
      <c r="AH248" s="40">
        <f>IFERROR(Tabla1[[#This Row],[F]]*Tabla1[[#This Row],[COS.B+E]]," ")</f>
        <v>0</v>
      </c>
      <c r="AI248" s="40">
        <f>IFERROR(Tabla1[[#This Row],[COS.B+E]]*Tabla1[[#This Row],[D]]," ")</f>
        <v>0</v>
      </c>
      <c r="AJ248" s="40" t="str">
        <f>IFERROR(Tabla1[[#This Row],[F]]*#REF!," ")</f>
        <v xml:space="preserve"> </v>
      </c>
      <c r="AK248" s="40" t="str">
        <f>IFERROR(#REF!*Tabla1[[#This Row],[D]]," ")</f>
        <v xml:space="preserve"> </v>
      </c>
      <c r="AL248" s="103"/>
      <c r="AM248" s="103"/>
      <c r="AN248" s="103"/>
      <c r="AO248" s="38">
        <f>+Tabla1[[#This Row],[COS.B+E]]+Tabla1[[#This Row],[COS.F1]]+Tabla1[[#This Row],[COS.D1]]+Tabla1[[#This Row],[ALIMENTACION]]+Tabla1[[#This Row],[PRESTAMO]]+AN248</f>
        <v>44.319999999999986</v>
      </c>
      <c r="AP248" s="38" t="e">
        <f>+#REF!+Tabla1[[#This Row],[COS F2]]+Tabla1[[#This Row],[COS D2]]+Tabla1[[#This Row],[ALIMENTACION]]+Tabla1[[#This Row],[PRESTAMO]]+Tabla1[[#This Row],[PASAJES]]</f>
        <v>#REF!</v>
      </c>
    </row>
    <row r="249" spans="1:42" x14ac:dyDescent="0.25">
      <c r="A249" s="2" t="str">
        <f>TEXT(Tabla1[[#This Row],[FECHA ]],"DDDDD")</f>
        <v>martes</v>
      </c>
      <c r="B249" s="2" t="str">
        <f>_xlfn.IFNA(VLOOKUP(Tabla1[[#This Row],[DESTINO]],RUBRO!$Q$1:$R$9996,2,FALSE)," ")</f>
        <v>OBRA</v>
      </c>
      <c r="C249" s="104">
        <f>WEEKNUM(Tabla1[[#This Row],[FECHA ]],2)</f>
        <v>20</v>
      </c>
      <c r="D249" s="104" t="str">
        <f>TEXT(Tabla1[[#This Row],[FECHA ]],"MMM-YY")</f>
        <v>may-YY</v>
      </c>
      <c r="E249" s="104" t="str">
        <f>VLOOKUP(Tabla1[[#This Row],[DNI ]],RUBRO!$F$1:$O$9996,7,FALSE)</f>
        <v>5ta</v>
      </c>
      <c r="F249" s="104" t="e">
        <f>VLOOKUP(Tabla1[[#This Row],[DNI ]],RUBRO!$F$1:$O$88,3,FALSE)</f>
        <v>#N/A</v>
      </c>
      <c r="G249" s="104" t="str">
        <f>VLOOKUP(Tabla1[[#This Row],[DNI ]],RUBRO!$F$1:$O$9996,5,FALSE)</f>
        <v>AYUDANTE DE PRODUCCION</v>
      </c>
      <c r="H249" s="66" t="str">
        <f>VLOOKUP(Tabla1[[#This Row],[DNI ]],RUBRO!$F$1:$O$9996,6,FALSE)</f>
        <v>DIAZ CABREJOS KELVIN</v>
      </c>
      <c r="I249" s="94">
        <v>44327</v>
      </c>
      <c r="J249" s="10">
        <v>2</v>
      </c>
      <c r="K249" s="2">
        <v>75809362</v>
      </c>
      <c r="L249" s="4">
        <f>VLOOKUP(Tabla1[[#This Row],[DNI ]],RUBRO!$F$2:$O$9996,8,FALSE)</f>
        <v>65</v>
      </c>
      <c r="M249" s="88">
        <v>0.29166666666666669</v>
      </c>
      <c r="N249" s="28">
        <v>0.54166666666666663</v>
      </c>
      <c r="O249" s="28">
        <v>0.58333333333333337</v>
      </c>
      <c r="P249" s="28">
        <v>0.79166666666666663</v>
      </c>
      <c r="Q249" s="31">
        <f>(Tabla1[[#This Row],[SALIDA]]-Tabla1[[#This Row],[FIN ]])+(Tabla1[[#This Row],[INICIO]]-Tabla1[[#This Row],[INGRESO]])</f>
        <v>0.4583333333333332</v>
      </c>
      <c r="R249" s="13">
        <f t="shared" si="9"/>
        <v>0.33333333333333331</v>
      </c>
      <c r="S249" s="31">
        <f t="shared" si="10"/>
        <v>0.12499999999999989</v>
      </c>
      <c r="T249" s="136"/>
      <c r="U249" s="136"/>
      <c r="V249" s="137">
        <f>(Tabla1[[#This Row],[COS.BASE 3]]*0.25+Tabla1[[#This Row],[COS.BASE 3]])*Tabla1[[#This Row],[HORAS 25 % ]]</f>
        <v>0</v>
      </c>
      <c r="W249" s="138">
        <f>(Tabla1[[#This Row],[COS.BASE 3]]*0.35+Tabla1[[#This Row],[COS.BASE 3]])*Tabla1[[#This Row],[HORAS 35% ]]</f>
        <v>0</v>
      </c>
      <c r="X249" s="138">
        <f>SUM(Tabla1[[#This Row],[C.HORA.35]],Tabla1[[#This Row],[C.HORA.25]])</f>
        <v>0</v>
      </c>
      <c r="Y249" s="4"/>
      <c r="Z249" s="10">
        <f>Tabla1[[#This Row],[T.HORAS]]*24</f>
        <v>10.999999999999996</v>
      </c>
      <c r="AA249" s="4">
        <f>Tabla1[[#This Row],[H.NORMALES]]*24</f>
        <v>8</v>
      </c>
      <c r="AB249" s="10">
        <f>Tabla1[[#This Row],[H.EXTRAS]]*24</f>
        <v>2.9999999999999973</v>
      </c>
      <c r="AC249" s="105">
        <f t="shared" si="12"/>
        <v>65</v>
      </c>
      <c r="AD249" s="120">
        <f>Tabla1[[#This Row],[COS.BASE 2]]/8</f>
        <v>8.125</v>
      </c>
      <c r="AE249" s="105">
        <f>Tabla1[[#This Row],[CST_H_E]]+Tabla1[[#This Row],[COS.BASE 2]]</f>
        <v>65</v>
      </c>
      <c r="AF249" s="106">
        <f>+_xlfn.IFNA(INDEX(RUBRO!$W$2:$AA$732,MATCH(Tabla1[[#This Row],[FECHA ]],RUBRO!$W$2:$W$732,0),5)," ")</f>
        <v>0</v>
      </c>
      <c r="AG249" s="10">
        <f>+_xlfn.IFNA(INDEX(RUBRO!$W$2:$AA$732,MATCH(Tabla1[[#This Row],[FECHA ]],RUBRO!$W$2:$W$732,0),2)," ")</f>
        <v>0</v>
      </c>
      <c r="AH249" s="40">
        <f>IFERROR(Tabla1[[#This Row],[F]]*Tabla1[[#This Row],[COS.B+E]]," ")</f>
        <v>0</v>
      </c>
      <c r="AI249" s="40">
        <f>IFERROR(Tabla1[[#This Row],[COS.B+E]]*Tabla1[[#This Row],[D]]," ")</f>
        <v>0</v>
      </c>
      <c r="AJ249" s="40" t="str">
        <f>IFERROR(Tabla1[[#This Row],[F]]*#REF!," ")</f>
        <v xml:space="preserve"> </v>
      </c>
      <c r="AK249" s="40" t="str">
        <f>IFERROR(#REF!*Tabla1[[#This Row],[D]]," ")</f>
        <v xml:space="preserve"> </v>
      </c>
      <c r="AL249" s="103"/>
      <c r="AM249" s="103"/>
      <c r="AN249" s="103"/>
      <c r="AO249" s="38">
        <f>+Tabla1[[#This Row],[COS.B+E]]+Tabla1[[#This Row],[COS.F1]]+Tabla1[[#This Row],[COS.D1]]+Tabla1[[#This Row],[ALIMENTACION]]+Tabla1[[#This Row],[PRESTAMO]]+AN249</f>
        <v>65</v>
      </c>
      <c r="AP249" s="38" t="e">
        <f>+#REF!+Tabla1[[#This Row],[COS F2]]+Tabla1[[#This Row],[COS D2]]+Tabla1[[#This Row],[ALIMENTACION]]+Tabla1[[#This Row],[PRESTAMO]]+Tabla1[[#This Row],[PASAJES]]</f>
        <v>#REF!</v>
      </c>
    </row>
    <row r="250" spans="1:42" x14ac:dyDescent="0.25">
      <c r="A250" s="2" t="str">
        <f>TEXT(Tabla1[[#This Row],[FECHA ]],"DDDDD")</f>
        <v>martes</v>
      </c>
      <c r="B250" s="2" t="str">
        <f>_xlfn.IFNA(VLOOKUP(Tabla1[[#This Row],[DESTINO]],RUBRO!$Q$1:$R$9996,2,FALSE)," ")</f>
        <v>PLANTA</v>
      </c>
      <c r="C250" s="104">
        <f>WEEKNUM(Tabla1[[#This Row],[FECHA ]],2)</f>
        <v>20</v>
      </c>
      <c r="D250" s="104" t="str">
        <f>TEXT(Tabla1[[#This Row],[FECHA ]],"MMM-YY")</f>
        <v>may-YY</v>
      </c>
      <c r="E250" s="104" t="str">
        <f>VLOOKUP(Tabla1[[#This Row],[DNI ]],RUBRO!$F$1:$O$9996,7,FALSE)</f>
        <v>4ta</v>
      </c>
      <c r="F250" s="104" t="str">
        <f>VLOOKUP(Tabla1[[#This Row],[DNI ]],RUBRO!$F$1:$O$88,3,FALSE)</f>
        <v>OPE-01</v>
      </c>
      <c r="G250" s="104" t="str">
        <f>VLOOKUP(Tabla1[[#This Row],[DNI ]],RUBRO!$F$1:$O$9996,5,FALSE)</f>
        <v>OPERARIO SOLDADOR</v>
      </c>
      <c r="H250" s="66" t="str">
        <f>VLOOKUP(Tabla1[[#This Row],[DNI ]],RUBRO!$F$1:$O$9996,6,FALSE)</f>
        <v>ENRIQUEZ GONZALES MIGUEL ANGEL</v>
      </c>
      <c r="I250" s="94">
        <v>44327</v>
      </c>
      <c r="J250" s="10">
        <v>1</v>
      </c>
      <c r="K250" s="2">
        <v>42558469</v>
      </c>
      <c r="L250" s="4">
        <f>VLOOKUP(Tabla1[[#This Row],[DNI ]],RUBRO!$F$2:$O$9996,8,FALSE)</f>
        <v>60</v>
      </c>
      <c r="M250" s="88">
        <v>0.29166666666666669</v>
      </c>
      <c r="N250" s="28">
        <v>0.54166666666666663</v>
      </c>
      <c r="O250" s="28">
        <v>0.58333333333333337</v>
      </c>
      <c r="P250" s="28">
        <v>0.75</v>
      </c>
      <c r="Q250" s="31">
        <f>(Tabla1[[#This Row],[SALIDA]]-Tabla1[[#This Row],[FIN ]])+(Tabla1[[#This Row],[INICIO]]-Tabla1[[#This Row],[INGRESO]])</f>
        <v>0.41666666666666657</v>
      </c>
      <c r="R250" s="13">
        <f t="shared" si="9"/>
        <v>0.375</v>
      </c>
      <c r="S250" s="31">
        <f t="shared" si="10"/>
        <v>4.1666666666666574E-2</v>
      </c>
      <c r="T250" s="136"/>
      <c r="U250" s="136"/>
      <c r="V250" s="137">
        <f>(Tabla1[[#This Row],[COS.BASE 3]]*0.25+Tabla1[[#This Row],[COS.BASE 3]])*Tabla1[[#This Row],[HORAS 25 % ]]</f>
        <v>0</v>
      </c>
      <c r="W250" s="138">
        <f>(Tabla1[[#This Row],[COS.BASE 3]]*0.35+Tabla1[[#This Row],[COS.BASE 3]])*Tabla1[[#This Row],[HORAS 35% ]]</f>
        <v>0</v>
      </c>
      <c r="X250" s="138">
        <f>SUM(Tabla1[[#This Row],[C.HORA.35]],Tabla1[[#This Row],[C.HORA.25]])</f>
        <v>0</v>
      </c>
      <c r="Y250" s="4"/>
      <c r="Z250" s="10">
        <f>Tabla1[[#This Row],[T.HORAS]]*24</f>
        <v>9.9999999999999982</v>
      </c>
      <c r="AA250" s="4">
        <f>Tabla1[[#This Row],[H.NORMALES]]*24</f>
        <v>9</v>
      </c>
      <c r="AB250" s="10">
        <f>Tabla1[[#This Row],[H.EXTRAS]]*24</f>
        <v>0.99999999999999778</v>
      </c>
      <c r="AC250" s="105">
        <f t="shared" si="12"/>
        <v>60</v>
      </c>
      <c r="AD250" s="120">
        <f>Tabla1[[#This Row],[COS.BASE 2]]/8</f>
        <v>7.5</v>
      </c>
      <c r="AE250" s="105">
        <f>Tabla1[[#This Row],[CST_H_E]]+Tabla1[[#This Row],[COS.BASE 2]]</f>
        <v>60</v>
      </c>
      <c r="AF250" s="106">
        <f>+_xlfn.IFNA(INDEX(RUBRO!$W$2:$AA$732,MATCH(Tabla1[[#This Row],[FECHA ]],RUBRO!$W$2:$W$732,0),5)," ")</f>
        <v>0</v>
      </c>
      <c r="AG250" s="10">
        <f>+_xlfn.IFNA(INDEX(RUBRO!$W$2:$AA$732,MATCH(Tabla1[[#This Row],[FECHA ]],RUBRO!$W$2:$W$732,0),2)," ")</f>
        <v>0</v>
      </c>
      <c r="AH250" s="40">
        <f>IFERROR(Tabla1[[#This Row],[F]]*Tabla1[[#This Row],[COS.B+E]]," ")</f>
        <v>0</v>
      </c>
      <c r="AI250" s="40">
        <f>IFERROR(Tabla1[[#This Row],[COS.B+E]]*Tabla1[[#This Row],[D]]," ")</f>
        <v>0</v>
      </c>
      <c r="AJ250" s="40" t="str">
        <f>IFERROR(Tabla1[[#This Row],[F]]*#REF!," ")</f>
        <v xml:space="preserve"> </v>
      </c>
      <c r="AK250" s="40" t="str">
        <f>IFERROR(#REF!*Tabla1[[#This Row],[D]]," ")</f>
        <v xml:space="preserve"> </v>
      </c>
      <c r="AL250" s="103"/>
      <c r="AM250" s="103"/>
      <c r="AN250" s="103"/>
      <c r="AO250" s="38">
        <f>+Tabla1[[#This Row],[COS.B+E]]+Tabla1[[#This Row],[COS.F1]]+Tabla1[[#This Row],[COS.D1]]+Tabla1[[#This Row],[ALIMENTACION]]+Tabla1[[#This Row],[PRESTAMO]]+AN250</f>
        <v>60</v>
      </c>
      <c r="AP250" s="38" t="e">
        <f>+#REF!+Tabla1[[#This Row],[COS F2]]+Tabla1[[#This Row],[COS D2]]+Tabla1[[#This Row],[ALIMENTACION]]+Tabla1[[#This Row],[PRESTAMO]]+Tabla1[[#This Row],[PASAJES]]</f>
        <v>#REF!</v>
      </c>
    </row>
    <row r="251" spans="1:42" x14ac:dyDescent="0.25">
      <c r="A251" s="2" t="str">
        <f>TEXT(Tabla1[[#This Row],[FECHA ]],"DDDDD")</f>
        <v>martes</v>
      </c>
      <c r="B251" s="2" t="str">
        <f>_xlfn.IFNA(VLOOKUP(Tabla1[[#This Row],[DESTINO]],RUBRO!$Q$1:$R$9996,2,FALSE)," ")</f>
        <v>PLANTA</v>
      </c>
      <c r="C251" s="104">
        <f>WEEKNUM(Tabla1[[#This Row],[FECHA ]],2)</f>
        <v>20</v>
      </c>
      <c r="D251" s="104" t="str">
        <f>TEXT(Tabla1[[#This Row],[FECHA ]],"MMM-YY")</f>
        <v>may-YY</v>
      </c>
      <c r="E251" s="104" t="str">
        <f>VLOOKUP(Tabla1[[#This Row],[DNI ]],RUBRO!$F$1:$O$9996,7,FALSE)</f>
        <v>5ta</v>
      </c>
      <c r="F251" s="104" t="str">
        <f>VLOOKUP(Tabla1[[#This Row],[DNI ]],RUBRO!$F$1:$O$88,3,FALSE)</f>
        <v>MAE-02</v>
      </c>
      <c r="G251" s="104" t="str">
        <f>VLOOKUP(Tabla1[[#This Row],[DNI ]],RUBRO!$F$1:$O$9996,5,FALSE)</f>
        <v>MAESTRO MECANICO MONTAJISTA DE MAQUINARIA</v>
      </c>
      <c r="H251" s="66" t="str">
        <f>VLOOKUP(Tabla1[[#This Row],[DNI ]],RUBRO!$F$1:$O$9996,6,FALSE)</f>
        <v>GRAUS JUAREZ MIGUEL RICARDO</v>
      </c>
      <c r="I251" s="94">
        <v>44327</v>
      </c>
      <c r="J251" s="10">
        <v>1</v>
      </c>
      <c r="K251" s="2">
        <v>48046568</v>
      </c>
      <c r="L251" s="4">
        <f>VLOOKUP(Tabla1[[#This Row],[DNI ]],RUBRO!$F$2:$O$9996,8,FALSE)</f>
        <v>68.150000000000006</v>
      </c>
      <c r="M251" s="88">
        <v>0.29166666666666669</v>
      </c>
      <c r="N251" s="28">
        <v>0.54166666666666663</v>
      </c>
      <c r="O251" s="28">
        <v>0.58333333333333337</v>
      </c>
      <c r="P251" s="28">
        <v>0.70833333333333337</v>
      </c>
      <c r="Q251" s="31">
        <f>(Tabla1[[#This Row],[SALIDA]]-Tabla1[[#This Row],[FIN ]])+(Tabla1[[#This Row],[INICIO]]-Tabla1[[#This Row],[INGRESO]])</f>
        <v>0.37499999999999994</v>
      </c>
      <c r="R251" s="13">
        <f t="shared" si="9"/>
        <v>0.37499999999999994</v>
      </c>
      <c r="S251" s="31">
        <f t="shared" si="10"/>
        <v>0</v>
      </c>
      <c r="T251" s="136"/>
      <c r="U251" s="136"/>
      <c r="V251" s="137">
        <f>(Tabla1[[#This Row],[COS.BASE 3]]*0.25+Tabla1[[#This Row],[COS.BASE 3]])*Tabla1[[#This Row],[HORAS 25 % ]]</f>
        <v>0</v>
      </c>
      <c r="W251" s="138">
        <f>(Tabla1[[#This Row],[COS.BASE 3]]*0.35+Tabla1[[#This Row],[COS.BASE 3]])*Tabla1[[#This Row],[HORAS 35% ]]</f>
        <v>0</v>
      </c>
      <c r="X251" s="138">
        <f>SUM(Tabla1[[#This Row],[C.HORA.35]],Tabla1[[#This Row],[C.HORA.25]])</f>
        <v>0</v>
      </c>
      <c r="Y251" s="4"/>
      <c r="Z251" s="10">
        <f>Tabla1[[#This Row],[T.HORAS]]*24</f>
        <v>8.9999999999999982</v>
      </c>
      <c r="AA251" s="4">
        <f>Tabla1[[#This Row],[H.NORMALES]]*24</f>
        <v>8.9999999999999982</v>
      </c>
      <c r="AB251" s="10">
        <f>Tabla1[[#This Row],[H.EXTRAS]]*24</f>
        <v>0</v>
      </c>
      <c r="AC251" s="105">
        <f t="shared" si="12"/>
        <v>68.149999999999991</v>
      </c>
      <c r="AD251" s="120">
        <f>Tabla1[[#This Row],[COS.BASE 2]]/8</f>
        <v>8.5187499999999989</v>
      </c>
      <c r="AE251" s="105">
        <f>Tabla1[[#This Row],[CST_H_E]]+Tabla1[[#This Row],[COS.BASE 2]]</f>
        <v>68.149999999999991</v>
      </c>
      <c r="AF251" s="106">
        <f>+_xlfn.IFNA(INDEX(RUBRO!$W$2:$AA$732,MATCH(Tabla1[[#This Row],[FECHA ]],RUBRO!$W$2:$W$732,0),5)," ")</f>
        <v>0</v>
      </c>
      <c r="AG251" s="10">
        <f>+_xlfn.IFNA(INDEX(RUBRO!$W$2:$AA$732,MATCH(Tabla1[[#This Row],[FECHA ]],RUBRO!$W$2:$W$732,0),2)," ")</f>
        <v>0</v>
      </c>
      <c r="AH251" s="40">
        <f>IFERROR(Tabla1[[#This Row],[F]]*Tabla1[[#This Row],[COS.B+E]]," ")</f>
        <v>0</v>
      </c>
      <c r="AI251" s="40">
        <f>IFERROR(Tabla1[[#This Row],[COS.B+E]]*Tabla1[[#This Row],[D]]," ")</f>
        <v>0</v>
      </c>
      <c r="AJ251" s="40" t="str">
        <f>IFERROR(Tabla1[[#This Row],[F]]*#REF!," ")</f>
        <v xml:space="preserve"> </v>
      </c>
      <c r="AK251" s="40" t="str">
        <f>IFERROR(#REF!*Tabla1[[#This Row],[D]]," ")</f>
        <v xml:space="preserve"> </v>
      </c>
      <c r="AL251" s="103"/>
      <c r="AM251" s="103"/>
      <c r="AN251" s="103"/>
      <c r="AO251" s="38">
        <f>+Tabla1[[#This Row],[COS.B+E]]+Tabla1[[#This Row],[COS.F1]]+Tabla1[[#This Row],[COS.D1]]+Tabla1[[#This Row],[ALIMENTACION]]+Tabla1[[#This Row],[PRESTAMO]]+AN251</f>
        <v>68.149999999999991</v>
      </c>
      <c r="AP251" s="38" t="e">
        <f>+#REF!+Tabla1[[#This Row],[COS F2]]+Tabla1[[#This Row],[COS D2]]+Tabla1[[#This Row],[ALIMENTACION]]+Tabla1[[#This Row],[PRESTAMO]]+Tabla1[[#This Row],[PASAJES]]</f>
        <v>#REF!</v>
      </c>
    </row>
    <row r="252" spans="1:42" x14ac:dyDescent="0.25">
      <c r="A252" s="2" t="str">
        <f>TEXT(Tabla1[[#This Row],[FECHA ]],"DDDDD")</f>
        <v>martes</v>
      </c>
      <c r="B252" s="2" t="str">
        <f>_xlfn.IFNA(VLOOKUP(Tabla1[[#This Row],[DESTINO]],RUBRO!$Q$1:$R$9996,2,FALSE)," ")</f>
        <v>PLANTA</v>
      </c>
      <c r="C252" s="104">
        <f>WEEKNUM(Tabla1[[#This Row],[FECHA ]],2)</f>
        <v>20</v>
      </c>
      <c r="D252" s="104" t="str">
        <f>TEXT(Tabla1[[#This Row],[FECHA ]],"MMM-YY")</f>
        <v>may-YY</v>
      </c>
      <c r="E252" s="104" t="str">
        <f>VLOOKUP(Tabla1[[#This Row],[DNI ]],RUBRO!$F$1:$O$9996,7,FALSE)</f>
        <v>5ta</v>
      </c>
      <c r="F252" s="104" t="e">
        <f>VLOOKUP(Tabla1[[#This Row],[DNI ]],RUBRO!$F$1:$O$88,3,FALSE)</f>
        <v>#N/A</v>
      </c>
      <c r="G252" s="104" t="str">
        <f>VLOOKUP(Tabla1[[#This Row],[DNI ]],RUBRO!$F$1:$O$9996,5,FALSE)</f>
        <v>AYUDANTE DE PRODUCCION</v>
      </c>
      <c r="H252" s="66" t="str">
        <f>VLOOKUP(Tabla1[[#This Row],[DNI ]],RUBRO!$F$1:$O$9996,6,FALSE)</f>
        <v>GUERRERO CORDOVA ISMAEL</v>
      </c>
      <c r="I252" s="94">
        <v>44327</v>
      </c>
      <c r="J252" s="10">
        <v>1</v>
      </c>
      <c r="K252" s="2">
        <v>75790434</v>
      </c>
      <c r="L252" s="4">
        <f>VLOOKUP(Tabla1[[#This Row],[DNI ]],RUBRO!$F$2:$O$9996,8,FALSE)</f>
        <v>35.81</v>
      </c>
      <c r="M252" s="88">
        <v>0.29166666666666669</v>
      </c>
      <c r="N252" s="28">
        <v>0.54166666666666663</v>
      </c>
      <c r="O252" s="28">
        <v>0.58333333333333337</v>
      </c>
      <c r="P252" s="28">
        <v>0.75</v>
      </c>
      <c r="Q252" s="31">
        <f>(Tabla1[[#This Row],[SALIDA]]-Tabla1[[#This Row],[FIN ]])+(Tabla1[[#This Row],[INICIO]]-Tabla1[[#This Row],[INGRESO]])</f>
        <v>0.41666666666666657</v>
      </c>
      <c r="R252" s="13">
        <f t="shared" si="9"/>
        <v>0.375</v>
      </c>
      <c r="S252" s="31">
        <f t="shared" si="10"/>
        <v>4.1666666666666574E-2</v>
      </c>
      <c r="T252" s="136"/>
      <c r="U252" s="136"/>
      <c r="V252" s="137">
        <f>(Tabla1[[#This Row],[COS.BASE 3]]*0.25+Tabla1[[#This Row],[COS.BASE 3]])*Tabla1[[#This Row],[HORAS 25 % ]]</f>
        <v>0</v>
      </c>
      <c r="W252" s="138">
        <f>(Tabla1[[#This Row],[COS.BASE 3]]*0.35+Tabla1[[#This Row],[COS.BASE 3]])*Tabla1[[#This Row],[HORAS 35% ]]</f>
        <v>0</v>
      </c>
      <c r="X252" s="138">
        <f>SUM(Tabla1[[#This Row],[C.HORA.35]],Tabla1[[#This Row],[C.HORA.25]])</f>
        <v>0</v>
      </c>
      <c r="Y252" s="4"/>
      <c r="Z252" s="10">
        <f>Tabla1[[#This Row],[T.HORAS]]*24</f>
        <v>9.9999999999999982</v>
      </c>
      <c r="AA252" s="4">
        <f>Tabla1[[#This Row],[H.NORMALES]]*24</f>
        <v>9</v>
      </c>
      <c r="AB252" s="10">
        <f>Tabla1[[#This Row],[H.EXTRAS]]*24</f>
        <v>0.99999999999999778</v>
      </c>
      <c r="AC252" s="105">
        <f t="shared" si="12"/>
        <v>35.81</v>
      </c>
      <c r="AD252" s="120">
        <f>Tabla1[[#This Row],[COS.BASE 2]]/8</f>
        <v>4.4762500000000003</v>
      </c>
      <c r="AE252" s="105">
        <f>Tabla1[[#This Row],[CST_H_E]]+Tabla1[[#This Row],[COS.BASE 2]]</f>
        <v>35.81</v>
      </c>
      <c r="AF252" s="106">
        <f>+_xlfn.IFNA(INDEX(RUBRO!$W$2:$AA$732,MATCH(Tabla1[[#This Row],[FECHA ]],RUBRO!$W$2:$W$732,0),5)," ")</f>
        <v>0</v>
      </c>
      <c r="AG252" s="10">
        <f>+_xlfn.IFNA(INDEX(RUBRO!$W$2:$AA$732,MATCH(Tabla1[[#This Row],[FECHA ]],RUBRO!$W$2:$W$732,0),2)," ")</f>
        <v>0</v>
      </c>
      <c r="AH252" s="40">
        <f>IFERROR(Tabla1[[#This Row],[F]]*Tabla1[[#This Row],[COS.B+E]]," ")</f>
        <v>0</v>
      </c>
      <c r="AI252" s="40">
        <f>IFERROR(Tabla1[[#This Row],[COS.B+E]]*Tabla1[[#This Row],[D]]," ")</f>
        <v>0</v>
      </c>
      <c r="AJ252" s="40" t="str">
        <f>IFERROR(Tabla1[[#This Row],[F]]*#REF!," ")</f>
        <v xml:space="preserve"> </v>
      </c>
      <c r="AK252" s="40" t="str">
        <f>IFERROR(#REF!*Tabla1[[#This Row],[D]]," ")</f>
        <v xml:space="preserve"> </v>
      </c>
      <c r="AL252" s="103"/>
      <c r="AM252" s="103"/>
      <c r="AN252" s="103"/>
      <c r="AO252" s="38">
        <f>+Tabla1[[#This Row],[COS.B+E]]+Tabla1[[#This Row],[COS.F1]]+Tabla1[[#This Row],[COS.D1]]+Tabla1[[#This Row],[ALIMENTACION]]+Tabla1[[#This Row],[PRESTAMO]]+AN252</f>
        <v>35.81</v>
      </c>
      <c r="AP252" s="38" t="e">
        <f>+#REF!+Tabla1[[#This Row],[COS F2]]+Tabla1[[#This Row],[COS D2]]+Tabla1[[#This Row],[ALIMENTACION]]+Tabla1[[#This Row],[PRESTAMO]]+Tabla1[[#This Row],[PASAJES]]</f>
        <v>#REF!</v>
      </c>
    </row>
    <row r="253" spans="1:42" x14ac:dyDescent="0.25">
      <c r="A253" s="2" t="str">
        <f>TEXT(Tabla1[[#This Row],[FECHA ]],"DDDDD")</f>
        <v>martes</v>
      </c>
      <c r="B253" s="2" t="str">
        <f>_xlfn.IFNA(VLOOKUP(Tabla1[[#This Row],[DESTINO]],RUBRO!$Q$1:$R$9996,2,FALSE)," ")</f>
        <v>PLANTA</v>
      </c>
      <c r="C253" s="104">
        <f>WEEKNUM(Tabla1[[#This Row],[FECHA ]],2)</f>
        <v>20</v>
      </c>
      <c r="D253" s="104" t="str">
        <f>TEXT(Tabla1[[#This Row],[FECHA ]],"MMM-YY")</f>
        <v>may-YY</v>
      </c>
      <c r="E253" s="104" t="str">
        <f>VLOOKUP(Tabla1[[#This Row],[DNI ]],RUBRO!$F$1:$O$9996,7,FALSE)</f>
        <v>4ta</v>
      </c>
      <c r="F253" s="104" t="str">
        <f>VLOOKUP(Tabla1[[#This Row],[DNI ]],RUBRO!$F$1:$O$88,3,FALSE)</f>
        <v>TEC-01</v>
      </c>
      <c r="G253" s="104" t="str">
        <f>VLOOKUP(Tabla1[[#This Row],[DNI ]],RUBRO!$F$1:$O$9996,5,FALSE)</f>
        <v>TECNICO SOLDADOR</v>
      </c>
      <c r="H253" s="66" t="str">
        <f>VLOOKUP(Tabla1[[#This Row],[DNI ]],RUBRO!$F$1:$O$9996,6,FALSE)</f>
        <v>GUEVARA PACHERREZ ERICK DANIEL</v>
      </c>
      <c r="I253" s="94">
        <v>44327</v>
      </c>
      <c r="J253" s="10">
        <v>1</v>
      </c>
      <c r="K253" s="2">
        <v>45545014</v>
      </c>
      <c r="L253" s="4">
        <f>VLOOKUP(Tabla1[[#This Row],[DNI ]],RUBRO!$F$2:$O$9996,8,FALSE)</f>
        <v>60</v>
      </c>
      <c r="M253" s="88">
        <v>0.29166666666666669</v>
      </c>
      <c r="N253" s="28">
        <v>0.54166666666666663</v>
      </c>
      <c r="O253" s="28">
        <v>0.58333333333333337</v>
      </c>
      <c r="P253" s="28">
        <v>0.79166666666666663</v>
      </c>
      <c r="Q253" s="31">
        <f>(Tabla1[[#This Row],[SALIDA]]-Tabla1[[#This Row],[FIN ]])+(Tabla1[[#This Row],[INICIO]]-Tabla1[[#This Row],[INGRESO]])</f>
        <v>0.4583333333333332</v>
      </c>
      <c r="R253" s="13">
        <f t="shared" si="9"/>
        <v>0.375</v>
      </c>
      <c r="S253" s="31">
        <f t="shared" si="10"/>
        <v>8.3333333333333204E-2</v>
      </c>
      <c r="T253" s="136"/>
      <c r="U253" s="136"/>
      <c r="V253" s="137">
        <f>(Tabla1[[#This Row],[COS.BASE 3]]*0.25+Tabla1[[#This Row],[COS.BASE 3]])*Tabla1[[#This Row],[HORAS 25 % ]]</f>
        <v>0</v>
      </c>
      <c r="W253" s="138">
        <f>(Tabla1[[#This Row],[COS.BASE 3]]*0.35+Tabla1[[#This Row],[COS.BASE 3]])*Tabla1[[#This Row],[HORAS 35% ]]</f>
        <v>0</v>
      </c>
      <c r="X253" s="138">
        <f>SUM(Tabla1[[#This Row],[C.HORA.35]],Tabla1[[#This Row],[C.HORA.25]])</f>
        <v>0</v>
      </c>
      <c r="Y253" s="4"/>
      <c r="Z253" s="10">
        <f>Tabla1[[#This Row],[T.HORAS]]*24</f>
        <v>10.999999999999996</v>
      </c>
      <c r="AA253" s="4">
        <f>Tabla1[[#This Row],[H.NORMALES]]*24</f>
        <v>9</v>
      </c>
      <c r="AB253" s="10">
        <f>Tabla1[[#This Row],[H.EXTRAS]]*24</f>
        <v>1.9999999999999969</v>
      </c>
      <c r="AC253" s="105">
        <f t="shared" si="12"/>
        <v>60</v>
      </c>
      <c r="AD253" s="120">
        <f>Tabla1[[#This Row],[COS.BASE 2]]/8</f>
        <v>7.5</v>
      </c>
      <c r="AE253" s="105">
        <f>Tabla1[[#This Row],[CST_H_E]]+Tabla1[[#This Row],[COS.BASE 2]]</f>
        <v>60</v>
      </c>
      <c r="AF253" s="106">
        <f>+_xlfn.IFNA(INDEX(RUBRO!$W$2:$AA$732,MATCH(Tabla1[[#This Row],[FECHA ]],RUBRO!$W$2:$W$732,0),5)," ")</f>
        <v>0</v>
      </c>
      <c r="AG253" s="10">
        <f>+_xlfn.IFNA(INDEX(RUBRO!$W$2:$AA$732,MATCH(Tabla1[[#This Row],[FECHA ]],RUBRO!$W$2:$W$732,0),2)," ")</f>
        <v>0</v>
      </c>
      <c r="AH253" s="40">
        <f>IFERROR(Tabla1[[#This Row],[F]]*Tabla1[[#This Row],[COS.B+E]]," ")</f>
        <v>0</v>
      </c>
      <c r="AI253" s="40">
        <f>IFERROR(Tabla1[[#This Row],[COS.B+E]]*Tabla1[[#This Row],[D]]," ")</f>
        <v>0</v>
      </c>
      <c r="AJ253" s="40" t="str">
        <f>IFERROR(Tabla1[[#This Row],[F]]*#REF!," ")</f>
        <v xml:space="preserve"> </v>
      </c>
      <c r="AK253" s="40" t="str">
        <f>IFERROR(#REF!*Tabla1[[#This Row],[D]]," ")</f>
        <v xml:space="preserve"> </v>
      </c>
      <c r="AL253" s="103"/>
      <c r="AM253" s="103"/>
      <c r="AN253" s="103"/>
      <c r="AO253" s="38">
        <f>+Tabla1[[#This Row],[COS.B+E]]+Tabla1[[#This Row],[COS.F1]]+Tabla1[[#This Row],[COS.D1]]+Tabla1[[#This Row],[ALIMENTACION]]+Tabla1[[#This Row],[PRESTAMO]]+AN253</f>
        <v>60</v>
      </c>
      <c r="AP253" s="38" t="e">
        <f>+#REF!+Tabla1[[#This Row],[COS F2]]+Tabla1[[#This Row],[COS D2]]+Tabla1[[#This Row],[ALIMENTACION]]+Tabla1[[#This Row],[PRESTAMO]]+Tabla1[[#This Row],[PASAJES]]</f>
        <v>#REF!</v>
      </c>
    </row>
    <row r="254" spans="1:42" x14ac:dyDescent="0.25">
      <c r="A254" s="2" t="str">
        <f>TEXT(Tabla1[[#This Row],[FECHA ]],"DDDDD")</f>
        <v>martes</v>
      </c>
      <c r="B254" s="2" t="str">
        <f>_xlfn.IFNA(VLOOKUP(Tabla1[[#This Row],[DESTINO]],RUBRO!$Q$1:$R$9996,2,FALSE)," ")</f>
        <v>OBRA</v>
      </c>
      <c r="C254" s="104">
        <f>WEEKNUM(Tabla1[[#This Row],[FECHA ]],2)</f>
        <v>20</v>
      </c>
      <c r="D254" s="104" t="str">
        <f>TEXT(Tabla1[[#This Row],[FECHA ]],"MMM-YY")</f>
        <v>may-YY</v>
      </c>
      <c r="E254" s="104" t="str">
        <f>VLOOKUP(Tabla1[[#This Row],[DNI ]],RUBRO!$F$1:$O$9996,7,FALSE)</f>
        <v>5ta</v>
      </c>
      <c r="F254" s="104" t="str">
        <f>VLOOKUP(Tabla1[[#This Row],[DNI ]],RUBRO!$F$1:$O$88,3,FALSE)</f>
        <v>X6</v>
      </c>
      <c r="G254" s="104" t="str">
        <f>VLOOKUP(Tabla1[[#This Row],[DNI ]],RUBRO!$F$1:$O$9996,5,FALSE)</f>
        <v>SUPERVISOR DE MONTAJE Y DESMONTAJE</v>
      </c>
      <c r="H254" s="66" t="str">
        <f>VLOOKUP(Tabla1[[#This Row],[DNI ]],RUBRO!$F$1:$O$9996,6,FALSE)</f>
        <v>HERRERA NAVARRO OSMER</v>
      </c>
      <c r="I254" s="94">
        <v>44327</v>
      </c>
      <c r="J254" s="10">
        <v>2</v>
      </c>
      <c r="K254" s="2">
        <v>45327555</v>
      </c>
      <c r="L254" s="4">
        <f>VLOOKUP(Tabla1[[#This Row],[DNI ]],RUBRO!$F$2:$O$9996,8,FALSE)</f>
        <v>62.31</v>
      </c>
      <c r="M254" s="88">
        <v>0.29166666666666669</v>
      </c>
      <c r="N254" s="28">
        <v>0.54166666666666663</v>
      </c>
      <c r="O254" s="28">
        <v>0.58333333333333337</v>
      </c>
      <c r="P254" s="28">
        <v>0.75</v>
      </c>
      <c r="Q254" s="31">
        <f>(Tabla1[[#This Row],[SALIDA]]-Tabla1[[#This Row],[FIN ]])+(Tabla1[[#This Row],[INICIO]]-Tabla1[[#This Row],[INGRESO]])</f>
        <v>0.41666666666666657</v>
      </c>
      <c r="R254" s="13">
        <f t="shared" si="9"/>
        <v>0.33333333333333331</v>
      </c>
      <c r="S254" s="31">
        <f t="shared" si="10"/>
        <v>8.3333333333333259E-2</v>
      </c>
      <c r="T254" s="136"/>
      <c r="U254" s="136"/>
      <c r="V254" s="137">
        <f>(Tabla1[[#This Row],[COS.BASE 3]]*0.25+Tabla1[[#This Row],[COS.BASE 3]])*Tabla1[[#This Row],[HORAS 25 % ]]</f>
        <v>0</v>
      </c>
      <c r="W254" s="138">
        <f>(Tabla1[[#This Row],[COS.BASE 3]]*0.35+Tabla1[[#This Row],[COS.BASE 3]])*Tabla1[[#This Row],[HORAS 35% ]]</f>
        <v>0</v>
      </c>
      <c r="X254" s="138">
        <f>SUM(Tabla1[[#This Row],[C.HORA.35]],Tabla1[[#This Row],[C.HORA.25]])</f>
        <v>0</v>
      </c>
      <c r="Y254" s="4"/>
      <c r="Z254" s="10">
        <f>Tabla1[[#This Row],[T.HORAS]]*24</f>
        <v>9.9999999999999982</v>
      </c>
      <c r="AA254" s="4">
        <f>Tabla1[[#This Row],[H.NORMALES]]*24</f>
        <v>8</v>
      </c>
      <c r="AB254" s="10">
        <f>Tabla1[[#This Row],[H.EXTRAS]]*24</f>
        <v>1.9999999999999982</v>
      </c>
      <c r="AC254" s="105">
        <f t="shared" si="12"/>
        <v>62.31</v>
      </c>
      <c r="AD254" s="120">
        <f>Tabla1[[#This Row],[COS.BASE 2]]/8</f>
        <v>7.7887500000000003</v>
      </c>
      <c r="AE254" s="105">
        <f>Tabla1[[#This Row],[CST_H_E]]+Tabla1[[#This Row],[COS.BASE 2]]</f>
        <v>62.31</v>
      </c>
      <c r="AF254" s="106">
        <f>+_xlfn.IFNA(INDEX(RUBRO!$W$2:$AA$732,MATCH(Tabla1[[#This Row],[FECHA ]],RUBRO!$W$2:$W$732,0),5)," ")</f>
        <v>0</v>
      </c>
      <c r="AG254" s="10">
        <f>+_xlfn.IFNA(INDEX(RUBRO!$W$2:$AA$732,MATCH(Tabla1[[#This Row],[FECHA ]],RUBRO!$W$2:$W$732,0),2)," ")</f>
        <v>0</v>
      </c>
      <c r="AH254" s="40">
        <f>IFERROR(Tabla1[[#This Row],[F]]*Tabla1[[#This Row],[COS.B+E]]," ")</f>
        <v>0</v>
      </c>
      <c r="AI254" s="40">
        <f>IFERROR(Tabla1[[#This Row],[COS.B+E]]*Tabla1[[#This Row],[D]]," ")</f>
        <v>0</v>
      </c>
      <c r="AJ254" s="40" t="str">
        <f>IFERROR(Tabla1[[#This Row],[F]]*#REF!," ")</f>
        <v xml:space="preserve"> </v>
      </c>
      <c r="AK254" s="40" t="str">
        <f>IFERROR(#REF!*Tabla1[[#This Row],[D]]," ")</f>
        <v xml:space="preserve"> </v>
      </c>
      <c r="AL254" s="103"/>
      <c r="AM254" s="103"/>
      <c r="AN254" s="103"/>
      <c r="AO254" s="38">
        <f>+Tabla1[[#This Row],[COS.B+E]]+Tabla1[[#This Row],[COS.F1]]+Tabla1[[#This Row],[COS.D1]]+Tabla1[[#This Row],[ALIMENTACION]]+Tabla1[[#This Row],[PRESTAMO]]+AN254</f>
        <v>62.31</v>
      </c>
      <c r="AP254" s="38" t="e">
        <f>+#REF!+Tabla1[[#This Row],[COS F2]]+Tabla1[[#This Row],[COS D2]]+Tabla1[[#This Row],[ALIMENTACION]]+Tabla1[[#This Row],[PRESTAMO]]+Tabla1[[#This Row],[PASAJES]]</f>
        <v>#REF!</v>
      </c>
    </row>
    <row r="255" spans="1:42" x14ac:dyDescent="0.25">
      <c r="A255" s="2" t="str">
        <f>TEXT(Tabla1[[#This Row],[FECHA ]],"DDDDD")</f>
        <v>martes</v>
      </c>
      <c r="B255" s="2" t="str">
        <f>_xlfn.IFNA(VLOOKUP(Tabla1[[#This Row],[DESTINO]],RUBRO!$Q$1:$R$9996,2,FALSE)," ")</f>
        <v>PLANTA</v>
      </c>
      <c r="C255" s="104">
        <f>WEEKNUM(Tabla1[[#This Row],[FECHA ]],2)</f>
        <v>20</v>
      </c>
      <c r="D255" s="104" t="str">
        <f>TEXT(Tabla1[[#This Row],[FECHA ]],"MMM-YY")</f>
        <v>may-YY</v>
      </c>
      <c r="E255" s="104" t="str">
        <f>VLOOKUP(Tabla1[[#This Row],[DNI ]],RUBRO!$F$1:$O$9996,7,FALSE)</f>
        <v>5ta</v>
      </c>
      <c r="F255" s="104" t="str">
        <f>VLOOKUP(Tabla1[[#This Row],[DNI ]],RUBRO!$F$1:$O$88,3,FALSE)</f>
        <v>TEC-04</v>
      </c>
      <c r="G255" s="104" t="str">
        <f>VLOOKUP(Tabla1[[#This Row],[DNI ]],RUBRO!$F$1:$O$9996,5,FALSE)</f>
        <v>TECNICO MECANICO MONTAJISTA DE MAQUINARIA EXTRANJERA</v>
      </c>
      <c r="H255" s="66" t="str">
        <f>VLOOKUP(Tabla1[[#This Row],[DNI ]],RUBRO!$F$1:$O$9996,6,FALSE)</f>
        <v>IDROGO CHAVEZ EMANUEL</v>
      </c>
      <c r="I255" s="94">
        <v>44327</v>
      </c>
      <c r="J255" s="10">
        <v>1</v>
      </c>
      <c r="K255" s="2">
        <v>46228460</v>
      </c>
      <c r="L255" s="4">
        <f>VLOOKUP(Tabla1[[#This Row],[DNI ]],RUBRO!$F$2:$O$9996,8,FALSE)</f>
        <v>67.66</v>
      </c>
      <c r="M255" s="88">
        <v>0.29166666666666669</v>
      </c>
      <c r="N255" s="28">
        <v>0.54166666666666663</v>
      </c>
      <c r="O255" s="28">
        <v>0.58333333333333337</v>
      </c>
      <c r="P255" s="28">
        <v>0.75</v>
      </c>
      <c r="Q255" s="31">
        <f>(Tabla1[[#This Row],[SALIDA]]-Tabla1[[#This Row],[FIN ]])+(Tabla1[[#This Row],[INICIO]]-Tabla1[[#This Row],[INGRESO]])</f>
        <v>0.41666666666666657</v>
      </c>
      <c r="R255" s="13">
        <f t="shared" si="9"/>
        <v>0.375</v>
      </c>
      <c r="S255" s="31">
        <f t="shared" si="10"/>
        <v>4.1666666666666574E-2</v>
      </c>
      <c r="T255" s="136"/>
      <c r="U255" s="136"/>
      <c r="V255" s="137">
        <f>(Tabla1[[#This Row],[COS.BASE 3]]*0.25+Tabla1[[#This Row],[COS.BASE 3]])*Tabla1[[#This Row],[HORAS 25 % ]]</f>
        <v>0</v>
      </c>
      <c r="W255" s="138">
        <f>(Tabla1[[#This Row],[COS.BASE 3]]*0.35+Tabla1[[#This Row],[COS.BASE 3]])*Tabla1[[#This Row],[HORAS 35% ]]</f>
        <v>0</v>
      </c>
      <c r="X255" s="138">
        <f>SUM(Tabla1[[#This Row],[C.HORA.35]],Tabla1[[#This Row],[C.HORA.25]])</f>
        <v>0</v>
      </c>
      <c r="Y255" s="4"/>
      <c r="Z255" s="10">
        <f>Tabla1[[#This Row],[T.HORAS]]*24</f>
        <v>9.9999999999999982</v>
      </c>
      <c r="AA255" s="4">
        <f>Tabla1[[#This Row],[H.NORMALES]]*24</f>
        <v>9</v>
      </c>
      <c r="AB255" s="10">
        <f>Tabla1[[#This Row],[H.EXTRAS]]*24</f>
        <v>0.99999999999999778</v>
      </c>
      <c r="AC255" s="105">
        <f t="shared" si="12"/>
        <v>67.66</v>
      </c>
      <c r="AD255" s="120">
        <f>Tabla1[[#This Row],[COS.BASE 2]]/8</f>
        <v>8.4574999999999996</v>
      </c>
      <c r="AE255" s="105">
        <f>Tabla1[[#This Row],[CST_H_E]]+Tabla1[[#This Row],[COS.BASE 2]]</f>
        <v>67.66</v>
      </c>
      <c r="AF255" s="106">
        <f>+_xlfn.IFNA(INDEX(RUBRO!$W$2:$AA$732,MATCH(Tabla1[[#This Row],[FECHA ]],RUBRO!$W$2:$W$732,0),5)," ")</f>
        <v>0</v>
      </c>
      <c r="AG255" s="10">
        <f>+_xlfn.IFNA(INDEX(RUBRO!$W$2:$AA$732,MATCH(Tabla1[[#This Row],[FECHA ]],RUBRO!$W$2:$W$732,0),2)," ")</f>
        <v>0</v>
      </c>
      <c r="AH255" s="40">
        <f>IFERROR(Tabla1[[#This Row],[F]]*Tabla1[[#This Row],[COS.B+E]]," ")</f>
        <v>0</v>
      </c>
      <c r="AI255" s="40">
        <f>IFERROR(Tabla1[[#This Row],[COS.B+E]]*Tabla1[[#This Row],[D]]," ")</f>
        <v>0</v>
      </c>
      <c r="AJ255" s="40" t="str">
        <f>IFERROR(Tabla1[[#This Row],[F]]*#REF!," ")</f>
        <v xml:space="preserve"> </v>
      </c>
      <c r="AK255" s="40" t="str">
        <f>IFERROR(#REF!*Tabla1[[#This Row],[D]]," ")</f>
        <v xml:space="preserve"> </v>
      </c>
      <c r="AL255" s="103"/>
      <c r="AM255" s="103"/>
      <c r="AN255" s="103"/>
      <c r="AO255" s="38">
        <f>+Tabla1[[#This Row],[COS.B+E]]+Tabla1[[#This Row],[COS.F1]]+Tabla1[[#This Row],[COS.D1]]+Tabla1[[#This Row],[ALIMENTACION]]+Tabla1[[#This Row],[PRESTAMO]]+AN255</f>
        <v>67.66</v>
      </c>
      <c r="AP255" s="38" t="e">
        <f>+#REF!+Tabla1[[#This Row],[COS F2]]+Tabla1[[#This Row],[COS D2]]+Tabla1[[#This Row],[ALIMENTACION]]+Tabla1[[#This Row],[PRESTAMO]]+Tabla1[[#This Row],[PASAJES]]</f>
        <v>#REF!</v>
      </c>
    </row>
    <row r="256" spans="1:42" x14ac:dyDescent="0.25">
      <c r="A256" s="2" t="str">
        <f>TEXT(Tabla1[[#This Row],[FECHA ]],"DDDDD")</f>
        <v>martes</v>
      </c>
      <c r="B256" s="2" t="str">
        <f>_xlfn.IFNA(VLOOKUP(Tabla1[[#This Row],[DESTINO]],RUBRO!$Q$1:$R$9996,2,FALSE)," ")</f>
        <v>OBRA</v>
      </c>
      <c r="C256" s="104">
        <f>WEEKNUM(Tabla1[[#This Row],[FECHA ]],2)</f>
        <v>20</v>
      </c>
      <c r="D256" s="104" t="str">
        <f>TEXT(Tabla1[[#This Row],[FECHA ]],"MMM-YY")</f>
        <v>may-YY</v>
      </c>
      <c r="E256" s="104" t="str">
        <f>VLOOKUP(Tabla1[[#This Row],[DNI ]],RUBRO!$F$1:$O$9996,7,FALSE)</f>
        <v>5ta</v>
      </c>
      <c r="F256" s="104" t="e">
        <f>VLOOKUP(Tabla1[[#This Row],[DNI ]],RUBRO!$F$1:$O$88,3,FALSE)</f>
        <v>#N/A</v>
      </c>
      <c r="G256" s="104" t="str">
        <f>VLOOKUP(Tabla1[[#This Row],[DNI ]],RUBRO!$F$1:$O$9996,5,FALSE)</f>
        <v>AYUDANTE DE PRODUCCION</v>
      </c>
      <c r="H256" s="66" t="str">
        <f>VLOOKUP(Tabla1[[#This Row],[DNI ]],RUBRO!$F$1:$O$9996,6,FALSE)</f>
        <v>JUNCO ORDOÑEZ SAMUEL</v>
      </c>
      <c r="I256" s="94">
        <v>44327</v>
      </c>
      <c r="J256" s="10">
        <v>2</v>
      </c>
      <c r="K256" s="2">
        <v>75913657</v>
      </c>
      <c r="L256" s="4">
        <f>VLOOKUP(Tabla1[[#This Row],[DNI ]],RUBRO!$F$2:$O$9996,8,FALSE)</f>
        <v>60</v>
      </c>
      <c r="M256" s="88">
        <v>0.29166666666666669</v>
      </c>
      <c r="N256" s="28">
        <v>0.54166666666666663</v>
      </c>
      <c r="O256" s="28">
        <v>0.58333333333333337</v>
      </c>
      <c r="P256" s="28">
        <v>0.75</v>
      </c>
      <c r="Q256" s="31">
        <f>(Tabla1[[#This Row],[SALIDA]]-Tabla1[[#This Row],[FIN ]])+(Tabla1[[#This Row],[INICIO]]-Tabla1[[#This Row],[INGRESO]])</f>
        <v>0.41666666666666657</v>
      </c>
      <c r="R256" s="13">
        <f t="shared" si="9"/>
        <v>0.33333333333333331</v>
      </c>
      <c r="S256" s="31">
        <f t="shared" si="10"/>
        <v>8.3333333333333259E-2</v>
      </c>
      <c r="T256" s="136"/>
      <c r="U256" s="136"/>
      <c r="V256" s="137">
        <f>(Tabla1[[#This Row],[COS.BASE 3]]*0.25+Tabla1[[#This Row],[COS.BASE 3]])*Tabla1[[#This Row],[HORAS 25 % ]]</f>
        <v>0</v>
      </c>
      <c r="W256" s="138">
        <f>(Tabla1[[#This Row],[COS.BASE 3]]*0.35+Tabla1[[#This Row],[COS.BASE 3]])*Tabla1[[#This Row],[HORAS 35% ]]</f>
        <v>0</v>
      </c>
      <c r="X256" s="138">
        <f>SUM(Tabla1[[#This Row],[C.HORA.35]],Tabla1[[#This Row],[C.HORA.25]])</f>
        <v>0</v>
      </c>
      <c r="Y256" s="4"/>
      <c r="Z256" s="10">
        <f>Tabla1[[#This Row],[T.HORAS]]*24</f>
        <v>9.9999999999999982</v>
      </c>
      <c r="AA256" s="4">
        <f>Tabla1[[#This Row],[H.NORMALES]]*24</f>
        <v>8</v>
      </c>
      <c r="AB256" s="10">
        <f>Tabla1[[#This Row],[H.EXTRAS]]*24</f>
        <v>1.9999999999999982</v>
      </c>
      <c r="AC256" s="105">
        <f t="shared" si="12"/>
        <v>60</v>
      </c>
      <c r="AD256" s="120">
        <f>Tabla1[[#This Row],[COS.BASE 2]]/8</f>
        <v>7.5</v>
      </c>
      <c r="AE256" s="105">
        <f>Tabla1[[#This Row],[CST_H_E]]+Tabla1[[#This Row],[COS.BASE 2]]</f>
        <v>60</v>
      </c>
      <c r="AF256" s="106">
        <f>+_xlfn.IFNA(INDEX(RUBRO!$W$2:$AA$732,MATCH(Tabla1[[#This Row],[FECHA ]],RUBRO!$W$2:$W$732,0),5)," ")</f>
        <v>0</v>
      </c>
      <c r="AG256" s="10">
        <f>+_xlfn.IFNA(INDEX(RUBRO!$W$2:$AA$732,MATCH(Tabla1[[#This Row],[FECHA ]],RUBRO!$W$2:$W$732,0),2)," ")</f>
        <v>0</v>
      </c>
      <c r="AH256" s="40">
        <f>IFERROR(Tabla1[[#This Row],[F]]*Tabla1[[#This Row],[COS.B+E]]," ")</f>
        <v>0</v>
      </c>
      <c r="AI256" s="40">
        <f>IFERROR(Tabla1[[#This Row],[COS.B+E]]*Tabla1[[#This Row],[D]]," ")</f>
        <v>0</v>
      </c>
      <c r="AJ256" s="40" t="str">
        <f>IFERROR(Tabla1[[#This Row],[F]]*#REF!," ")</f>
        <v xml:space="preserve"> </v>
      </c>
      <c r="AK256" s="40" t="str">
        <f>IFERROR(#REF!*Tabla1[[#This Row],[D]]," ")</f>
        <v xml:space="preserve"> </v>
      </c>
      <c r="AL256" s="103"/>
      <c r="AM256" s="103"/>
      <c r="AN256" s="103"/>
      <c r="AO256" s="38">
        <f>+Tabla1[[#This Row],[COS.B+E]]+Tabla1[[#This Row],[COS.F1]]+Tabla1[[#This Row],[COS.D1]]+Tabla1[[#This Row],[ALIMENTACION]]+Tabla1[[#This Row],[PRESTAMO]]+AN256</f>
        <v>60</v>
      </c>
      <c r="AP256" s="38" t="e">
        <f>+#REF!+Tabla1[[#This Row],[COS F2]]+Tabla1[[#This Row],[COS D2]]+Tabla1[[#This Row],[ALIMENTACION]]+Tabla1[[#This Row],[PRESTAMO]]+Tabla1[[#This Row],[PASAJES]]</f>
        <v>#REF!</v>
      </c>
    </row>
    <row r="257" spans="1:42" x14ac:dyDescent="0.25">
      <c r="A257" s="2" t="str">
        <f>TEXT(Tabla1[[#This Row],[FECHA ]],"DDDDD")</f>
        <v>martes</v>
      </c>
      <c r="B257" s="2" t="str">
        <f>_xlfn.IFNA(VLOOKUP(Tabla1[[#This Row],[DESTINO]],RUBRO!$Q$1:$R$9996,2,FALSE)," ")</f>
        <v>PLANTA</v>
      </c>
      <c r="C257" s="104">
        <f>WEEKNUM(Tabla1[[#This Row],[FECHA ]],2)</f>
        <v>20</v>
      </c>
      <c r="D257" s="104" t="str">
        <f>TEXT(Tabla1[[#This Row],[FECHA ]],"MMM-YY")</f>
        <v>may-YY</v>
      </c>
      <c r="E257" s="104" t="str">
        <f>VLOOKUP(Tabla1[[#This Row],[DNI ]],RUBRO!$F$1:$O$9996,7,FALSE)</f>
        <v>5ta</v>
      </c>
      <c r="F257" s="104" t="str">
        <f>VLOOKUP(Tabla1[[#This Row],[DNI ]],RUBRO!$F$1:$O$88,3,FALSE)</f>
        <v>MAE3G-01</v>
      </c>
      <c r="G257" s="104" t="str">
        <f>VLOOKUP(Tabla1[[#This Row],[DNI ]],RUBRO!$F$1:$O$9996,5,FALSE)</f>
        <v>MAESTRO SOLDADOR 3G</v>
      </c>
      <c r="H257" s="66" t="str">
        <f>VLOOKUP(Tabla1[[#This Row],[DNI ]],RUBRO!$F$1:$O$9996,6,FALSE)</f>
        <v>LABAN SEVERINO EDWIN DENIS</v>
      </c>
      <c r="I257" s="94">
        <v>44327</v>
      </c>
      <c r="J257" s="10">
        <v>1</v>
      </c>
      <c r="K257" s="2">
        <v>47466045</v>
      </c>
      <c r="L257" s="4">
        <f>VLOOKUP(Tabla1[[#This Row],[DNI ]],RUBRO!$F$2:$O$9996,8,FALSE)</f>
        <v>70.38</v>
      </c>
      <c r="M257" s="88">
        <v>0.29166666666666669</v>
      </c>
      <c r="N257" s="28">
        <v>0.54166666666666663</v>
      </c>
      <c r="O257" s="28">
        <v>0.58333333333333337</v>
      </c>
      <c r="P257" s="28">
        <v>0.75</v>
      </c>
      <c r="Q257" s="31">
        <f>(Tabla1[[#This Row],[SALIDA]]-Tabla1[[#This Row],[FIN ]])+(Tabla1[[#This Row],[INICIO]]-Tabla1[[#This Row],[INGRESO]])</f>
        <v>0.41666666666666657</v>
      </c>
      <c r="R257" s="13">
        <f t="shared" si="9"/>
        <v>0.375</v>
      </c>
      <c r="S257" s="31">
        <f t="shared" si="10"/>
        <v>4.1666666666666574E-2</v>
      </c>
      <c r="T257" s="136"/>
      <c r="U257" s="136"/>
      <c r="V257" s="137">
        <f>(Tabla1[[#This Row],[COS.BASE 3]]*0.25+Tabla1[[#This Row],[COS.BASE 3]])*Tabla1[[#This Row],[HORAS 25 % ]]</f>
        <v>0</v>
      </c>
      <c r="W257" s="138">
        <f>(Tabla1[[#This Row],[COS.BASE 3]]*0.35+Tabla1[[#This Row],[COS.BASE 3]])*Tabla1[[#This Row],[HORAS 35% ]]</f>
        <v>0</v>
      </c>
      <c r="X257" s="138">
        <f>SUM(Tabla1[[#This Row],[C.HORA.35]],Tabla1[[#This Row],[C.HORA.25]])</f>
        <v>0</v>
      </c>
      <c r="Y257" s="4"/>
      <c r="Z257" s="10">
        <f>Tabla1[[#This Row],[T.HORAS]]*24</f>
        <v>9.9999999999999982</v>
      </c>
      <c r="AA257" s="4">
        <f>Tabla1[[#This Row],[H.NORMALES]]*24</f>
        <v>9</v>
      </c>
      <c r="AB257" s="10">
        <f>Tabla1[[#This Row],[H.EXTRAS]]*24</f>
        <v>0.99999999999999778</v>
      </c>
      <c r="AC257" s="105">
        <f t="shared" si="12"/>
        <v>70.38</v>
      </c>
      <c r="AD257" s="120">
        <f>Tabla1[[#This Row],[COS.BASE 2]]/8</f>
        <v>8.7974999999999994</v>
      </c>
      <c r="AE257" s="105">
        <f>Tabla1[[#This Row],[CST_H_E]]+Tabla1[[#This Row],[COS.BASE 2]]</f>
        <v>70.38</v>
      </c>
      <c r="AF257" s="106">
        <f>+_xlfn.IFNA(INDEX(RUBRO!$W$2:$AA$732,MATCH(Tabla1[[#This Row],[FECHA ]],RUBRO!$W$2:$W$732,0),5)," ")</f>
        <v>0</v>
      </c>
      <c r="AG257" s="10">
        <f>+_xlfn.IFNA(INDEX(RUBRO!$W$2:$AA$732,MATCH(Tabla1[[#This Row],[FECHA ]],RUBRO!$W$2:$W$732,0),2)," ")</f>
        <v>0</v>
      </c>
      <c r="AH257" s="40">
        <f>IFERROR(Tabla1[[#This Row],[F]]*Tabla1[[#This Row],[COS.B+E]]," ")</f>
        <v>0</v>
      </c>
      <c r="AI257" s="40">
        <f>IFERROR(Tabla1[[#This Row],[COS.B+E]]*Tabla1[[#This Row],[D]]," ")</f>
        <v>0</v>
      </c>
      <c r="AJ257" s="40" t="str">
        <f>IFERROR(Tabla1[[#This Row],[F]]*#REF!," ")</f>
        <v xml:space="preserve"> </v>
      </c>
      <c r="AK257" s="40" t="str">
        <f>IFERROR(#REF!*Tabla1[[#This Row],[D]]," ")</f>
        <v xml:space="preserve"> </v>
      </c>
      <c r="AL257" s="103"/>
      <c r="AM257" s="103"/>
      <c r="AN257" s="103"/>
      <c r="AO257" s="38">
        <f>+Tabla1[[#This Row],[COS.B+E]]+Tabla1[[#This Row],[COS.F1]]+Tabla1[[#This Row],[COS.D1]]+Tabla1[[#This Row],[ALIMENTACION]]+Tabla1[[#This Row],[PRESTAMO]]+AN257</f>
        <v>70.38</v>
      </c>
      <c r="AP257" s="38" t="e">
        <f>+#REF!+Tabla1[[#This Row],[COS F2]]+Tabla1[[#This Row],[COS D2]]+Tabla1[[#This Row],[ALIMENTACION]]+Tabla1[[#This Row],[PRESTAMO]]+Tabla1[[#This Row],[PASAJES]]</f>
        <v>#REF!</v>
      </c>
    </row>
    <row r="258" spans="1:42" x14ac:dyDescent="0.25">
      <c r="A258" s="2" t="str">
        <f>TEXT(Tabla1[[#This Row],[FECHA ]],"DDDDD")</f>
        <v>martes</v>
      </c>
      <c r="B258" s="2" t="str">
        <f>_xlfn.IFNA(VLOOKUP(Tabla1[[#This Row],[DESTINO]],RUBRO!$Q$1:$R$9996,2,FALSE)," ")</f>
        <v>OBRA</v>
      </c>
      <c r="C258" s="104">
        <f>WEEKNUM(Tabla1[[#This Row],[FECHA ]],2)</f>
        <v>20</v>
      </c>
      <c r="D258" s="104" t="str">
        <f>TEXT(Tabla1[[#This Row],[FECHA ]],"MMM-YY")</f>
        <v>may-YY</v>
      </c>
      <c r="E258" s="104" t="str">
        <f>VLOOKUP(Tabla1[[#This Row],[DNI ]],RUBRO!$F$1:$O$9996,7,FALSE)</f>
        <v>5ta</v>
      </c>
      <c r="F258" s="104" t="str">
        <f>VLOOKUP(Tabla1[[#This Row],[DNI ]],RUBRO!$F$1:$O$88,3,FALSE)</f>
        <v>AYU-VA</v>
      </c>
      <c r="G258" s="104" t="str">
        <f>VLOOKUP(Tabla1[[#This Row],[DNI ]],RUBRO!$F$1:$O$9996,5,FALSE)</f>
        <v>AYUDANTE DE PRODUCCION</v>
      </c>
      <c r="H258" s="66" t="str">
        <f>VLOOKUP(Tabla1[[#This Row],[DNI ]],RUBRO!$F$1:$O$9996,6,FALSE)</f>
        <v xml:space="preserve">LOPEZ TANTARICO ELY </v>
      </c>
      <c r="I258" s="94">
        <v>44327</v>
      </c>
      <c r="J258" s="10">
        <v>2</v>
      </c>
      <c r="K258" s="2">
        <v>62188868</v>
      </c>
      <c r="L258" s="4">
        <f>VLOOKUP(Tabla1[[#This Row],[DNI ]],RUBRO!$F$2:$O$9996,8,FALSE)</f>
        <v>39.15</v>
      </c>
      <c r="M258" s="88">
        <v>0.29166666666666669</v>
      </c>
      <c r="N258" s="28">
        <v>0.54166666666666663</v>
      </c>
      <c r="O258" s="28">
        <v>0.58333333333333337</v>
      </c>
      <c r="P258" s="28">
        <v>0.79166666666666663</v>
      </c>
      <c r="Q258" s="31">
        <f>(Tabla1[[#This Row],[SALIDA]]-Tabla1[[#This Row],[FIN ]])+(Tabla1[[#This Row],[INICIO]]-Tabla1[[#This Row],[INGRESO]])</f>
        <v>0.4583333333333332</v>
      </c>
      <c r="R258" s="13">
        <f t="shared" si="9"/>
        <v>0.33333333333333331</v>
      </c>
      <c r="S258" s="31">
        <f t="shared" si="10"/>
        <v>0.12499999999999989</v>
      </c>
      <c r="T258" s="136"/>
      <c r="U258" s="136"/>
      <c r="V258" s="137">
        <f>(Tabla1[[#This Row],[COS.BASE 3]]*0.25+Tabla1[[#This Row],[COS.BASE 3]])*Tabla1[[#This Row],[HORAS 25 % ]]</f>
        <v>0</v>
      </c>
      <c r="W258" s="138">
        <f>(Tabla1[[#This Row],[COS.BASE 3]]*0.35+Tabla1[[#This Row],[COS.BASE 3]])*Tabla1[[#This Row],[HORAS 35% ]]</f>
        <v>0</v>
      </c>
      <c r="X258" s="138">
        <f>SUM(Tabla1[[#This Row],[C.HORA.35]],Tabla1[[#This Row],[C.HORA.25]])</f>
        <v>0</v>
      </c>
      <c r="Y258" s="4"/>
      <c r="Z258" s="10">
        <f>Tabla1[[#This Row],[T.HORAS]]*24</f>
        <v>10.999999999999996</v>
      </c>
      <c r="AA258" s="4">
        <f>Tabla1[[#This Row],[H.NORMALES]]*24</f>
        <v>8</v>
      </c>
      <c r="AB258" s="10">
        <f>Tabla1[[#This Row],[H.EXTRAS]]*24</f>
        <v>2.9999999999999973</v>
      </c>
      <c r="AC258" s="105">
        <f t="shared" si="12"/>
        <v>39.15</v>
      </c>
      <c r="AD258" s="120">
        <f>Tabla1[[#This Row],[COS.BASE 2]]/8</f>
        <v>4.8937499999999998</v>
      </c>
      <c r="AE258" s="105">
        <f>Tabla1[[#This Row],[CST_H_E]]+Tabla1[[#This Row],[COS.BASE 2]]</f>
        <v>39.15</v>
      </c>
      <c r="AF258" s="106">
        <f>+_xlfn.IFNA(INDEX(RUBRO!$W$2:$AA$732,MATCH(Tabla1[[#This Row],[FECHA ]],RUBRO!$W$2:$W$732,0),5)," ")</f>
        <v>0</v>
      </c>
      <c r="AG258" s="10">
        <f>+_xlfn.IFNA(INDEX(RUBRO!$W$2:$AA$732,MATCH(Tabla1[[#This Row],[FECHA ]],RUBRO!$W$2:$W$732,0),2)," ")</f>
        <v>0</v>
      </c>
      <c r="AH258" s="40">
        <f>IFERROR(Tabla1[[#This Row],[F]]*Tabla1[[#This Row],[COS.B+E]]," ")</f>
        <v>0</v>
      </c>
      <c r="AI258" s="40">
        <f>IFERROR(Tabla1[[#This Row],[COS.B+E]]*Tabla1[[#This Row],[D]]," ")</f>
        <v>0</v>
      </c>
      <c r="AJ258" s="40" t="str">
        <f>IFERROR(Tabla1[[#This Row],[F]]*#REF!," ")</f>
        <v xml:space="preserve"> </v>
      </c>
      <c r="AK258" s="40" t="str">
        <f>IFERROR(#REF!*Tabla1[[#This Row],[D]]," ")</f>
        <v xml:space="preserve"> </v>
      </c>
      <c r="AL258" s="103"/>
      <c r="AM258" s="103"/>
      <c r="AN258" s="103"/>
      <c r="AO258" s="38">
        <f>+Tabla1[[#This Row],[COS.B+E]]+Tabla1[[#This Row],[COS.F1]]+Tabla1[[#This Row],[COS.D1]]+Tabla1[[#This Row],[ALIMENTACION]]+Tabla1[[#This Row],[PRESTAMO]]+AN258</f>
        <v>39.15</v>
      </c>
      <c r="AP258" s="38" t="e">
        <f>+#REF!+Tabla1[[#This Row],[COS F2]]+Tabla1[[#This Row],[COS D2]]+Tabla1[[#This Row],[ALIMENTACION]]+Tabla1[[#This Row],[PRESTAMO]]+Tabla1[[#This Row],[PASAJES]]</f>
        <v>#REF!</v>
      </c>
    </row>
    <row r="259" spans="1:42" x14ac:dyDescent="0.25">
      <c r="A259" s="2" t="str">
        <f>TEXT(Tabla1[[#This Row],[FECHA ]],"DDDDD")</f>
        <v>martes</v>
      </c>
      <c r="B259" s="2" t="str">
        <f>_xlfn.IFNA(VLOOKUP(Tabla1[[#This Row],[DESTINO]],RUBRO!$Q$1:$R$9996,2,FALSE)," ")</f>
        <v>OBRA</v>
      </c>
      <c r="C259" s="104">
        <f>WEEKNUM(Tabla1[[#This Row],[FECHA ]],2)</f>
        <v>20</v>
      </c>
      <c r="D259" s="104" t="str">
        <f>TEXT(Tabla1[[#This Row],[FECHA ]],"MMM-YY")</f>
        <v>may-YY</v>
      </c>
      <c r="E259" s="104" t="str">
        <f>VLOOKUP(Tabla1[[#This Row],[DNI ]],RUBRO!$F$1:$O$9996,7,FALSE)</f>
        <v>5ta</v>
      </c>
      <c r="F259" s="104" t="str">
        <f>VLOOKUP(Tabla1[[#This Row],[DNI ]],RUBRO!$F$1:$O$88,3,FALSE)</f>
        <v>TEC-02</v>
      </c>
      <c r="G259" s="104" t="str">
        <f>VLOOKUP(Tabla1[[#This Row],[DNI ]],RUBRO!$F$1:$O$9996,5,FALSE)</f>
        <v>TECNICO MECANICO MONTAJISTA DE MAQUINARIA</v>
      </c>
      <c r="H259" s="66" t="str">
        <f>VLOOKUP(Tabla1[[#This Row],[DNI ]],RUBRO!$F$1:$O$9996,6,FALSE)</f>
        <v>MEJIA AYALA LUIS MANUEL</v>
      </c>
      <c r="I259" s="94">
        <v>44327</v>
      </c>
      <c r="J259" s="10">
        <v>2</v>
      </c>
      <c r="K259" s="2">
        <v>73541627</v>
      </c>
      <c r="L259" s="4">
        <f>VLOOKUP(Tabla1[[#This Row],[DNI ]],RUBRO!$F$2:$O$9996,8,FALSE)</f>
        <v>55</v>
      </c>
      <c r="M259" s="88">
        <v>0.29166666666666669</v>
      </c>
      <c r="N259" s="28">
        <v>0.54166666666666663</v>
      </c>
      <c r="O259" s="28">
        <v>0.58333333333333337</v>
      </c>
      <c r="P259" s="28">
        <v>0.75</v>
      </c>
      <c r="Q259" s="31">
        <f>(Tabla1[[#This Row],[SALIDA]]-Tabla1[[#This Row],[FIN ]])+(Tabla1[[#This Row],[INICIO]]-Tabla1[[#This Row],[INGRESO]])</f>
        <v>0.41666666666666657</v>
      </c>
      <c r="R259" s="13">
        <f t="shared" si="9"/>
        <v>0.33333333333333331</v>
      </c>
      <c r="S259" s="31">
        <f t="shared" si="10"/>
        <v>8.3333333333333259E-2</v>
      </c>
      <c r="T259" s="136"/>
      <c r="U259" s="136"/>
      <c r="V259" s="137">
        <f>(Tabla1[[#This Row],[COS.BASE 3]]*0.25+Tabla1[[#This Row],[COS.BASE 3]])*Tabla1[[#This Row],[HORAS 25 % ]]</f>
        <v>0</v>
      </c>
      <c r="W259" s="138">
        <f>(Tabla1[[#This Row],[COS.BASE 3]]*0.35+Tabla1[[#This Row],[COS.BASE 3]])*Tabla1[[#This Row],[HORAS 35% ]]</f>
        <v>0</v>
      </c>
      <c r="X259" s="138">
        <f>SUM(Tabla1[[#This Row],[C.HORA.35]],Tabla1[[#This Row],[C.HORA.25]])</f>
        <v>0</v>
      </c>
      <c r="Y259" s="4"/>
      <c r="Z259" s="10">
        <f>Tabla1[[#This Row],[T.HORAS]]*24</f>
        <v>9.9999999999999982</v>
      </c>
      <c r="AA259" s="4">
        <f>Tabla1[[#This Row],[H.NORMALES]]*24</f>
        <v>8</v>
      </c>
      <c r="AB259" s="10">
        <f>Tabla1[[#This Row],[H.EXTRAS]]*24</f>
        <v>1.9999999999999982</v>
      </c>
      <c r="AC259" s="105">
        <f t="shared" si="12"/>
        <v>55</v>
      </c>
      <c r="AD259" s="120">
        <f>Tabla1[[#This Row],[COS.BASE 2]]/8</f>
        <v>6.875</v>
      </c>
      <c r="AE259" s="105">
        <f>Tabla1[[#This Row],[CST_H_E]]+Tabla1[[#This Row],[COS.BASE 2]]</f>
        <v>55</v>
      </c>
      <c r="AF259" s="106">
        <f>+_xlfn.IFNA(INDEX(RUBRO!$W$2:$AA$732,MATCH(Tabla1[[#This Row],[FECHA ]],RUBRO!$W$2:$W$732,0),5)," ")</f>
        <v>0</v>
      </c>
      <c r="AG259" s="10">
        <f>+_xlfn.IFNA(INDEX(RUBRO!$W$2:$AA$732,MATCH(Tabla1[[#This Row],[FECHA ]],RUBRO!$W$2:$W$732,0),2)," ")</f>
        <v>0</v>
      </c>
      <c r="AH259" s="40">
        <f>IFERROR(Tabla1[[#This Row],[F]]*Tabla1[[#This Row],[COS.B+E]]," ")</f>
        <v>0</v>
      </c>
      <c r="AI259" s="40">
        <f>IFERROR(Tabla1[[#This Row],[COS.B+E]]*Tabla1[[#This Row],[D]]," ")</f>
        <v>0</v>
      </c>
      <c r="AJ259" s="40" t="str">
        <f>IFERROR(Tabla1[[#This Row],[F]]*#REF!," ")</f>
        <v xml:space="preserve"> </v>
      </c>
      <c r="AK259" s="40" t="str">
        <f>IFERROR(#REF!*Tabla1[[#This Row],[D]]," ")</f>
        <v xml:space="preserve"> </v>
      </c>
      <c r="AL259" s="103"/>
      <c r="AM259" s="103"/>
      <c r="AN259" s="103"/>
      <c r="AO259" s="38">
        <f>+Tabla1[[#This Row],[COS.B+E]]+Tabla1[[#This Row],[COS.F1]]+Tabla1[[#This Row],[COS.D1]]+Tabla1[[#This Row],[ALIMENTACION]]+Tabla1[[#This Row],[PRESTAMO]]+AN259</f>
        <v>55</v>
      </c>
      <c r="AP259" s="38" t="e">
        <f>+#REF!+Tabla1[[#This Row],[COS F2]]+Tabla1[[#This Row],[COS D2]]+Tabla1[[#This Row],[ALIMENTACION]]+Tabla1[[#This Row],[PRESTAMO]]+Tabla1[[#This Row],[PASAJES]]</f>
        <v>#REF!</v>
      </c>
    </row>
    <row r="260" spans="1:42" x14ac:dyDescent="0.25">
      <c r="A260" s="2" t="str">
        <f>TEXT(Tabla1[[#This Row],[FECHA ]],"DDDDD")</f>
        <v>martes</v>
      </c>
      <c r="B260" s="2" t="str">
        <f>_xlfn.IFNA(VLOOKUP(Tabla1[[#This Row],[DESTINO]],RUBRO!$Q$1:$R$9996,2,FALSE)," ")</f>
        <v>OBRA</v>
      </c>
      <c r="C260" s="104">
        <f>WEEKNUM(Tabla1[[#This Row],[FECHA ]],2)</f>
        <v>20</v>
      </c>
      <c r="D260" s="104" t="str">
        <f>TEXT(Tabla1[[#This Row],[FECHA ]],"MMM-YY")</f>
        <v>may-YY</v>
      </c>
      <c r="E260" s="104" t="str">
        <f>VLOOKUP(Tabla1[[#This Row],[DNI ]],RUBRO!$F$1:$O$9996,7,FALSE)</f>
        <v>5ta</v>
      </c>
      <c r="F260" s="104" t="str">
        <f>VLOOKUP(Tabla1[[#This Row],[DNI ]],RUBRO!$F$1:$O$88,3,FALSE)</f>
        <v>TEC-04</v>
      </c>
      <c r="G260" s="104" t="str">
        <f>VLOOKUP(Tabla1[[#This Row],[DNI ]],RUBRO!$F$1:$O$9996,5,FALSE)</f>
        <v>TECNICO MECANICO MONTAJISTA DE MAQUINARIA EXTRANJERA</v>
      </c>
      <c r="H260" s="66" t="str">
        <f>VLOOKUP(Tabla1[[#This Row],[DNI ]],RUBRO!$F$1:$O$9996,6,FALSE)</f>
        <v>MEREGILDO CABRERA RICARDO JOEL</v>
      </c>
      <c r="I260" s="94">
        <v>44327</v>
      </c>
      <c r="J260" s="10">
        <v>2</v>
      </c>
      <c r="K260" s="2">
        <v>76811302</v>
      </c>
      <c r="L260" s="4">
        <f>VLOOKUP(Tabla1[[#This Row],[DNI ]],RUBRO!$F$2:$O$9996,8,FALSE)</f>
        <v>60</v>
      </c>
      <c r="M260" s="88">
        <v>0.29166666666666669</v>
      </c>
      <c r="N260" s="28">
        <v>0.54166666666666663</v>
      </c>
      <c r="O260" s="28">
        <v>0.58333333333333337</v>
      </c>
      <c r="P260" s="28">
        <v>0.91666666666666663</v>
      </c>
      <c r="Q260" s="31">
        <f>(Tabla1[[#This Row],[SALIDA]]-Tabla1[[#This Row],[FIN ]])+(Tabla1[[#This Row],[INICIO]]-Tabla1[[#This Row],[INGRESO]])</f>
        <v>0.58333333333333326</v>
      </c>
      <c r="R260" s="13">
        <f t="shared" si="9"/>
        <v>0.33333333333333331</v>
      </c>
      <c r="S260" s="31">
        <f t="shared" si="10"/>
        <v>0.24999999999999994</v>
      </c>
      <c r="T260" s="136"/>
      <c r="U260" s="136"/>
      <c r="V260" s="137">
        <f>(Tabla1[[#This Row],[COS.BASE 3]]*0.25+Tabla1[[#This Row],[COS.BASE 3]])*Tabla1[[#This Row],[HORAS 25 % ]]</f>
        <v>0</v>
      </c>
      <c r="W260" s="138">
        <f>(Tabla1[[#This Row],[COS.BASE 3]]*0.35+Tabla1[[#This Row],[COS.BASE 3]])*Tabla1[[#This Row],[HORAS 35% ]]</f>
        <v>0</v>
      </c>
      <c r="X260" s="138">
        <f>SUM(Tabla1[[#This Row],[C.HORA.35]],Tabla1[[#This Row],[C.HORA.25]])</f>
        <v>0</v>
      </c>
      <c r="Y260" s="4"/>
      <c r="Z260" s="10">
        <f>Tabla1[[#This Row],[T.HORAS]]*24</f>
        <v>13.999999999999998</v>
      </c>
      <c r="AA260" s="4">
        <f>Tabla1[[#This Row],[H.NORMALES]]*24</f>
        <v>8</v>
      </c>
      <c r="AB260" s="10">
        <f>Tabla1[[#This Row],[H.EXTRAS]]*24</f>
        <v>5.9999999999999982</v>
      </c>
      <c r="AC260" s="105">
        <f t="shared" si="12"/>
        <v>60</v>
      </c>
      <c r="AD260" s="120">
        <f>Tabla1[[#This Row],[COS.BASE 2]]/8</f>
        <v>7.5</v>
      </c>
      <c r="AE260" s="105">
        <f>Tabla1[[#This Row],[CST_H_E]]+Tabla1[[#This Row],[COS.BASE 2]]</f>
        <v>60</v>
      </c>
      <c r="AF260" s="106">
        <f>+_xlfn.IFNA(INDEX(RUBRO!$W$2:$AA$732,MATCH(Tabla1[[#This Row],[FECHA ]],RUBRO!$W$2:$W$732,0),5)," ")</f>
        <v>0</v>
      </c>
      <c r="AG260" s="10">
        <f>+_xlfn.IFNA(INDEX(RUBRO!$W$2:$AA$732,MATCH(Tabla1[[#This Row],[FECHA ]],RUBRO!$W$2:$W$732,0),2)," ")</f>
        <v>0</v>
      </c>
      <c r="AH260" s="40">
        <f>IFERROR(Tabla1[[#This Row],[F]]*Tabla1[[#This Row],[COS.B+E]]," ")</f>
        <v>0</v>
      </c>
      <c r="AI260" s="40">
        <f>IFERROR(Tabla1[[#This Row],[COS.B+E]]*Tabla1[[#This Row],[D]]," ")</f>
        <v>0</v>
      </c>
      <c r="AJ260" s="40" t="str">
        <f>IFERROR(Tabla1[[#This Row],[F]]*#REF!," ")</f>
        <v xml:space="preserve"> </v>
      </c>
      <c r="AK260" s="40" t="str">
        <f>IFERROR(#REF!*Tabla1[[#This Row],[D]]," ")</f>
        <v xml:space="preserve"> </v>
      </c>
      <c r="AL260" s="103"/>
      <c r="AM260" s="103"/>
      <c r="AN260" s="103"/>
      <c r="AO260" s="38">
        <f>+Tabla1[[#This Row],[COS.B+E]]+Tabla1[[#This Row],[COS.F1]]+Tabla1[[#This Row],[COS.D1]]+Tabla1[[#This Row],[ALIMENTACION]]+Tabla1[[#This Row],[PRESTAMO]]+AN260</f>
        <v>60</v>
      </c>
      <c r="AP260" s="38" t="e">
        <f>+#REF!+Tabla1[[#This Row],[COS F2]]+Tabla1[[#This Row],[COS D2]]+Tabla1[[#This Row],[ALIMENTACION]]+Tabla1[[#This Row],[PRESTAMO]]+Tabla1[[#This Row],[PASAJES]]</f>
        <v>#REF!</v>
      </c>
    </row>
    <row r="261" spans="1:42" x14ac:dyDescent="0.25">
      <c r="A261" s="2" t="str">
        <f>TEXT(Tabla1[[#This Row],[FECHA ]],"DDDDD")</f>
        <v>martes</v>
      </c>
      <c r="B261" s="2" t="str">
        <f>_xlfn.IFNA(VLOOKUP(Tabla1[[#This Row],[DESTINO]],RUBRO!$Q$1:$R$9996,2,FALSE)," ")</f>
        <v>OBRA</v>
      </c>
      <c r="C261" s="104">
        <f>WEEKNUM(Tabla1[[#This Row],[FECHA ]],2)</f>
        <v>20</v>
      </c>
      <c r="D261" s="104" t="str">
        <f>TEXT(Tabla1[[#This Row],[FECHA ]],"MMM-YY")</f>
        <v>may-YY</v>
      </c>
      <c r="E261" s="104" t="str">
        <f>VLOOKUP(Tabla1[[#This Row],[DNI ]],RUBRO!$F$1:$O$9996,7,FALSE)</f>
        <v xml:space="preserve">5ta </v>
      </c>
      <c r="F261" s="104" t="str">
        <f>VLOOKUP(Tabla1[[#This Row],[DNI ]],RUBRO!$F$1:$O$88,3,FALSE)</f>
        <v>AYU-VA</v>
      </c>
      <c r="G261" s="104" t="str">
        <f>VLOOKUP(Tabla1[[#This Row],[DNI ]],RUBRO!$F$1:$O$9996,5,FALSE)</f>
        <v>AYUDANTE DE PRODUCCION</v>
      </c>
      <c r="H261" s="66" t="str">
        <f>VLOOKUP(Tabla1[[#This Row],[DNI ]],RUBRO!$F$1:$O$9996,6,FALSE)</f>
        <v>MIO QUIÑONES ALEXIS</v>
      </c>
      <c r="I261" s="94">
        <v>44327</v>
      </c>
      <c r="J261" s="10">
        <v>2</v>
      </c>
      <c r="K261" s="2">
        <v>76457697</v>
      </c>
      <c r="L261" s="4">
        <f>VLOOKUP(Tabla1[[#This Row],[DNI ]],RUBRO!$F$2:$O$9996,8,FALSE)</f>
        <v>45</v>
      </c>
      <c r="M261" s="88">
        <v>0.14583333333333334</v>
      </c>
      <c r="N261" s="28">
        <v>0.54166666666666663</v>
      </c>
      <c r="O261" s="28">
        <v>0.58333333333333337</v>
      </c>
      <c r="P261" s="28">
        <v>0.79166666666666663</v>
      </c>
      <c r="Q261" s="31">
        <f>(Tabla1[[#This Row],[SALIDA]]-Tabla1[[#This Row],[FIN ]])+(Tabla1[[#This Row],[INICIO]]-Tabla1[[#This Row],[INGRESO]])</f>
        <v>0.60416666666666652</v>
      </c>
      <c r="R261" s="13">
        <f t="shared" si="9"/>
        <v>0.33333333333333331</v>
      </c>
      <c r="S261" s="31">
        <f t="shared" si="10"/>
        <v>0.2708333333333332</v>
      </c>
      <c r="T261" s="136"/>
      <c r="U261" s="136"/>
      <c r="V261" s="137">
        <f>(Tabla1[[#This Row],[COS.BASE 3]]*0.25+Tabla1[[#This Row],[COS.BASE 3]])*Tabla1[[#This Row],[HORAS 25 % ]]</f>
        <v>0</v>
      </c>
      <c r="W261" s="138">
        <f>(Tabla1[[#This Row],[COS.BASE 3]]*0.35+Tabla1[[#This Row],[COS.BASE 3]])*Tabla1[[#This Row],[HORAS 35% ]]</f>
        <v>0</v>
      </c>
      <c r="X261" s="138">
        <f>SUM(Tabla1[[#This Row],[C.HORA.35]],Tabla1[[#This Row],[C.HORA.25]])</f>
        <v>0</v>
      </c>
      <c r="Y261" s="4"/>
      <c r="Z261" s="10">
        <f>Tabla1[[#This Row],[T.HORAS]]*24</f>
        <v>14.499999999999996</v>
      </c>
      <c r="AA261" s="4">
        <f>Tabla1[[#This Row],[H.NORMALES]]*24</f>
        <v>8</v>
      </c>
      <c r="AB261" s="10">
        <f>Tabla1[[#This Row],[H.EXTRAS]]*24</f>
        <v>6.4999999999999964</v>
      </c>
      <c r="AC261" s="105">
        <f t="shared" si="12"/>
        <v>45</v>
      </c>
      <c r="AD261" s="120">
        <f>Tabla1[[#This Row],[COS.BASE 2]]/8</f>
        <v>5.625</v>
      </c>
      <c r="AE261" s="105">
        <f>Tabla1[[#This Row],[CST_H_E]]+Tabla1[[#This Row],[COS.BASE 2]]</f>
        <v>45</v>
      </c>
      <c r="AF261" s="106">
        <f>+_xlfn.IFNA(INDEX(RUBRO!$W$2:$AA$732,MATCH(Tabla1[[#This Row],[FECHA ]],RUBRO!$W$2:$W$732,0),5)," ")</f>
        <v>0</v>
      </c>
      <c r="AG261" s="10">
        <f>+_xlfn.IFNA(INDEX(RUBRO!$W$2:$AA$732,MATCH(Tabla1[[#This Row],[FECHA ]],RUBRO!$W$2:$W$732,0),2)," ")</f>
        <v>0</v>
      </c>
      <c r="AH261" s="40">
        <f>IFERROR(Tabla1[[#This Row],[F]]*Tabla1[[#This Row],[COS.B+E]]," ")</f>
        <v>0</v>
      </c>
      <c r="AI261" s="40">
        <f>IFERROR(Tabla1[[#This Row],[COS.B+E]]*Tabla1[[#This Row],[D]]," ")</f>
        <v>0</v>
      </c>
      <c r="AJ261" s="40" t="str">
        <f>IFERROR(Tabla1[[#This Row],[F]]*#REF!," ")</f>
        <v xml:space="preserve"> </v>
      </c>
      <c r="AK261" s="40" t="str">
        <f>IFERROR(#REF!*Tabla1[[#This Row],[D]]," ")</f>
        <v xml:space="preserve"> </v>
      </c>
      <c r="AL261" s="103"/>
      <c r="AM261" s="103"/>
      <c r="AN261" s="103"/>
      <c r="AO261" s="38">
        <f>+Tabla1[[#This Row],[COS.B+E]]+Tabla1[[#This Row],[COS.F1]]+Tabla1[[#This Row],[COS.D1]]+Tabla1[[#This Row],[ALIMENTACION]]+Tabla1[[#This Row],[PRESTAMO]]+AN261</f>
        <v>45</v>
      </c>
      <c r="AP261" s="38" t="e">
        <f>+#REF!+Tabla1[[#This Row],[COS F2]]+Tabla1[[#This Row],[COS D2]]+Tabla1[[#This Row],[ALIMENTACION]]+Tabla1[[#This Row],[PRESTAMO]]+Tabla1[[#This Row],[PASAJES]]</f>
        <v>#REF!</v>
      </c>
    </row>
    <row r="262" spans="1:42" x14ac:dyDescent="0.25">
      <c r="A262" s="2" t="str">
        <f>TEXT(Tabla1[[#This Row],[FECHA ]],"DDDDD")</f>
        <v>martes</v>
      </c>
      <c r="B262" s="2" t="str">
        <f>_xlfn.IFNA(VLOOKUP(Tabla1[[#This Row],[DESTINO]],RUBRO!$Q$1:$R$9996,2,FALSE)," ")</f>
        <v>OBRA</v>
      </c>
      <c r="C262" s="104">
        <f>WEEKNUM(Tabla1[[#This Row],[FECHA ]],2)</f>
        <v>20</v>
      </c>
      <c r="D262" s="104" t="str">
        <f>TEXT(Tabla1[[#This Row],[FECHA ]],"MMM-YY")</f>
        <v>may-YY</v>
      </c>
      <c r="E262" s="104">
        <f>VLOOKUP(Tabla1[[#This Row],[DNI ]],RUBRO!$F$1:$O$9996,7,FALSE)</f>
        <v>0</v>
      </c>
      <c r="F262" s="104" t="e">
        <f>VLOOKUP(Tabla1[[#This Row],[DNI ]],RUBRO!$F$1:$O$88,3,FALSE)</f>
        <v>#N/A</v>
      </c>
      <c r="G262" s="104">
        <f>VLOOKUP(Tabla1[[#This Row],[DNI ]],RUBRO!$F$1:$O$9996,5,FALSE)</f>
        <v>0</v>
      </c>
      <c r="H262" s="66" t="str">
        <f>VLOOKUP(Tabla1[[#This Row],[DNI ]],RUBRO!$F$1:$O$9996,6,FALSE)</f>
        <v>MONJA ACOSTA RONALD</v>
      </c>
      <c r="I262" s="94">
        <v>44327</v>
      </c>
      <c r="J262" s="10">
        <v>2</v>
      </c>
      <c r="K262" s="2">
        <v>75561146</v>
      </c>
      <c r="L262" s="4">
        <f>VLOOKUP(Tabla1[[#This Row],[DNI ]],RUBRO!$F$2:$O$9996,8,FALSE)</f>
        <v>0</v>
      </c>
      <c r="M262" s="88">
        <v>0.29166666666666669</v>
      </c>
      <c r="N262" s="28">
        <v>0.54166666666666663</v>
      </c>
      <c r="O262" s="28">
        <v>0.58333333333333337</v>
      </c>
      <c r="P262" s="28">
        <v>0.75</v>
      </c>
      <c r="Q262" s="31">
        <f>(Tabla1[[#This Row],[SALIDA]]-Tabla1[[#This Row],[FIN ]])+(Tabla1[[#This Row],[INICIO]]-Tabla1[[#This Row],[INGRESO]])</f>
        <v>0.41666666666666657</v>
      </c>
      <c r="R262" s="13">
        <f t="shared" ref="R262:R325" si="13">IF(J262=1,IF(Q262&gt;$AU$1,$AU$1,Q262),0)+IF(J262=2,IF(Q262&gt;$AU$3,$AU$3,Q262),0)+IF(J262=8,IF(Q262&gt;$AU$5,$AU$5,Q262),0)</f>
        <v>0.33333333333333331</v>
      </c>
      <c r="S262" s="31">
        <f t="shared" ref="S262:S325" si="14">IF(J262=1,IF(Q262&gt;$AU$1,(Q262-R262),0),0)+IF(J262=2,IF(Q262&gt;$AU$3,(Q262-R262),0),0)+IF(J262=8,IF(Q262&gt;$AU$5,(Q262-R262),0),0)</f>
        <v>8.3333333333333259E-2</v>
      </c>
      <c r="T262" s="136"/>
      <c r="U262" s="136"/>
      <c r="V262" s="137">
        <f>(Tabla1[[#This Row],[COS.BASE 3]]*0.25+Tabla1[[#This Row],[COS.BASE 3]])*Tabla1[[#This Row],[HORAS 25 % ]]</f>
        <v>0</v>
      </c>
      <c r="W262" s="138">
        <f>(Tabla1[[#This Row],[COS.BASE 3]]*0.35+Tabla1[[#This Row],[COS.BASE 3]])*Tabla1[[#This Row],[HORAS 35% ]]</f>
        <v>0</v>
      </c>
      <c r="X262" s="138">
        <f>SUM(Tabla1[[#This Row],[C.HORA.35]],Tabla1[[#This Row],[C.HORA.25]])</f>
        <v>0</v>
      </c>
      <c r="Y262" s="4"/>
      <c r="Z262" s="10">
        <f>Tabla1[[#This Row],[T.HORAS]]*24</f>
        <v>9.9999999999999982</v>
      </c>
      <c r="AA262" s="4">
        <f>Tabla1[[#This Row],[H.NORMALES]]*24</f>
        <v>8</v>
      </c>
      <c r="AB262" s="10">
        <f>Tabla1[[#This Row],[H.EXTRAS]]*24</f>
        <v>1.9999999999999982</v>
      </c>
      <c r="AC262" s="105">
        <f t="shared" ref="AC262:AC325" si="15">IF(J262=1,(((R262*24)*(L262/9))),0)+IF(J262=2,(((R262*24)*(L262/8))),0)+IF(J262=8,(((R262*24)*(L262/8))),0)</f>
        <v>0</v>
      </c>
      <c r="AD262" s="120">
        <f>Tabla1[[#This Row],[COS.BASE 2]]/8</f>
        <v>0</v>
      </c>
      <c r="AE262" s="105">
        <f>Tabla1[[#This Row],[CST_H_E]]+Tabla1[[#This Row],[COS.BASE 2]]</f>
        <v>0</v>
      </c>
      <c r="AF262" s="106">
        <f>+_xlfn.IFNA(INDEX(RUBRO!$W$2:$AA$732,MATCH(Tabla1[[#This Row],[FECHA ]],RUBRO!$W$2:$W$732,0),5)," ")</f>
        <v>0</v>
      </c>
      <c r="AG262" s="10">
        <f>+_xlfn.IFNA(INDEX(RUBRO!$W$2:$AA$732,MATCH(Tabla1[[#This Row],[FECHA ]],RUBRO!$W$2:$W$732,0),2)," ")</f>
        <v>0</v>
      </c>
      <c r="AH262" s="40">
        <f>IFERROR(Tabla1[[#This Row],[F]]*Tabla1[[#This Row],[COS.B+E]]," ")</f>
        <v>0</v>
      </c>
      <c r="AI262" s="40">
        <f>IFERROR(Tabla1[[#This Row],[COS.B+E]]*Tabla1[[#This Row],[D]]," ")</f>
        <v>0</v>
      </c>
      <c r="AJ262" s="40" t="str">
        <f>IFERROR(Tabla1[[#This Row],[F]]*#REF!," ")</f>
        <v xml:space="preserve"> </v>
      </c>
      <c r="AK262" s="40" t="str">
        <f>IFERROR(#REF!*Tabla1[[#This Row],[D]]," ")</f>
        <v xml:space="preserve"> </v>
      </c>
      <c r="AL262" s="103"/>
      <c r="AM262" s="103"/>
      <c r="AN262" s="103"/>
      <c r="AO262" s="38">
        <f>+Tabla1[[#This Row],[COS.B+E]]+Tabla1[[#This Row],[COS.F1]]+Tabla1[[#This Row],[COS.D1]]+Tabla1[[#This Row],[ALIMENTACION]]+Tabla1[[#This Row],[PRESTAMO]]+AN262</f>
        <v>0</v>
      </c>
      <c r="AP262" s="38" t="e">
        <f>+#REF!+Tabla1[[#This Row],[COS F2]]+Tabla1[[#This Row],[COS D2]]+Tabla1[[#This Row],[ALIMENTACION]]+Tabla1[[#This Row],[PRESTAMO]]+Tabla1[[#This Row],[PASAJES]]</f>
        <v>#REF!</v>
      </c>
    </row>
    <row r="263" spans="1:42" x14ac:dyDescent="0.25">
      <c r="A263" s="2" t="str">
        <f>TEXT(Tabla1[[#This Row],[FECHA ]],"DDDDD")</f>
        <v>martes</v>
      </c>
      <c r="B263" s="2" t="str">
        <f>_xlfn.IFNA(VLOOKUP(Tabla1[[#This Row],[DESTINO]],RUBRO!$Q$1:$R$9996,2,FALSE)," ")</f>
        <v>PLANTA</v>
      </c>
      <c r="C263" s="104">
        <f>WEEKNUM(Tabla1[[#This Row],[FECHA ]],2)</f>
        <v>20</v>
      </c>
      <c r="D263" s="104" t="str">
        <f>TEXT(Tabla1[[#This Row],[FECHA ]],"MMM-YY")</f>
        <v>may-YY</v>
      </c>
      <c r="E263" s="104">
        <f>VLOOKUP(Tabla1[[#This Row],[DNI ]],RUBRO!$F$1:$O$9996,7,FALSE)</f>
        <v>0</v>
      </c>
      <c r="F263" s="104" t="e">
        <f>VLOOKUP(Tabla1[[#This Row],[DNI ]],RUBRO!$F$1:$O$88,3,FALSE)</f>
        <v>#N/A</v>
      </c>
      <c r="G263" s="104">
        <f>VLOOKUP(Tabla1[[#This Row],[DNI ]],RUBRO!$F$1:$O$9996,5,FALSE)</f>
        <v>0</v>
      </c>
      <c r="H263" s="66" t="str">
        <f>VLOOKUP(Tabla1[[#This Row],[DNI ]],RUBRO!$F$1:$O$9996,6,FALSE)</f>
        <v>MONTENEGRO DAVILA EVER</v>
      </c>
      <c r="I263" s="94">
        <v>44327</v>
      </c>
      <c r="J263" s="10">
        <v>1</v>
      </c>
      <c r="K263" s="2">
        <v>76847602</v>
      </c>
      <c r="L263" s="4">
        <f>VLOOKUP(Tabla1[[#This Row],[DNI ]],RUBRO!$F$2:$O$9996,8,FALSE)</f>
        <v>0</v>
      </c>
      <c r="M263" s="88">
        <v>0.29166666666666669</v>
      </c>
      <c r="N263" s="28">
        <v>0.54166666666666663</v>
      </c>
      <c r="O263" s="28">
        <v>0.58333333333333337</v>
      </c>
      <c r="P263" s="28">
        <v>0.79166666666666663</v>
      </c>
      <c r="Q263" s="31">
        <f>(Tabla1[[#This Row],[SALIDA]]-Tabla1[[#This Row],[FIN ]])+(Tabla1[[#This Row],[INICIO]]-Tabla1[[#This Row],[INGRESO]])</f>
        <v>0.4583333333333332</v>
      </c>
      <c r="R263" s="13">
        <f t="shared" si="13"/>
        <v>0.375</v>
      </c>
      <c r="S263" s="31">
        <f t="shared" si="14"/>
        <v>8.3333333333333204E-2</v>
      </c>
      <c r="T263" s="136"/>
      <c r="U263" s="136"/>
      <c r="V263" s="137">
        <f>(Tabla1[[#This Row],[COS.BASE 3]]*0.25+Tabla1[[#This Row],[COS.BASE 3]])*Tabla1[[#This Row],[HORAS 25 % ]]</f>
        <v>0</v>
      </c>
      <c r="W263" s="138">
        <f>(Tabla1[[#This Row],[COS.BASE 3]]*0.35+Tabla1[[#This Row],[COS.BASE 3]])*Tabla1[[#This Row],[HORAS 35% ]]</f>
        <v>0</v>
      </c>
      <c r="X263" s="138">
        <f>SUM(Tabla1[[#This Row],[C.HORA.35]],Tabla1[[#This Row],[C.HORA.25]])</f>
        <v>0</v>
      </c>
      <c r="Y263" s="4"/>
      <c r="Z263" s="10">
        <f>Tabla1[[#This Row],[T.HORAS]]*24</f>
        <v>10.999999999999996</v>
      </c>
      <c r="AA263" s="4">
        <f>Tabla1[[#This Row],[H.NORMALES]]*24</f>
        <v>9</v>
      </c>
      <c r="AB263" s="10">
        <f>Tabla1[[#This Row],[H.EXTRAS]]*24</f>
        <v>1.9999999999999969</v>
      </c>
      <c r="AC263" s="105">
        <f t="shared" si="15"/>
        <v>0</v>
      </c>
      <c r="AD263" s="120">
        <f>Tabla1[[#This Row],[COS.BASE 2]]/8</f>
        <v>0</v>
      </c>
      <c r="AE263" s="105">
        <f>Tabla1[[#This Row],[CST_H_E]]+Tabla1[[#This Row],[COS.BASE 2]]</f>
        <v>0</v>
      </c>
      <c r="AF263" s="106">
        <f>+_xlfn.IFNA(INDEX(RUBRO!$W$2:$AA$732,MATCH(Tabla1[[#This Row],[FECHA ]],RUBRO!$W$2:$W$732,0),5)," ")</f>
        <v>0</v>
      </c>
      <c r="AG263" s="10">
        <f>+_xlfn.IFNA(INDEX(RUBRO!$W$2:$AA$732,MATCH(Tabla1[[#This Row],[FECHA ]],RUBRO!$W$2:$W$732,0),2)," ")</f>
        <v>0</v>
      </c>
      <c r="AH263" s="40">
        <f>IFERROR(Tabla1[[#This Row],[F]]*Tabla1[[#This Row],[COS.B+E]]," ")</f>
        <v>0</v>
      </c>
      <c r="AI263" s="40">
        <f>IFERROR(Tabla1[[#This Row],[COS.B+E]]*Tabla1[[#This Row],[D]]," ")</f>
        <v>0</v>
      </c>
      <c r="AJ263" s="40" t="str">
        <f>IFERROR(Tabla1[[#This Row],[F]]*#REF!," ")</f>
        <v xml:space="preserve"> </v>
      </c>
      <c r="AK263" s="40" t="str">
        <f>IFERROR(#REF!*Tabla1[[#This Row],[D]]," ")</f>
        <v xml:space="preserve"> </v>
      </c>
      <c r="AL263" s="103"/>
      <c r="AM263" s="103"/>
      <c r="AN263" s="103"/>
      <c r="AO263" s="38">
        <f>+Tabla1[[#This Row],[COS.B+E]]+Tabla1[[#This Row],[COS.F1]]+Tabla1[[#This Row],[COS.D1]]+Tabla1[[#This Row],[ALIMENTACION]]+Tabla1[[#This Row],[PRESTAMO]]+AN263</f>
        <v>0</v>
      </c>
      <c r="AP263" s="38" t="e">
        <f>+#REF!+Tabla1[[#This Row],[COS F2]]+Tabla1[[#This Row],[COS D2]]+Tabla1[[#This Row],[ALIMENTACION]]+Tabla1[[#This Row],[PRESTAMO]]+Tabla1[[#This Row],[PASAJES]]</f>
        <v>#REF!</v>
      </c>
    </row>
    <row r="264" spans="1:42" x14ac:dyDescent="0.25">
      <c r="A264" s="2" t="str">
        <f>TEXT(Tabla1[[#This Row],[FECHA ]],"DDDDD")</f>
        <v>martes</v>
      </c>
      <c r="B264" s="2" t="str">
        <f>_xlfn.IFNA(VLOOKUP(Tabla1[[#This Row],[DESTINO]],RUBRO!$Q$1:$R$9996,2,FALSE)," ")</f>
        <v>OBRA</v>
      </c>
      <c r="C264" s="104">
        <f>WEEKNUM(Tabla1[[#This Row],[FECHA ]],2)</f>
        <v>20</v>
      </c>
      <c r="D264" s="104" t="str">
        <f>TEXT(Tabla1[[#This Row],[FECHA ]],"MMM-YY")</f>
        <v>may-YY</v>
      </c>
      <c r="E264" s="104" t="str">
        <f>VLOOKUP(Tabla1[[#This Row],[DNI ]],RUBRO!$F$1:$O$9996,7,FALSE)</f>
        <v>5ta</v>
      </c>
      <c r="F264" s="104" t="str">
        <f>VLOOKUP(Tabla1[[#This Row],[DNI ]],RUBRO!$F$1:$O$88,3,FALSE)</f>
        <v>TEC-01</v>
      </c>
      <c r="G264" s="104" t="str">
        <f>VLOOKUP(Tabla1[[#This Row],[DNI ]],RUBRO!$F$1:$O$9996,5,FALSE)</f>
        <v>TECNICO SOLDADOR</v>
      </c>
      <c r="H264" s="66" t="str">
        <f>VLOOKUP(Tabla1[[#This Row],[DNI ]],RUBRO!$F$1:$O$9996,6,FALSE)</f>
        <v>MUÑOZ EXEBIO IRWIS MANUEL</v>
      </c>
      <c r="I264" s="94">
        <v>44327</v>
      </c>
      <c r="J264" s="10">
        <v>2</v>
      </c>
      <c r="K264" s="2">
        <v>46933574</v>
      </c>
      <c r="L264" s="4">
        <f>VLOOKUP(Tabla1[[#This Row],[DNI ]],RUBRO!$F$2:$O$9996,8,FALSE)</f>
        <v>65</v>
      </c>
      <c r="M264" s="88">
        <v>0.29166666666666669</v>
      </c>
      <c r="N264" s="28">
        <v>0.54166666666666663</v>
      </c>
      <c r="O264" s="28">
        <v>0.58333333333333337</v>
      </c>
      <c r="P264" s="28">
        <v>0.75</v>
      </c>
      <c r="Q264" s="31">
        <f>(Tabla1[[#This Row],[SALIDA]]-Tabla1[[#This Row],[FIN ]])+(Tabla1[[#This Row],[INICIO]]-Tabla1[[#This Row],[INGRESO]])</f>
        <v>0.41666666666666657</v>
      </c>
      <c r="R264" s="13">
        <f t="shared" si="13"/>
        <v>0.33333333333333331</v>
      </c>
      <c r="S264" s="31">
        <f t="shared" si="14"/>
        <v>8.3333333333333259E-2</v>
      </c>
      <c r="T264" s="136"/>
      <c r="U264" s="136"/>
      <c r="V264" s="137">
        <f>(Tabla1[[#This Row],[COS.BASE 3]]*0.25+Tabla1[[#This Row],[COS.BASE 3]])*Tabla1[[#This Row],[HORAS 25 % ]]</f>
        <v>0</v>
      </c>
      <c r="W264" s="138">
        <f>(Tabla1[[#This Row],[COS.BASE 3]]*0.35+Tabla1[[#This Row],[COS.BASE 3]])*Tabla1[[#This Row],[HORAS 35% ]]</f>
        <v>0</v>
      </c>
      <c r="X264" s="138">
        <f>SUM(Tabla1[[#This Row],[C.HORA.35]],Tabla1[[#This Row],[C.HORA.25]])</f>
        <v>0</v>
      </c>
      <c r="Y264" s="4"/>
      <c r="Z264" s="10">
        <f>Tabla1[[#This Row],[T.HORAS]]*24</f>
        <v>9.9999999999999982</v>
      </c>
      <c r="AA264" s="4">
        <f>Tabla1[[#This Row],[H.NORMALES]]*24</f>
        <v>8</v>
      </c>
      <c r="AB264" s="10">
        <f>Tabla1[[#This Row],[H.EXTRAS]]*24</f>
        <v>1.9999999999999982</v>
      </c>
      <c r="AC264" s="105">
        <f t="shared" si="15"/>
        <v>65</v>
      </c>
      <c r="AD264" s="120">
        <f>Tabla1[[#This Row],[COS.BASE 2]]/8</f>
        <v>8.125</v>
      </c>
      <c r="AE264" s="105">
        <f>Tabla1[[#This Row],[CST_H_E]]+Tabla1[[#This Row],[COS.BASE 2]]</f>
        <v>65</v>
      </c>
      <c r="AF264" s="106">
        <f>+_xlfn.IFNA(INDEX(RUBRO!$W$2:$AA$732,MATCH(Tabla1[[#This Row],[FECHA ]],RUBRO!$W$2:$W$732,0),5)," ")</f>
        <v>0</v>
      </c>
      <c r="AG264" s="10">
        <f>+_xlfn.IFNA(INDEX(RUBRO!$W$2:$AA$732,MATCH(Tabla1[[#This Row],[FECHA ]],RUBRO!$W$2:$W$732,0),2)," ")</f>
        <v>0</v>
      </c>
      <c r="AH264" s="40">
        <f>IFERROR(Tabla1[[#This Row],[F]]*Tabla1[[#This Row],[COS.B+E]]," ")</f>
        <v>0</v>
      </c>
      <c r="AI264" s="40">
        <f>IFERROR(Tabla1[[#This Row],[COS.B+E]]*Tabla1[[#This Row],[D]]," ")</f>
        <v>0</v>
      </c>
      <c r="AJ264" s="40" t="str">
        <f>IFERROR(Tabla1[[#This Row],[F]]*#REF!," ")</f>
        <v xml:space="preserve"> </v>
      </c>
      <c r="AK264" s="40" t="str">
        <f>IFERROR(#REF!*Tabla1[[#This Row],[D]]," ")</f>
        <v xml:space="preserve"> </v>
      </c>
      <c r="AL264" s="103"/>
      <c r="AM264" s="103"/>
      <c r="AN264" s="103"/>
      <c r="AO264" s="38">
        <f>+Tabla1[[#This Row],[COS.B+E]]+Tabla1[[#This Row],[COS.F1]]+Tabla1[[#This Row],[COS.D1]]+Tabla1[[#This Row],[ALIMENTACION]]+Tabla1[[#This Row],[PRESTAMO]]+AN264</f>
        <v>65</v>
      </c>
      <c r="AP264" s="38" t="e">
        <f>+#REF!+Tabla1[[#This Row],[COS F2]]+Tabla1[[#This Row],[COS D2]]+Tabla1[[#This Row],[ALIMENTACION]]+Tabla1[[#This Row],[PRESTAMO]]+Tabla1[[#This Row],[PASAJES]]</f>
        <v>#REF!</v>
      </c>
    </row>
    <row r="265" spans="1:42" x14ac:dyDescent="0.25">
      <c r="A265" s="2" t="str">
        <f>TEXT(Tabla1[[#This Row],[FECHA ]],"DDDDD")</f>
        <v>martes</v>
      </c>
      <c r="B265" s="2" t="str">
        <f>_xlfn.IFNA(VLOOKUP(Tabla1[[#This Row],[DESTINO]],RUBRO!$Q$1:$R$9996,2,FALSE)," ")</f>
        <v>PLANTA</v>
      </c>
      <c r="C265" s="104">
        <f>WEEKNUM(Tabla1[[#This Row],[FECHA ]],2)</f>
        <v>20</v>
      </c>
      <c r="D265" s="104" t="str">
        <f>TEXT(Tabla1[[#This Row],[FECHA ]],"MMM-YY")</f>
        <v>may-YY</v>
      </c>
      <c r="E265" s="104" t="str">
        <f>VLOOKUP(Tabla1[[#This Row],[DNI ]],RUBRO!$F$1:$O$9996,7,FALSE)</f>
        <v>5ta</v>
      </c>
      <c r="F265" s="104" t="e">
        <f>VLOOKUP(Tabla1[[#This Row],[DNI ]],RUBRO!$F$1:$O$88,3,FALSE)</f>
        <v>#N/A</v>
      </c>
      <c r="G265" s="104">
        <f>VLOOKUP(Tabla1[[#This Row],[DNI ]],RUBRO!$F$1:$O$9996,5,FALSE)</f>
        <v>0</v>
      </c>
      <c r="H265" s="66" t="str">
        <f>VLOOKUP(Tabla1[[#This Row],[DNI ]],RUBRO!$F$1:$O$9996,6,FALSE)</f>
        <v>OLANO GARCIA</v>
      </c>
      <c r="I265" s="94">
        <v>44327</v>
      </c>
      <c r="J265" s="10">
        <v>1</v>
      </c>
      <c r="K265" s="2">
        <v>41234982</v>
      </c>
      <c r="L265" s="4">
        <f>VLOOKUP(Tabla1[[#This Row],[DNI ]],RUBRO!$F$2:$O$9996,8,FALSE)</f>
        <v>0</v>
      </c>
      <c r="M265" s="88">
        <v>0.29166666666666669</v>
      </c>
      <c r="N265" s="28">
        <v>0.54166666666666663</v>
      </c>
      <c r="O265" s="28">
        <v>0.58333333333333337</v>
      </c>
      <c r="P265" s="28">
        <v>0.79166666666666663</v>
      </c>
      <c r="Q265" s="31">
        <f>(Tabla1[[#This Row],[SALIDA]]-Tabla1[[#This Row],[FIN ]])+(Tabla1[[#This Row],[INICIO]]-Tabla1[[#This Row],[INGRESO]])</f>
        <v>0.4583333333333332</v>
      </c>
      <c r="R265" s="13">
        <f t="shared" si="13"/>
        <v>0.375</v>
      </c>
      <c r="S265" s="31">
        <f t="shared" si="14"/>
        <v>8.3333333333333204E-2</v>
      </c>
      <c r="T265" s="136"/>
      <c r="U265" s="136"/>
      <c r="V265" s="137">
        <f>(Tabla1[[#This Row],[COS.BASE 3]]*0.25+Tabla1[[#This Row],[COS.BASE 3]])*Tabla1[[#This Row],[HORAS 25 % ]]</f>
        <v>0</v>
      </c>
      <c r="W265" s="138">
        <f>(Tabla1[[#This Row],[COS.BASE 3]]*0.35+Tabla1[[#This Row],[COS.BASE 3]])*Tabla1[[#This Row],[HORAS 35% ]]</f>
        <v>0</v>
      </c>
      <c r="X265" s="138">
        <f>SUM(Tabla1[[#This Row],[C.HORA.35]],Tabla1[[#This Row],[C.HORA.25]])</f>
        <v>0</v>
      </c>
      <c r="Y265" s="4"/>
      <c r="Z265" s="10">
        <f>Tabla1[[#This Row],[T.HORAS]]*24</f>
        <v>10.999999999999996</v>
      </c>
      <c r="AA265" s="4">
        <f>Tabla1[[#This Row],[H.NORMALES]]*24</f>
        <v>9</v>
      </c>
      <c r="AB265" s="10">
        <f>Tabla1[[#This Row],[H.EXTRAS]]*24</f>
        <v>1.9999999999999969</v>
      </c>
      <c r="AC265" s="105">
        <f t="shared" si="15"/>
        <v>0</v>
      </c>
      <c r="AD265" s="120">
        <f>Tabla1[[#This Row],[COS.BASE 2]]/8</f>
        <v>0</v>
      </c>
      <c r="AE265" s="105">
        <f>Tabla1[[#This Row],[CST_H_E]]+Tabla1[[#This Row],[COS.BASE 2]]</f>
        <v>0</v>
      </c>
      <c r="AF265" s="106">
        <f>+_xlfn.IFNA(INDEX(RUBRO!$W$2:$AA$732,MATCH(Tabla1[[#This Row],[FECHA ]],RUBRO!$W$2:$W$732,0),5)," ")</f>
        <v>0</v>
      </c>
      <c r="AG265" s="10">
        <f>+_xlfn.IFNA(INDEX(RUBRO!$W$2:$AA$732,MATCH(Tabla1[[#This Row],[FECHA ]],RUBRO!$W$2:$W$732,0),2)," ")</f>
        <v>0</v>
      </c>
      <c r="AH265" s="40">
        <f>IFERROR(Tabla1[[#This Row],[F]]*Tabla1[[#This Row],[COS.B+E]]," ")</f>
        <v>0</v>
      </c>
      <c r="AI265" s="40">
        <f>IFERROR(Tabla1[[#This Row],[COS.B+E]]*Tabla1[[#This Row],[D]]," ")</f>
        <v>0</v>
      </c>
      <c r="AJ265" s="40" t="str">
        <f>IFERROR(Tabla1[[#This Row],[F]]*#REF!," ")</f>
        <v xml:space="preserve"> </v>
      </c>
      <c r="AK265" s="40" t="str">
        <f>IFERROR(#REF!*Tabla1[[#This Row],[D]]," ")</f>
        <v xml:space="preserve"> </v>
      </c>
      <c r="AL265" s="103"/>
      <c r="AM265" s="103"/>
      <c r="AN265" s="103"/>
      <c r="AO265" s="38">
        <f>+Tabla1[[#This Row],[COS.B+E]]+Tabla1[[#This Row],[COS.F1]]+Tabla1[[#This Row],[COS.D1]]+Tabla1[[#This Row],[ALIMENTACION]]+Tabla1[[#This Row],[PRESTAMO]]+AN265</f>
        <v>0</v>
      </c>
      <c r="AP265" s="38" t="e">
        <f>+#REF!+Tabla1[[#This Row],[COS F2]]+Tabla1[[#This Row],[COS D2]]+Tabla1[[#This Row],[ALIMENTACION]]+Tabla1[[#This Row],[PRESTAMO]]+Tabla1[[#This Row],[PASAJES]]</f>
        <v>#REF!</v>
      </c>
    </row>
    <row r="266" spans="1:42" x14ac:dyDescent="0.25">
      <c r="A266" s="2" t="str">
        <f>TEXT(Tabla1[[#This Row],[FECHA ]],"DDDDD")</f>
        <v>martes</v>
      </c>
      <c r="B266" s="2" t="str">
        <f>_xlfn.IFNA(VLOOKUP(Tabla1[[#This Row],[DESTINO]],RUBRO!$Q$1:$R$9996,2,FALSE)," ")</f>
        <v>PLANTA</v>
      </c>
      <c r="C266" s="104">
        <f>WEEKNUM(Tabla1[[#This Row],[FECHA ]],2)</f>
        <v>20</v>
      </c>
      <c r="D266" s="104" t="str">
        <f>TEXT(Tabla1[[#This Row],[FECHA ]],"MMM-YY")</f>
        <v>may-YY</v>
      </c>
      <c r="E266" s="104" t="str">
        <f>VLOOKUP(Tabla1[[#This Row],[DNI ]],RUBRO!$F$1:$O$9996,7,FALSE)</f>
        <v>5ta</v>
      </c>
      <c r="F266" s="104" t="str">
        <f>VLOOKUP(Tabla1[[#This Row],[DNI ]],RUBRO!$F$1:$O$88,3,FALSE)</f>
        <v>TEC-05</v>
      </c>
      <c r="G266" s="104" t="str">
        <f>VLOOKUP(Tabla1[[#This Row],[DNI ]],RUBRO!$F$1:$O$9996,5,FALSE)</f>
        <v>TECNICO MECANICO MONTAJISTA DE NAVE INDUSTRIAL</v>
      </c>
      <c r="H266" s="66" t="str">
        <f>VLOOKUP(Tabla1[[#This Row],[DNI ]],RUBRO!$F$1:$O$9996,6,FALSE)</f>
        <v>ORTIZ PANTALEON POLH MANIX</v>
      </c>
      <c r="I266" s="94">
        <v>44327</v>
      </c>
      <c r="J266" s="10">
        <v>1</v>
      </c>
      <c r="K266" s="2">
        <v>45821420</v>
      </c>
      <c r="L266" s="4">
        <f>VLOOKUP(Tabla1[[#This Row],[DNI ]],RUBRO!$F$2:$O$9996,8,FALSE)</f>
        <v>56.55</v>
      </c>
      <c r="M266" s="88">
        <v>0.29166666666666669</v>
      </c>
      <c r="N266" s="28">
        <v>0.54166666666666663</v>
      </c>
      <c r="O266" s="28">
        <v>0.58333333333333337</v>
      </c>
      <c r="P266" s="28">
        <v>0.75</v>
      </c>
      <c r="Q266" s="31">
        <f>(Tabla1[[#This Row],[SALIDA]]-Tabla1[[#This Row],[FIN ]])+(Tabla1[[#This Row],[INICIO]]-Tabla1[[#This Row],[INGRESO]])</f>
        <v>0.41666666666666657</v>
      </c>
      <c r="R266" s="13">
        <f t="shared" si="13"/>
        <v>0.375</v>
      </c>
      <c r="S266" s="31">
        <f t="shared" si="14"/>
        <v>4.1666666666666574E-2</v>
      </c>
      <c r="T266" s="136"/>
      <c r="U266" s="136"/>
      <c r="V266" s="137">
        <f>(Tabla1[[#This Row],[COS.BASE 3]]*0.25+Tabla1[[#This Row],[COS.BASE 3]])*Tabla1[[#This Row],[HORAS 25 % ]]</f>
        <v>0</v>
      </c>
      <c r="W266" s="138">
        <f>(Tabla1[[#This Row],[COS.BASE 3]]*0.35+Tabla1[[#This Row],[COS.BASE 3]])*Tabla1[[#This Row],[HORAS 35% ]]</f>
        <v>0</v>
      </c>
      <c r="X266" s="138">
        <f>SUM(Tabla1[[#This Row],[C.HORA.35]],Tabla1[[#This Row],[C.HORA.25]])</f>
        <v>0</v>
      </c>
      <c r="Y266" s="4"/>
      <c r="Z266" s="10">
        <f>Tabla1[[#This Row],[T.HORAS]]*24</f>
        <v>9.9999999999999982</v>
      </c>
      <c r="AA266" s="4">
        <f>Tabla1[[#This Row],[H.NORMALES]]*24</f>
        <v>9</v>
      </c>
      <c r="AB266" s="10">
        <f>Tabla1[[#This Row],[H.EXTRAS]]*24</f>
        <v>0.99999999999999778</v>
      </c>
      <c r="AC266" s="105">
        <f t="shared" si="15"/>
        <v>56.55</v>
      </c>
      <c r="AD266" s="120">
        <f>Tabla1[[#This Row],[COS.BASE 2]]/8</f>
        <v>7.0687499999999996</v>
      </c>
      <c r="AE266" s="105">
        <f>Tabla1[[#This Row],[CST_H_E]]+Tabla1[[#This Row],[COS.BASE 2]]</f>
        <v>56.55</v>
      </c>
      <c r="AF266" s="106">
        <f>+_xlfn.IFNA(INDEX(RUBRO!$W$2:$AA$732,MATCH(Tabla1[[#This Row],[FECHA ]],RUBRO!$W$2:$W$732,0),5)," ")</f>
        <v>0</v>
      </c>
      <c r="AG266" s="10">
        <f>+_xlfn.IFNA(INDEX(RUBRO!$W$2:$AA$732,MATCH(Tabla1[[#This Row],[FECHA ]],RUBRO!$W$2:$W$732,0),2)," ")</f>
        <v>0</v>
      </c>
      <c r="AH266" s="40">
        <f>IFERROR(Tabla1[[#This Row],[F]]*Tabla1[[#This Row],[COS.B+E]]," ")</f>
        <v>0</v>
      </c>
      <c r="AI266" s="40">
        <f>IFERROR(Tabla1[[#This Row],[COS.B+E]]*Tabla1[[#This Row],[D]]," ")</f>
        <v>0</v>
      </c>
      <c r="AJ266" s="40" t="str">
        <f>IFERROR(Tabla1[[#This Row],[F]]*#REF!," ")</f>
        <v xml:space="preserve"> </v>
      </c>
      <c r="AK266" s="40" t="str">
        <f>IFERROR(#REF!*Tabla1[[#This Row],[D]]," ")</f>
        <v xml:space="preserve"> </v>
      </c>
      <c r="AL266" s="103"/>
      <c r="AM266" s="103"/>
      <c r="AN266" s="103"/>
      <c r="AO266" s="38">
        <f>+Tabla1[[#This Row],[COS.B+E]]+Tabla1[[#This Row],[COS.F1]]+Tabla1[[#This Row],[COS.D1]]+Tabla1[[#This Row],[ALIMENTACION]]+Tabla1[[#This Row],[PRESTAMO]]+AN266</f>
        <v>56.55</v>
      </c>
      <c r="AP266" s="38" t="e">
        <f>+#REF!+Tabla1[[#This Row],[COS F2]]+Tabla1[[#This Row],[COS D2]]+Tabla1[[#This Row],[ALIMENTACION]]+Tabla1[[#This Row],[PRESTAMO]]+Tabla1[[#This Row],[PASAJES]]</f>
        <v>#REF!</v>
      </c>
    </row>
    <row r="267" spans="1:42" x14ac:dyDescent="0.25">
      <c r="A267" s="2" t="str">
        <f>TEXT(Tabla1[[#This Row],[FECHA ]],"DDDDD")</f>
        <v>martes</v>
      </c>
      <c r="B267" s="2" t="str">
        <f>_xlfn.IFNA(VLOOKUP(Tabla1[[#This Row],[DESTINO]],RUBRO!$Q$1:$R$9996,2,FALSE)," ")</f>
        <v>PLANTA</v>
      </c>
      <c r="C267" s="104">
        <f>WEEKNUM(Tabla1[[#This Row],[FECHA ]],2)</f>
        <v>20</v>
      </c>
      <c r="D267" s="104" t="str">
        <f>TEXT(Tabla1[[#This Row],[FECHA ]],"MMM-YY")</f>
        <v>may-YY</v>
      </c>
      <c r="E267" s="104" t="str">
        <f>VLOOKUP(Tabla1[[#This Row],[DNI ]],RUBRO!$F$1:$O$9996,7,FALSE)</f>
        <v>5ta</v>
      </c>
      <c r="F267" s="104" t="str">
        <f>VLOOKUP(Tabla1[[#This Row],[DNI ]],RUBRO!$F$1:$O$88,3,FALSE)</f>
        <v>TEC-01</v>
      </c>
      <c r="G267" s="104" t="str">
        <f>VLOOKUP(Tabla1[[#This Row],[DNI ]],RUBRO!$F$1:$O$9996,5,FALSE)</f>
        <v>TECNICO SOLDADOR</v>
      </c>
      <c r="H267" s="66" t="str">
        <f>VLOOKUP(Tabla1[[#This Row],[DNI ]],RUBRO!$F$1:$O$9996,6,FALSE)</f>
        <v>PANDO SALAZAR LUIS BRYAN</v>
      </c>
      <c r="I267" s="94">
        <v>44327</v>
      </c>
      <c r="J267" s="10">
        <v>1</v>
      </c>
      <c r="K267" s="2">
        <v>47887505</v>
      </c>
      <c r="L267" s="4">
        <f>VLOOKUP(Tabla1[[#This Row],[DNI ]],RUBRO!$F$2:$O$9996,8,FALSE)</f>
        <v>66.48</v>
      </c>
      <c r="M267" s="88">
        <v>0.29166666666666669</v>
      </c>
      <c r="N267" s="28">
        <v>0.54166666666666663</v>
      </c>
      <c r="O267" s="28">
        <v>0.58333333333333337</v>
      </c>
      <c r="P267" s="28">
        <v>0.79166666666666663</v>
      </c>
      <c r="Q267" s="31">
        <f>(Tabla1[[#This Row],[SALIDA]]-Tabla1[[#This Row],[FIN ]])+(Tabla1[[#This Row],[INICIO]]-Tabla1[[#This Row],[INGRESO]])</f>
        <v>0.4583333333333332</v>
      </c>
      <c r="R267" s="13">
        <f t="shared" si="13"/>
        <v>0.375</v>
      </c>
      <c r="S267" s="31">
        <f t="shared" si="14"/>
        <v>8.3333333333333204E-2</v>
      </c>
      <c r="T267" s="136"/>
      <c r="U267" s="136"/>
      <c r="V267" s="137">
        <f>(Tabla1[[#This Row],[COS.BASE 3]]*0.25+Tabla1[[#This Row],[COS.BASE 3]])*Tabla1[[#This Row],[HORAS 25 % ]]</f>
        <v>0</v>
      </c>
      <c r="W267" s="138">
        <f>(Tabla1[[#This Row],[COS.BASE 3]]*0.35+Tabla1[[#This Row],[COS.BASE 3]])*Tabla1[[#This Row],[HORAS 35% ]]</f>
        <v>0</v>
      </c>
      <c r="X267" s="138">
        <f>SUM(Tabla1[[#This Row],[C.HORA.35]],Tabla1[[#This Row],[C.HORA.25]])</f>
        <v>0</v>
      </c>
      <c r="Y267" s="4"/>
      <c r="Z267" s="10">
        <f>Tabla1[[#This Row],[T.HORAS]]*24</f>
        <v>10.999999999999996</v>
      </c>
      <c r="AA267" s="4">
        <f>Tabla1[[#This Row],[H.NORMALES]]*24</f>
        <v>9</v>
      </c>
      <c r="AB267" s="10">
        <f>Tabla1[[#This Row],[H.EXTRAS]]*24</f>
        <v>1.9999999999999969</v>
      </c>
      <c r="AC267" s="105">
        <f t="shared" si="15"/>
        <v>66.48</v>
      </c>
      <c r="AD267" s="120">
        <f>Tabla1[[#This Row],[COS.BASE 2]]/8</f>
        <v>8.31</v>
      </c>
      <c r="AE267" s="105">
        <f>Tabla1[[#This Row],[CST_H_E]]+Tabla1[[#This Row],[COS.BASE 2]]</f>
        <v>66.48</v>
      </c>
      <c r="AF267" s="106">
        <f>+_xlfn.IFNA(INDEX(RUBRO!$W$2:$AA$732,MATCH(Tabla1[[#This Row],[FECHA ]],RUBRO!$W$2:$W$732,0),5)," ")</f>
        <v>0</v>
      </c>
      <c r="AG267" s="10">
        <f>+_xlfn.IFNA(INDEX(RUBRO!$W$2:$AA$732,MATCH(Tabla1[[#This Row],[FECHA ]],RUBRO!$W$2:$W$732,0),2)," ")</f>
        <v>0</v>
      </c>
      <c r="AH267" s="40">
        <f>IFERROR(Tabla1[[#This Row],[F]]*Tabla1[[#This Row],[COS.B+E]]," ")</f>
        <v>0</v>
      </c>
      <c r="AI267" s="40">
        <f>IFERROR(Tabla1[[#This Row],[COS.B+E]]*Tabla1[[#This Row],[D]]," ")</f>
        <v>0</v>
      </c>
      <c r="AJ267" s="40" t="str">
        <f>IFERROR(Tabla1[[#This Row],[F]]*#REF!," ")</f>
        <v xml:space="preserve"> </v>
      </c>
      <c r="AK267" s="40" t="str">
        <f>IFERROR(#REF!*Tabla1[[#This Row],[D]]," ")</f>
        <v xml:space="preserve"> </v>
      </c>
      <c r="AL267" s="103"/>
      <c r="AM267" s="103"/>
      <c r="AN267" s="103"/>
      <c r="AO267" s="38">
        <f>+Tabla1[[#This Row],[COS.B+E]]+Tabla1[[#This Row],[COS.F1]]+Tabla1[[#This Row],[COS.D1]]+Tabla1[[#This Row],[ALIMENTACION]]+Tabla1[[#This Row],[PRESTAMO]]+AN267</f>
        <v>66.48</v>
      </c>
      <c r="AP267" s="38" t="e">
        <f>+#REF!+Tabla1[[#This Row],[COS F2]]+Tabla1[[#This Row],[COS D2]]+Tabla1[[#This Row],[ALIMENTACION]]+Tabla1[[#This Row],[PRESTAMO]]+Tabla1[[#This Row],[PASAJES]]</f>
        <v>#REF!</v>
      </c>
    </row>
    <row r="268" spans="1:42" x14ac:dyDescent="0.25">
      <c r="A268" s="2" t="str">
        <f>TEXT(Tabla1[[#This Row],[FECHA ]],"DDDDD")</f>
        <v>martes</v>
      </c>
      <c r="B268" s="2" t="str">
        <f>_xlfn.IFNA(VLOOKUP(Tabla1[[#This Row],[DESTINO]],RUBRO!$Q$1:$R$9996,2,FALSE)," ")</f>
        <v>FALTA</v>
      </c>
      <c r="C268" s="104">
        <f>WEEKNUM(Tabla1[[#This Row],[FECHA ]],2)</f>
        <v>20</v>
      </c>
      <c r="D268" s="104" t="str">
        <f>TEXT(Tabla1[[#This Row],[FECHA ]],"MMM-YY")</f>
        <v>may-YY</v>
      </c>
      <c r="E268" s="104" t="str">
        <f>VLOOKUP(Tabla1[[#This Row],[DNI ]],RUBRO!$F$1:$O$9996,7,FALSE)</f>
        <v>5ta</v>
      </c>
      <c r="F268" s="104" t="e">
        <f>VLOOKUP(Tabla1[[#This Row],[DNI ]],RUBRO!$F$1:$O$88,3,FALSE)</f>
        <v>#N/A</v>
      </c>
      <c r="G268" s="104">
        <f>VLOOKUP(Tabla1[[#This Row],[DNI ]],RUBRO!$F$1:$O$9996,5,FALSE)</f>
        <v>0</v>
      </c>
      <c r="H268" s="66" t="str">
        <f>VLOOKUP(Tabla1[[#This Row],[DNI ]],RUBRO!$F$1:$O$9996,6,FALSE)</f>
        <v xml:space="preserve">PECHE CHAPOÑAN ALBERTO </v>
      </c>
      <c r="I268" s="94">
        <v>44327</v>
      </c>
      <c r="J268" s="10">
        <v>4</v>
      </c>
      <c r="K268" s="2">
        <v>77226886</v>
      </c>
      <c r="L268" s="4">
        <f>VLOOKUP(Tabla1[[#This Row],[DNI ]],RUBRO!$F$2:$O$9996,8,FALSE)</f>
        <v>80</v>
      </c>
      <c r="M268" s="88"/>
      <c r="N268" s="28"/>
      <c r="P268" s="28"/>
      <c r="Q268" s="31">
        <f>(Tabla1[[#This Row],[SALIDA]]-Tabla1[[#This Row],[FIN ]])+(Tabla1[[#This Row],[INICIO]]-Tabla1[[#This Row],[INGRESO]])</f>
        <v>0</v>
      </c>
      <c r="R268" s="13">
        <f t="shared" si="13"/>
        <v>0</v>
      </c>
      <c r="S268" s="31">
        <f t="shared" si="14"/>
        <v>0</v>
      </c>
      <c r="T268" s="136"/>
      <c r="U268" s="136"/>
      <c r="V268" s="137">
        <f>(Tabla1[[#This Row],[COS.BASE 3]]*0.25+Tabla1[[#This Row],[COS.BASE 3]])*Tabla1[[#This Row],[HORAS 25 % ]]</f>
        <v>0</v>
      </c>
      <c r="W268" s="138">
        <f>(Tabla1[[#This Row],[COS.BASE 3]]*0.35+Tabla1[[#This Row],[COS.BASE 3]])*Tabla1[[#This Row],[HORAS 35% ]]</f>
        <v>0</v>
      </c>
      <c r="X268" s="138">
        <f>SUM(Tabla1[[#This Row],[C.HORA.35]],Tabla1[[#This Row],[C.HORA.25]])</f>
        <v>0</v>
      </c>
      <c r="Y268" s="4"/>
      <c r="Z268" s="10">
        <f>Tabla1[[#This Row],[T.HORAS]]*24</f>
        <v>0</v>
      </c>
      <c r="AA268" s="4">
        <f>Tabla1[[#This Row],[H.NORMALES]]*24</f>
        <v>0</v>
      </c>
      <c r="AB268" s="10">
        <f>Tabla1[[#This Row],[H.EXTRAS]]*24</f>
        <v>0</v>
      </c>
      <c r="AC268" s="105">
        <f t="shared" si="15"/>
        <v>0</v>
      </c>
      <c r="AD268" s="120">
        <f>Tabla1[[#This Row],[COS.BASE 2]]/8</f>
        <v>0</v>
      </c>
      <c r="AE268" s="105">
        <f>Tabla1[[#This Row],[CST_H_E]]+Tabla1[[#This Row],[COS.BASE 2]]</f>
        <v>0</v>
      </c>
      <c r="AF268" s="106">
        <f>+_xlfn.IFNA(INDEX(RUBRO!$W$2:$AA$732,MATCH(Tabla1[[#This Row],[FECHA ]],RUBRO!$W$2:$W$732,0),5)," ")</f>
        <v>0</v>
      </c>
      <c r="AG268" s="10">
        <f>+_xlfn.IFNA(INDEX(RUBRO!$W$2:$AA$732,MATCH(Tabla1[[#This Row],[FECHA ]],RUBRO!$W$2:$W$732,0),2)," ")</f>
        <v>0</v>
      </c>
      <c r="AH268" s="40">
        <f>IFERROR(Tabla1[[#This Row],[F]]*Tabla1[[#This Row],[COS.B+E]]," ")</f>
        <v>0</v>
      </c>
      <c r="AI268" s="40">
        <f>IFERROR(Tabla1[[#This Row],[COS.B+E]]*Tabla1[[#This Row],[D]]," ")</f>
        <v>0</v>
      </c>
      <c r="AJ268" s="40" t="str">
        <f>IFERROR(Tabla1[[#This Row],[F]]*#REF!," ")</f>
        <v xml:space="preserve"> </v>
      </c>
      <c r="AK268" s="40" t="str">
        <f>IFERROR(#REF!*Tabla1[[#This Row],[D]]," ")</f>
        <v xml:space="preserve"> </v>
      </c>
      <c r="AL268" s="103"/>
      <c r="AM268" s="103"/>
      <c r="AN268" s="103"/>
      <c r="AO268" s="38">
        <f>+Tabla1[[#This Row],[COS.B+E]]+Tabla1[[#This Row],[COS.F1]]+Tabla1[[#This Row],[COS.D1]]+Tabla1[[#This Row],[ALIMENTACION]]+Tabla1[[#This Row],[PRESTAMO]]+AN268</f>
        <v>0</v>
      </c>
      <c r="AP268" s="38" t="e">
        <f>+#REF!+Tabla1[[#This Row],[COS F2]]+Tabla1[[#This Row],[COS D2]]+Tabla1[[#This Row],[ALIMENTACION]]+Tabla1[[#This Row],[PRESTAMO]]+Tabla1[[#This Row],[PASAJES]]</f>
        <v>#REF!</v>
      </c>
    </row>
    <row r="269" spans="1:42" x14ac:dyDescent="0.25">
      <c r="A269" s="2" t="str">
        <f>TEXT(Tabla1[[#This Row],[FECHA ]],"DDDDD")</f>
        <v>martes</v>
      </c>
      <c r="B269" s="2" t="str">
        <f>_xlfn.IFNA(VLOOKUP(Tabla1[[#This Row],[DESTINO]],RUBRO!$Q$1:$R$9996,2,FALSE)," ")</f>
        <v xml:space="preserve"> </v>
      </c>
      <c r="C269" s="104">
        <f>WEEKNUM(Tabla1[[#This Row],[FECHA ]],2)</f>
        <v>20</v>
      </c>
      <c r="D269" s="104" t="str">
        <f>TEXT(Tabla1[[#This Row],[FECHA ]],"MMM-YY")</f>
        <v>may-YY</v>
      </c>
      <c r="E269" s="104" t="str">
        <f>VLOOKUP(Tabla1[[#This Row],[DNI ]],RUBRO!$F$1:$O$9996,7,FALSE)</f>
        <v>5ta</v>
      </c>
      <c r="F269" s="104" t="str">
        <f>VLOOKUP(Tabla1[[#This Row],[DNI ]],RUBRO!$F$1:$O$88,3,FALSE)</f>
        <v>MEC-02</v>
      </c>
      <c r="G269" s="104" t="str">
        <f>VLOOKUP(Tabla1[[#This Row],[DNI ]],RUBRO!$F$1:$O$9996,5,FALSE)</f>
        <v>MECANICO MONTAJISTA DE MAQUINARIA</v>
      </c>
      <c r="H269" s="66" t="str">
        <f>VLOOKUP(Tabla1[[#This Row],[DNI ]],RUBRO!$F$1:$O$9996,6,FALSE)</f>
        <v>PEREZ VASQUEZ RONAL</v>
      </c>
      <c r="I269" s="94">
        <v>44327</v>
      </c>
      <c r="K269" s="2">
        <v>47942907</v>
      </c>
      <c r="L269" s="4">
        <f>VLOOKUP(Tabla1[[#This Row],[DNI ]],RUBRO!$F$2:$O$9996,8,FALSE)</f>
        <v>75</v>
      </c>
      <c r="M269" s="88"/>
      <c r="N269" s="28"/>
      <c r="P269" s="28"/>
      <c r="Q269" s="31">
        <f>(Tabla1[[#This Row],[SALIDA]]-Tabla1[[#This Row],[FIN ]])+(Tabla1[[#This Row],[INICIO]]-Tabla1[[#This Row],[INGRESO]])</f>
        <v>0</v>
      </c>
      <c r="R269" s="13">
        <f t="shared" si="13"/>
        <v>0</v>
      </c>
      <c r="S269" s="31">
        <f t="shared" si="14"/>
        <v>0</v>
      </c>
      <c r="T269" s="136"/>
      <c r="U269" s="136"/>
      <c r="V269" s="137">
        <f>(Tabla1[[#This Row],[COS.BASE 3]]*0.25+Tabla1[[#This Row],[COS.BASE 3]])*Tabla1[[#This Row],[HORAS 25 % ]]</f>
        <v>0</v>
      </c>
      <c r="W269" s="138">
        <f>(Tabla1[[#This Row],[COS.BASE 3]]*0.35+Tabla1[[#This Row],[COS.BASE 3]])*Tabla1[[#This Row],[HORAS 35% ]]</f>
        <v>0</v>
      </c>
      <c r="X269" s="138">
        <f>SUM(Tabla1[[#This Row],[C.HORA.35]],Tabla1[[#This Row],[C.HORA.25]])</f>
        <v>0</v>
      </c>
      <c r="Y269" s="4"/>
      <c r="Z269" s="10">
        <f>Tabla1[[#This Row],[T.HORAS]]*24</f>
        <v>0</v>
      </c>
      <c r="AA269" s="4">
        <f>Tabla1[[#This Row],[H.NORMALES]]*24</f>
        <v>0</v>
      </c>
      <c r="AB269" s="10">
        <f>Tabla1[[#This Row],[H.EXTRAS]]*24</f>
        <v>0</v>
      </c>
      <c r="AC269" s="105">
        <f t="shared" si="15"/>
        <v>0</v>
      </c>
      <c r="AD269" s="120">
        <f>Tabla1[[#This Row],[COS.BASE 2]]/8</f>
        <v>0</v>
      </c>
      <c r="AE269" s="105">
        <f>Tabla1[[#This Row],[CST_H_E]]+Tabla1[[#This Row],[COS.BASE 2]]</f>
        <v>0</v>
      </c>
      <c r="AF269" s="106">
        <f>+_xlfn.IFNA(INDEX(RUBRO!$W$2:$AA$732,MATCH(Tabla1[[#This Row],[FECHA ]],RUBRO!$W$2:$W$732,0),5)," ")</f>
        <v>0</v>
      </c>
      <c r="AG269" s="10">
        <f>+_xlfn.IFNA(INDEX(RUBRO!$W$2:$AA$732,MATCH(Tabla1[[#This Row],[FECHA ]],RUBRO!$W$2:$W$732,0),2)," ")</f>
        <v>0</v>
      </c>
      <c r="AH269" s="40">
        <f>IFERROR(Tabla1[[#This Row],[F]]*Tabla1[[#This Row],[COS.B+E]]," ")</f>
        <v>0</v>
      </c>
      <c r="AI269" s="40">
        <f>IFERROR(Tabla1[[#This Row],[COS.B+E]]*Tabla1[[#This Row],[D]]," ")</f>
        <v>0</v>
      </c>
      <c r="AJ269" s="40" t="str">
        <f>IFERROR(Tabla1[[#This Row],[F]]*#REF!," ")</f>
        <v xml:space="preserve"> </v>
      </c>
      <c r="AK269" s="40" t="str">
        <f>IFERROR(#REF!*Tabla1[[#This Row],[D]]," ")</f>
        <v xml:space="preserve"> </v>
      </c>
      <c r="AL269" s="103"/>
      <c r="AM269" s="103"/>
      <c r="AN269" s="103"/>
      <c r="AO269" s="38">
        <f>+Tabla1[[#This Row],[COS.B+E]]+Tabla1[[#This Row],[COS.F1]]+Tabla1[[#This Row],[COS.D1]]+Tabla1[[#This Row],[ALIMENTACION]]+Tabla1[[#This Row],[PRESTAMO]]+AN269</f>
        <v>0</v>
      </c>
      <c r="AP269" s="38" t="e">
        <f>+#REF!+Tabla1[[#This Row],[COS F2]]+Tabla1[[#This Row],[COS D2]]+Tabla1[[#This Row],[ALIMENTACION]]+Tabla1[[#This Row],[PRESTAMO]]+Tabla1[[#This Row],[PASAJES]]</f>
        <v>#REF!</v>
      </c>
    </row>
    <row r="270" spans="1:42" x14ac:dyDescent="0.25">
      <c r="A270" s="2" t="str">
        <f>TEXT(Tabla1[[#This Row],[FECHA ]],"DDDDD")</f>
        <v>martes</v>
      </c>
      <c r="B270" s="2" t="str">
        <f>_xlfn.IFNA(VLOOKUP(Tabla1[[#This Row],[DESTINO]],RUBRO!$Q$1:$R$9996,2,FALSE)," ")</f>
        <v>PLANTA</v>
      </c>
      <c r="C270" s="104">
        <f>WEEKNUM(Tabla1[[#This Row],[FECHA ]],2)</f>
        <v>20</v>
      </c>
      <c r="D270" s="104" t="str">
        <f>TEXT(Tabla1[[#This Row],[FECHA ]],"MMM-YY")</f>
        <v>may-YY</v>
      </c>
      <c r="E270" s="104" t="str">
        <f>VLOOKUP(Tabla1[[#This Row],[DNI ]],RUBRO!$F$1:$O$9996,7,FALSE)</f>
        <v>5ta</v>
      </c>
      <c r="F270" s="104" t="str">
        <f>VLOOKUP(Tabla1[[#This Row],[DNI ]],RUBRO!$F$1:$O$88,3,FALSE)</f>
        <v>TEC-02</v>
      </c>
      <c r="G270" s="104" t="str">
        <f>VLOOKUP(Tabla1[[#This Row],[DNI ]],RUBRO!$F$1:$O$9996,5,FALSE)</f>
        <v>TECNICO MECANICO MONTAJISTA DE MAQUINARIA</v>
      </c>
      <c r="H270" s="66" t="str">
        <f>VLOOKUP(Tabla1[[#This Row],[DNI ]],RUBRO!$F$1:$O$9996,6,FALSE)</f>
        <v>PURIZACA CHUÑE JHON ANDERSON</v>
      </c>
      <c r="I270" s="94">
        <v>44327</v>
      </c>
      <c r="J270" s="10">
        <v>1</v>
      </c>
      <c r="K270" s="2">
        <v>48372384</v>
      </c>
      <c r="L270" s="4">
        <f>VLOOKUP(Tabla1[[#This Row],[DNI ]],RUBRO!$F$2:$O$9996,8,FALSE)</f>
        <v>57.62</v>
      </c>
      <c r="M270" s="88">
        <v>0.29166666666666669</v>
      </c>
      <c r="N270" s="28">
        <v>0.54166666666666663</v>
      </c>
      <c r="O270" s="28">
        <v>0.58333333333333337</v>
      </c>
      <c r="P270" s="28">
        <v>0.79166666666666663</v>
      </c>
      <c r="Q270" s="31">
        <f>(Tabla1[[#This Row],[SALIDA]]-Tabla1[[#This Row],[FIN ]])+(Tabla1[[#This Row],[INICIO]]-Tabla1[[#This Row],[INGRESO]])</f>
        <v>0.4583333333333332</v>
      </c>
      <c r="R270" s="13">
        <f t="shared" si="13"/>
        <v>0.375</v>
      </c>
      <c r="S270" s="31">
        <f t="shared" si="14"/>
        <v>8.3333333333333204E-2</v>
      </c>
      <c r="T270" s="136"/>
      <c r="U270" s="136"/>
      <c r="V270" s="137">
        <f>(Tabla1[[#This Row],[COS.BASE 3]]*0.25+Tabla1[[#This Row],[COS.BASE 3]])*Tabla1[[#This Row],[HORAS 25 % ]]</f>
        <v>0</v>
      </c>
      <c r="W270" s="138">
        <f>(Tabla1[[#This Row],[COS.BASE 3]]*0.35+Tabla1[[#This Row],[COS.BASE 3]])*Tabla1[[#This Row],[HORAS 35% ]]</f>
        <v>0</v>
      </c>
      <c r="X270" s="138">
        <f>SUM(Tabla1[[#This Row],[C.HORA.35]],Tabla1[[#This Row],[C.HORA.25]])</f>
        <v>0</v>
      </c>
      <c r="Y270" s="4"/>
      <c r="Z270" s="10">
        <f>Tabla1[[#This Row],[T.HORAS]]*24</f>
        <v>10.999999999999996</v>
      </c>
      <c r="AA270" s="4">
        <f>Tabla1[[#This Row],[H.NORMALES]]*24</f>
        <v>9</v>
      </c>
      <c r="AB270" s="10">
        <f>Tabla1[[#This Row],[H.EXTRAS]]*24</f>
        <v>1.9999999999999969</v>
      </c>
      <c r="AC270" s="105">
        <f t="shared" si="15"/>
        <v>57.62</v>
      </c>
      <c r="AD270" s="120">
        <f>Tabla1[[#This Row],[COS.BASE 2]]/8</f>
        <v>7.2024999999999997</v>
      </c>
      <c r="AE270" s="105">
        <f>Tabla1[[#This Row],[CST_H_E]]+Tabla1[[#This Row],[COS.BASE 2]]</f>
        <v>57.62</v>
      </c>
      <c r="AF270" s="106">
        <f>+_xlfn.IFNA(INDEX(RUBRO!$W$2:$AA$732,MATCH(Tabla1[[#This Row],[FECHA ]],RUBRO!$W$2:$W$732,0),5)," ")</f>
        <v>0</v>
      </c>
      <c r="AG270" s="10">
        <f>+_xlfn.IFNA(INDEX(RUBRO!$W$2:$AA$732,MATCH(Tabla1[[#This Row],[FECHA ]],RUBRO!$W$2:$W$732,0),2)," ")</f>
        <v>0</v>
      </c>
      <c r="AH270" s="40">
        <f>IFERROR(Tabla1[[#This Row],[F]]*Tabla1[[#This Row],[COS.B+E]]," ")</f>
        <v>0</v>
      </c>
      <c r="AI270" s="40">
        <f>IFERROR(Tabla1[[#This Row],[COS.B+E]]*Tabla1[[#This Row],[D]]," ")</f>
        <v>0</v>
      </c>
      <c r="AJ270" s="40" t="str">
        <f>IFERROR(Tabla1[[#This Row],[F]]*#REF!," ")</f>
        <v xml:space="preserve"> </v>
      </c>
      <c r="AK270" s="40" t="str">
        <f>IFERROR(#REF!*Tabla1[[#This Row],[D]]," ")</f>
        <v xml:space="preserve"> </v>
      </c>
      <c r="AL270" s="103"/>
      <c r="AM270" s="103"/>
      <c r="AN270" s="103"/>
      <c r="AO270" s="38">
        <f>+Tabla1[[#This Row],[COS.B+E]]+Tabla1[[#This Row],[COS.F1]]+Tabla1[[#This Row],[COS.D1]]+Tabla1[[#This Row],[ALIMENTACION]]+Tabla1[[#This Row],[PRESTAMO]]+AN270</f>
        <v>57.62</v>
      </c>
      <c r="AP270" s="38" t="e">
        <f>+#REF!+Tabla1[[#This Row],[COS F2]]+Tabla1[[#This Row],[COS D2]]+Tabla1[[#This Row],[ALIMENTACION]]+Tabla1[[#This Row],[PRESTAMO]]+Tabla1[[#This Row],[PASAJES]]</f>
        <v>#REF!</v>
      </c>
    </row>
    <row r="271" spans="1:42" x14ac:dyDescent="0.25">
      <c r="A271" s="2" t="str">
        <f>TEXT(Tabla1[[#This Row],[FECHA ]],"DDDDD")</f>
        <v>martes</v>
      </c>
      <c r="B271" s="2" t="str">
        <f>_xlfn.IFNA(VLOOKUP(Tabla1[[#This Row],[DESTINO]],RUBRO!$Q$1:$R$9996,2,FALSE)," ")</f>
        <v>PLANTA</v>
      </c>
      <c r="C271" s="104">
        <f>WEEKNUM(Tabla1[[#This Row],[FECHA ]],2)</f>
        <v>20</v>
      </c>
      <c r="D271" s="104" t="str">
        <f>TEXT(Tabla1[[#This Row],[FECHA ]],"MMM-YY")</f>
        <v>may-YY</v>
      </c>
      <c r="E271" s="104" t="str">
        <f>VLOOKUP(Tabla1[[#This Row],[DNI ]],RUBRO!$F$1:$O$9996,7,FALSE)</f>
        <v>5ta</v>
      </c>
      <c r="F271" s="104" t="str">
        <f>VLOOKUP(Tabla1[[#This Row],[DNI ]],RUBRO!$F$1:$O$88,3,FALSE)</f>
        <v>MAE-02</v>
      </c>
      <c r="G271" s="104" t="str">
        <f>VLOOKUP(Tabla1[[#This Row],[DNI ]],RUBRO!$F$1:$O$9996,5,FALSE)</f>
        <v>MAESTRO MECANICO MONTAJISTA DE MAQUINARIA</v>
      </c>
      <c r="H271" s="66" t="str">
        <f>VLOOKUP(Tabla1[[#This Row],[DNI ]],RUBRO!$F$1:$O$9996,6,FALSE)</f>
        <v>PURIZACA SEVERINO DANIEL FERNANDO</v>
      </c>
      <c r="I271" s="94">
        <v>44327</v>
      </c>
      <c r="J271" s="10">
        <v>1</v>
      </c>
      <c r="K271" s="2">
        <v>42308744</v>
      </c>
      <c r="L271" s="4">
        <f>VLOOKUP(Tabla1[[#This Row],[DNI ]],RUBRO!$F$2:$O$9996,8,FALSE)</f>
        <v>87.1</v>
      </c>
      <c r="M271" s="88">
        <v>0.29166666666666669</v>
      </c>
      <c r="N271" s="28">
        <v>0.54166666666666663</v>
      </c>
      <c r="O271" s="28">
        <v>0.58333333333333337</v>
      </c>
      <c r="P271" s="28">
        <v>0.79166666666666663</v>
      </c>
      <c r="Q271" s="31">
        <f>(Tabla1[[#This Row],[SALIDA]]-Tabla1[[#This Row],[FIN ]])+(Tabla1[[#This Row],[INICIO]]-Tabla1[[#This Row],[INGRESO]])</f>
        <v>0.4583333333333332</v>
      </c>
      <c r="R271" s="13">
        <f t="shared" si="13"/>
        <v>0.375</v>
      </c>
      <c r="S271" s="31">
        <f t="shared" si="14"/>
        <v>8.3333333333333204E-2</v>
      </c>
      <c r="T271" s="136"/>
      <c r="U271" s="136"/>
      <c r="V271" s="137">
        <f>(Tabla1[[#This Row],[COS.BASE 3]]*0.25+Tabla1[[#This Row],[COS.BASE 3]])*Tabla1[[#This Row],[HORAS 25 % ]]</f>
        <v>0</v>
      </c>
      <c r="W271" s="138">
        <f>(Tabla1[[#This Row],[COS.BASE 3]]*0.35+Tabla1[[#This Row],[COS.BASE 3]])*Tabla1[[#This Row],[HORAS 35% ]]</f>
        <v>0</v>
      </c>
      <c r="X271" s="138">
        <f>SUM(Tabla1[[#This Row],[C.HORA.35]],Tabla1[[#This Row],[C.HORA.25]])</f>
        <v>0</v>
      </c>
      <c r="Y271" s="4"/>
      <c r="Z271" s="10">
        <f>Tabla1[[#This Row],[T.HORAS]]*24</f>
        <v>10.999999999999996</v>
      </c>
      <c r="AA271" s="4">
        <f>Tabla1[[#This Row],[H.NORMALES]]*24</f>
        <v>9</v>
      </c>
      <c r="AB271" s="10">
        <f>Tabla1[[#This Row],[H.EXTRAS]]*24</f>
        <v>1.9999999999999969</v>
      </c>
      <c r="AC271" s="105">
        <f t="shared" si="15"/>
        <v>87.1</v>
      </c>
      <c r="AD271" s="120">
        <f>Tabla1[[#This Row],[COS.BASE 2]]/8</f>
        <v>10.887499999999999</v>
      </c>
      <c r="AE271" s="105">
        <f>Tabla1[[#This Row],[CST_H_E]]+Tabla1[[#This Row],[COS.BASE 2]]</f>
        <v>87.1</v>
      </c>
      <c r="AF271" s="106">
        <f>+_xlfn.IFNA(INDEX(RUBRO!$W$2:$AA$732,MATCH(Tabla1[[#This Row],[FECHA ]],RUBRO!$W$2:$W$732,0),5)," ")</f>
        <v>0</v>
      </c>
      <c r="AG271" s="10">
        <f>+_xlfn.IFNA(INDEX(RUBRO!$W$2:$AA$732,MATCH(Tabla1[[#This Row],[FECHA ]],RUBRO!$W$2:$W$732,0),2)," ")</f>
        <v>0</v>
      </c>
      <c r="AH271" s="40">
        <f>IFERROR(Tabla1[[#This Row],[F]]*Tabla1[[#This Row],[COS.B+E]]," ")</f>
        <v>0</v>
      </c>
      <c r="AI271" s="40">
        <f>IFERROR(Tabla1[[#This Row],[COS.B+E]]*Tabla1[[#This Row],[D]]," ")</f>
        <v>0</v>
      </c>
      <c r="AJ271" s="40" t="str">
        <f>IFERROR(Tabla1[[#This Row],[F]]*#REF!," ")</f>
        <v xml:space="preserve"> </v>
      </c>
      <c r="AK271" s="40" t="str">
        <f>IFERROR(#REF!*Tabla1[[#This Row],[D]]," ")</f>
        <v xml:space="preserve"> </v>
      </c>
      <c r="AL271" s="103"/>
      <c r="AM271" s="103"/>
      <c r="AN271" s="103"/>
      <c r="AO271" s="38">
        <f>+Tabla1[[#This Row],[COS.B+E]]+Tabla1[[#This Row],[COS.F1]]+Tabla1[[#This Row],[COS.D1]]+Tabla1[[#This Row],[ALIMENTACION]]+Tabla1[[#This Row],[PRESTAMO]]+AN271</f>
        <v>87.1</v>
      </c>
      <c r="AP271" s="38" t="e">
        <f>+#REF!+Tabla1[[#This Row],[COS F2]]+Tabla1[[#This Row],[COS D2]]+Tabla1[[#This Row],[ALIMENTACION]]+Tabla1[[#This Row],[PRESTAMO]]+Tabla1[[#This Row],[PASAJES]]</f>
        <v>#REF!</v>
      </c>
    </row>
    <row r="272" spans="1:42" x14ac:dyDescent="0.25">
      <c r="A272" s="2" t="str">
        <f>TEXT(Tabla1[[#This Row],[FECHA ]],"DDDDD")</f>
        <v>martes</v>
      </c>
      <c r="B272" s="2" t="str">
        <f>_xlfn.IFNA(VLOOKUP(Tabla1[[#This Row],[DESTINO]],RUBRO!$Q$1:$R$9996,2,FALSE)," ")</f>
        <v>OBRA</v>
      </c>
      <c r="C272" s="104">
        <f>WEEKNUM(Tabla1[[#This Row],[FECHA ]],2)</f>
        <v>20</v>
      </c>
      <c r="D272" s="104" t="str">
        <f>TEXT(Tabla1[[#This Row],[FECHA ]],"MMM-YY")</f>
        <v>may-YY</v>
      </c>
      <c r="E272" s="104" t="str">
        <f>VLOOKUP(Tabla1[[#This Row],[DNI ]],RUBRO!$F$1:$O$9996,7,FALSE)</f>
        <v>4ta</v>
      </c>
      <c r="F272" s="104" t="str">
        <f>VLOOKUP(Tabla1[[#This Row],[DNI ]],RUBRO!$F$1:$O$88,3,FALSE)</f>
        <v>MAE3G-01</v>
      </c>
      <c r="G272" s="104" t="str">
        <f>VLOOKUP(Tabla1[[#This Row],[DNI ]],RUBRO!$F$1:$O$9996,5,FALSE)</f>
        <v>MAESTRO SOLDADOR 3G</v>
      </c>
      <c r="H272" s="66" t="str">
        <f>VLOOKUP(Tabla1[[#This Row],[DNI ]],RUBRO!$F$1:$O$9996,6,FALSE)</f>
        <v>QUIROZ CORTEJANA DANTE GABRIEL</v>
      </c>
      <c r="I272" s="94">
        <v>44327</v>
      </c>
      <c r="J272" s="10">
        <v>2</v>
      </c>
      <c r="K272" s="2">
        <v>45486657</v>
      </c>
      <c r="L272" s="4">
        <f>VLOOKUP(Tabla1[[#This Row],[DNI ]],RUBRO!$F$2:$O$9996,8,FALSE)</f>
        <v>90</v>
      </c>
      <c r="M272" s="88">
        <v>0.29166666666666669</v>
      </c>
      <c r="N272" s="28">
        <v>0.54166666666666663</v>
      </c>
      <c r="O272" s="28">
        <v>0.58333333333333337</v>
      </c>
      <c r="P272" s="28">
        <v>0.75</v>
      </c>
      <c r="Q272" s="31">
        <f>(Tabla1[[#This Row],[SALIDA]]-Tabla1[[#This Row],[FIN ]])+(Tabla1[[#This Row],[INICIO]]-Tabla1[[#This Row],[INGRESO]])</f>
        <v>0.41666666666666657</v>
      </c>
      <c r="R272" s="13">
        <f t="shared" si="13"/>
        <v>0.33333333333333331</v>
      </c>
      <c r="S272" s="31">
        <f t="shared" si="14"/>
        <v>8.3333333333333259E-2</v>
      </c>
      <c r="T272" s="136"/>
      <c r="U272" s="136"/>
      <c r="V272" s="137">
        <f>(Tabla1[[#This Row],[COS.BASE 3]]*0.25+Tabla1[[#This Row],[COS.BASE 3]])*Tabla1[[#This Row],[HORAS 25 % ]]</f>
        <v>0</v>
      </c>
      <c r="W272" s="138">
        <f>(Tabla1[[#This Row],[COS.BASE 3]]*0.35+Tabla1[[#This Row],[COS.BASE 3]])*Tabla1[[#This Row],[HORAS 35% ]]</f>
        <v>0</v>
      </c>
      <c r="X272" s="138">
        <f>SUM(Tabla1[[#This Row],[C.HORA.35]],Tabla1[[#This Row],[C.HORA.25]])</f>
        <v>0</v>
      </c>
      <c r="Y272" s="4"/>
      <c r="Z272" s="10">
        <f>Tabla1[[#This Row],[T.HORAS]]*24</f>
        <v>9.9999999999999982</v>
      </c>
      <c r="AA272" s="4">
        <f>Tabla1[[#This Row],[H.NORMALES]]*24</f>
        <v>8</v>
      </c>
      <c r="AB272" s="10">
        <f>Tabla1[[#This Row],[H.EXTRAS]]*24</f>
        <v>1.9999999999999982</v>
      </c>
      <c r="AC272" s="105">
        <f t="shared" si="15"/>
        <v>90</v>
      </c>
      <c r="AD272" s="120">
        <f>Tabla1[[#This Row],[COS.BASE 2]]/8</f>
        <v>11.25</v>
      </c>
      <c r="AE272" s="105">
        <f>Tabla1[[#This Row],[CST_H_E]]+Tabla1[[#This Row],[COS.BASE 2]]</f>
        <v>90</v>
      </c>
      <c r="AF272" s="106">
        <f>+_xlfn.IFNA(INDEX(RUBRO!$W$2:$AA$732,MATCH(Tabla1[[#This Row],[FECHA ]],RUBRO!$W$2:$W$732,0),5)," ")</f>
        <v>0</v>
      </c>
      <c r="AG272" s="10">
        <f>+_xlfn.IFNA(INDEX(RUBRO!$W$2:$AA$732,MATCH(Tabla1[[#This Row],[FECHA ]],RUBRO!$W$2:$W$732,0),2)," ")</f>
        <v>0</v>
      </c>
      <c r="AH272" s="40">
        <f>IFERROR(Tabla1[[#This Row],[F]]*Tabla1[[#This Row],[COS.B+E]]," ")</f>
        <v>0</v>
      </c>
      <c r="AI272" s="40">
        <f>IFERROR(Tabla1[[#This Row],[COS.B+E]]*Tabla1[[#This Row],[D]]," ")</f>
        <v>0</v>
      </c>
      <c r="AJ272" s="40" t="str">
        <f>IFERROR(Tabla1[[#This Row],[F]]*#REF!," ")</f>
        <v xml:space="preserve"> </v>
      </c>
      <c r="AK272" s="40" t="str">
        <f>IFERROR(#REF!*Tabla1[[#This Row],[D]]," ")</f>
        <v xml:space="preserve"> </v>
      </c>
      <c r="AL272" s="103"/>
      <c r="AM272" s="103"/>
      <c r="AN272" s="103"/>
      <c r="AO272" s="38">
        <f>+Tabla1[[#This Row],[COS.B+E]]+Tabla1[[#This Row],[COS.F1]]+Tabla1[[#This Row],[COS.D1]]+Tabla1[[#This Row],[ALIMENTACION]]+Tabla1[[#This Row],[PRESTAMO]]+AN272</f>
        <v>90</v>
      </c>
      <c r="AP272" s="38" t="e">
        <f>+#REF!+Tabla1[[#This Row],[COS F2]]+Tabla1[[#This Row],[COS D2]]+Tabla1[[#This Row],[ALIMENTACION]]+Tabla1[[#This Row],[PRESTAMO]]+Tabla1[[#This Row],[PASAJES]]</f>
        <v>#REF!</v>
      </c>
    </row>
    <row r="273" spans="1:42" x14ac:dyDescent="0.25">
      <c r="A273" s="2" t="str">
        <f>TEXT(Tabla1[[#This Row],[FECHA ]],"DDDDD")</f>
        <v>martes</v>
      </c>
      <c r="B273" s="2" t="str">
        <f>_xlfn.IFNA(VLOOKUP(Tabla1[[#This Row],[DESTINO]],RUBRO!$Q$1:$R$9996,2,FALSE)," ")</f>
        <v>OBRA</v>
      </c>
      <c r="C273" s="104">
        <f>WEEKNUM(Tabla1[[#This Row],[FECHA ]],2)</f>
        <v>20</v>
      </c>
      <c r="D273" s="104" t="str">
        <f>TEXT(Tabla1[[#This Row],[FECHA ]],"MMM-YY")</f>
        <v>may-YY</v>
      </c>
      <c r="E273" s="104" t="str">
        <f>VLOOKUP(Tabla1[[#This Row],[DNI ]],RUBRO!$F$1:$O$9996,7,FALSE)</f>
        <v>5ta</v>
      </c>
      <c r="F273" s="104" t="str">
        <f>VLOOKUP(Tabla1[[#This Row],[DNI ]],RUBRO!$F$1:$O$88,3,FALSE)</f>
        <v>MAEME-03</v>
      </c>
      <c r="G273" s="104" t="str">
        <f>VLOOKUP(Tabla1[[#This Row],[DNI ]],RUBRO!$F$1:$O$9996,5,FALSE)</f>
        <v>MAESTRO ELECTRICO MONTAJISTA DE MAQUINARIA EXTRANJERA</v>
      </c>
      <c r="H273" s="66" t="str">
        <f>VLOOKUP(Tabla1[[#This Row],[DNI ]],RUBRO!$F$1:$O$9996,6,FALSE)</f>
        <v>RAMIREZ PELAEZ ELIAS</v>
      </c>
      <c r="I273" s="94">
        <v>44327</v>
      </c>
      <c r="J273" s="10">
        <v>2</v>
      </c>
      <c r="K273" s="2">
        <v>45779525</v>
      </c>
      <c r="L273" s="4">
        <f>VLOOKUP(Tabla1[[#This Row],[DNI ]],RUBRO!$F$2:$O$9996,8,FALSE)</f>
        <v>116.06</v>
      </c>
      <c r="M273" s="88">
        <v>0</v>
      </c>
      <c r="N273" s="28">
        <v>0.54166666666666663</v>
      </c>
      <c r="O273" s="28">
        <v>0.58333333333333337</v>
      </c>
      <c r="P273" s="28">
        <v>0.77083333333333337</v>
      </c>
      <c r="Q273" s="31">
        <f>(Tabla1[[#This Row],[SALIDA]]-Tabla1[[#This Row],[FIN ]])+(Tabla1[[#This Row],[INICIO]]-Tabla1[[#This Row],[INGRESO]])</f>
        <v>0.72916666666666663</v>
      </c>
      <c r="R273" s="13">
        <f t="shared" si="13"/>
        <v>0.33333333333333331</v>
      </c>
      <c r="S273" s="31">
        <f t="shared" si="14"/>
        <v>0.39583333333333331</v>
      </c>
      <c r="T273" s="136"/>
      <c r="U273" s="136"/>
      <c r="V273" s="137">
        <f>(Tabla1[[#This Row],[COS.BASE 3]]*0.25+Tabla1[[#This Row],[COS.BASE 3]])*Tabla1[[#This Row],[HORAS 25 % ]]</f>
        <v>0</v>
      </c>
      <c r="W273" s="138">
        <f>(Tabla1[[#This Row],[COS.BASE 3]]*0.35+Tabla1[[#This Row],[COS.BASE 3]])*Tabla1[[#This Row],[HORAS 35% ]]</f>
        <v>0</v>
      </c>
      <c r="X273" s="138">
        <f>SUM(Tabla1[[#This Row],[C.HORA.35]],Tabla1[[#This Row],[C.HORA.25]])</f>
        <v>0</v>
      </c>
      <c r="Y273" s="4"/>
      <c r="Z273" s="10">
        <f>Tabla1[[#This Row],[T.HORAS]]*24</f>
        <v>17.5</v>
      </c>
      <c r="AA273" s="4">
        <f>Tabla1[[#This Row],[H.NORMALES]]*24</f>
        <v>8</v>
      </c>
      <c r="AB273" s="10">
        <f>Tabla1[[#This Row],[H.EXTRAS]]*24</f>
        <v>9.5</v>
      </c>
      <c r="AC273" s="105">
        <f t="shared" si="15"/>
        <v>116.06</v>
      </c>
      <c r="AD273" s="120">
        <f>Tabla1[[#This Row],[COS.BASE 2]]/8</f>
        <v>14.5075</v>
      </c>
      <c r="AE273" s="105">
        <f>Tabla1[[#This Row],[CST_H_E]]+Tabla1[[#This Row],[COS.BASE 2]]</f>
        <v>116.06</v>
      </c>
      <c r="AF273" s="106">
        <f>+_xlfn.IFNA(INDEX(RUBRO!$W$2:$AA$732,MATCH(Tabla1[[#This Row],[FECHA ]],RUBRO!$W$2:$W$732,0),5)," ")</f>
        <v>0</v>
      </c>
      <c r="AG273" s="10">
        <f>+_xlfn.IFNA(INDEX(RUBRO!$W$2:$AA$732,MATCH(Tabla1[[#This Row],[FECHA ]],RUBRO!$W$2:$W$732,0),2)," ")</f>
        <v>0</v>
      </c>
      <c r="AH273" s="40">
        <f>IFERROR(Tabla1[[#This Row],[F]]*Tabla1[[#This Row],[COS.B+E]]," ")</f>
        <v>0</v>
      </c>
      <c r="AI273" s="40">
        <f>IFERROR(Tabla1[[#This Row],[COS.B+E]]*Tabla1[[#This Row],[D]]," ")</f>
        <v>0</v>
      </c>
      <c r="AJ273" s="40" t="str">
        <f>IFERROR(Tabla1[[#This Row],[F]]*#REF!," ")</f>
        <v xml:space="preserve"> </v>
      </c>
      <c r="AK273" s="40" t="str">
        <f>IFERROR(#REF!*Tabla1[[#This Row],[D]]," ")</f>
        <v xml:space="preserve"> </v>
      </c>
      <c r="AL273" s="103"/>
      <c r="AM273" s="103"/>
      <c r="AN273" s="103"/>
      <c r="AO273" s="38">
        <f>+Tabla1[[#This Row],[COS.B+E]]+Tabla1[[#This Row],[COS.F1]]+Tabla1[[#This Row],[COS.D1]]+Tabla1[[#This Row],[ALIMENTACION]]+Tabla1[[#This Row],[PRESTAMO]]+AN273</f>
        <v>116.06</v>
      </c>
      <c r="AP273" s="38" t="e">
        <f>+#REF!+Tabla1[[#This Row],[COS F2]]+Tabla1[[#This Row],[COS D2]]+Tabla1[[#This Row],[ALIMENTACION]]+Tabla1[[#This Row],[PRESTAMO]]+Tabla1[[#This Row],[PASAJES]]</f>
        <v>#REF!</v>
      </c>
    </row>
    <row r="274" spans="1:42" x14ac:dyDescent="0.25">
      <c r="A274" s="2" t="str">
        <f>TEXT(Tabla1[[#This Row],[FECHA ]],"DDDDD")</f>
        <v>martes</v>
      </c>
      <c r="B274" s="2" t="str">
        <f>_xlfn.IFNA(VLOOKUP(Tabla1[[#This Row],[DESTINO]],RUBRO!$Q$1:$R$9996,2,FALSE)," ")</f>
        <v>PLANTA</v>
      </c>
      <c r="C274" s="104">
        <f>WEEKNUM(Tabla1[[#This Row],[FECHA ]],2)</f>
        <v>20</v>
      </c>
      <c r="D274" s="104" t="str">
        <f>TEXT(Tabla1[[#This Row],[FECHA ]],"MMM-YY")</f>
        <v>may-YY</v>
      </c>
      <c r="E274" s="104" t="str">
        <f>VLOOKUP(Tabla1[[#This Row],[DNI ]],RUBRO!$F$1:$O$9996,7,FALSE)</f>
        <v>5ta</v>
      </c>
      <c r="F274" s="104" t="str">
        <f>VLOOKUP(Tabla1[[#This Row],[DNI ]],RUBRO!$F$1:$O$88,3,FALSE)</f>
        <v>MAE3G-01</v>
      </c>
      <c r="G274" s="104" t="str">
        <f>VLOOKUP(Tabla1[[#This Row],[DNI ]],RUBRO!$F$1:$O$9996,5,FALSE)</f>
        <v>MAESTRO SOLDADOR 3G</v>
      </c>
      <c r="H274" s="66" t="str">
        <f>VLOOKUP(Tabla1[[#This Row],[DNI ]],RUBRO!$F$1:$O$9996,6,FALSE)</f>
        <v>RIOJA RODRIGUEZ MARCO JEAIR</v>
      </c>
      <c r="I274" s="94">
        <v>44327</v>
      </c>
      <c r="J274" s="10">
        <v>1</v>
      </c>
      <c r="K274" s="2">
        <v>77423720</v>
      </c>
      <c r="L274" s="4">
        <f>VLOOKUP(Tabla1[[#This Row],[DNI ]],RUBRO!$F$2:$O$9996,8,FALSE)</f>
        <v>69.44</v>
      </c>
      <c r="M274" s="88">
        <v>0.29166666666666669</v>
      </c>
      <c r="N274" s="28">
        <v>0.54166666666666663</v>
      </c>
      <c r="O274" s="28">
        <v>0.58333333333333337</v>
      </c>
      <c r="P274" s="28">
        <v>0.75</v>
      </c>
      <c r="Q274" s="31">
        <f>(Tabla1[[#This Row],[SALIDA]]-Tabla1[[#This Row],[FIN ]])+(Tabla1[[#This Row],[INICIO]]-Tabla1[[#This Row],[INGRESO]])</f>
        <v>0.41666666666666657</v>
      </c>
      <c r="R274" s="13">
        <f t="shared" si="13"/>
        <v>0.375</v>
      </c>
      <c r="S274" s="31">
        <f t="shared" si="14"/>
        <v>4.1666666666666574E-2</v>
      </c>
      <c r="T274" s="136"/>
      <c r="U274" s="136"/>
      <c r="V274" s="137">
        <f>(Tabla1[[#This Row],[COS.BASE 3]]*0.25+Tabla1[[#This Row],[COS.BASE 3]])*Tabla1[[#This Row],[HORAS 25 % ]]</f>
        <v>0</v>
      </c>
      <c r="W274" s="138">
        <f>(Tabla1[[#This Row],[COS.BASE 3]]*0.35+Tabla1[[#This Row],[COS.BASE 3]])*Tabla1[[#This Row],[HORAS 35% ]]</f>
        <v>0</v>
      </c>
      <c r="X274" s="138">
        <f>SUM(Tabla1[[#This Row],[C.HORA.35]],Tabla1[[#This Row],[C.HORA.25]])</f>
        <v>0</v>
      </c>
      <c r="Y274" s="4"/>
      <c r="Z274" s="10">
        <f>Tabla1[[#This Row],[T.HORAS]]*24</f>
        <v>9.9999999999999982</v>
      </c>
      <c r="AA274" s="4">
        <f>Tabla1[[#This Row],[H.NORMALES]]*24</f>
        <v>9</v>
      </c>
      <c r="AB274" s="10">
        <f>Tabla1[[#This Row],[H.EXTRAS]]*24</f>
        <v>0.99999999999999778</v>
      </c>
      <c r="AC274" s="105">
        <f t="shared" si="15"/>
        <v>69.44</v>
      </c>
      <c r="AD274" s="120">
        <f>Tabla1[[#This Row],[COS.BASE 2]]/8</f>
        <v>8.68</v>
      </c>
      <c r="AE274" s="105">
        <f>Tabla1[[#This Row],[CST_H_E]]+Tabla1[[#This Row],[COS.BASE 2]]</f>
        <v>69.44</v>
      </c>
      <c r="AF274" s="106">
        <f>+_xlfn.IFNA(INDEX(RUBRO!$W$2:$AA$732,MATCH(Tabla1[[#This Row],[FECHA ]],RUBRO!$W$2:$W$732,0),5)," ")</f>
        <v>0</v>
      </c>
      <c r="AG274" s="10">
        <f>+_xlfn.IFNA(INDEX(RUBRO!$W$2:$AA$732,MATCH(Tabla1[[#This Row],[FECHA ]],RUBRO!$W$2:$W$732,0),2)," ")</f>
        <v>0</v>
      </c>
      <c r="AH274" s="40">
        <f>IFERROR(Tabla1[[#This Row],[F]]*Tabla1[[#This Row],[COS.B+E]]," ")</f>
        <v>0</v>
      </c>
      <c r="AI274" s="40">
        <f>IFERROR(Tabla1[[#This Row],[COS.B+E]]*Tabla1[[#This Row],[D]]," ")</f>
        <v>0</v>
      </c>
      <c r="AJ274" s="40" t="str">
        <f>IFERROR(Tabla1[[#This Row],[F]]*#REF!," ")</f>
        <v xml:space="preserve"> </v>
      </c>
      <c r="AK274" s="40" t="str">
        <f>IFERROR(#REF!*Tabla1[[#This Row],[D]]," ")</f>
        <v xml:space="preserve"> </v>
      </c>
      <c r="AL274" s="103"/>
      <c r="AM274" s="103"/>
      <c r="AN274" s="103"/>
      <c r="AO274" s="38">
        <f>+Tabla1[[#This Row],[COS.B+E]]+Tabla1[[#This Row],[COS.F1]]+Tabla1[[#This Row],[COS.D1]]+Tabla1[[#This Row],[ALIMENTACION]]+Tabla1[[#This Row],[PRESTAMO]]+AN274</f>
        <v>69.44</v>
      </c>
      <c r="AP274" s="38" t="e">
        <f>+#REF!+Tabla1[[#This Row],[COS F2]]+Tabla1[[#This Row],[COS D2]]+Tabla1[[#This Row],[ALIMENTACION]]+Tabla1[[#This Row],[PRESTAMO]]+Tabla1[[#This Row],[PASAJES]]</f>
        <v>#REF!</v>
      </c>
    </row>
    <row r="275" spans="1:42" x14ac:dyDescent="0.25">
      <c r="A275" s="2" t="str">
        <f>TEXT(Tabla1[[#This Row],[FECHA ]],"DDDDD")</f>
        <v>martes</v>
      </c>
      <c r="B275" s="2" t="str">
        <f>_xlfn.IFNA(VLOOKUP(Tabla1[[#This Row],[DESTINO]],RUBRO!$Q$1:$R$9996,2,FALSE)," ")</f>
        <v>PLANTA</v>
      </c>
      <c r="C275" s="104">
        <f>WEEKNUM(Tabla1[[#This Row],[FECHA ]],2)</f>
        <v>20</v>
      </c>
      <c r="D275" s="104" t="str">
        <f>TEXT(Tabla1[[#This Row],[FECHA ]],"MMM-YY")</f>
        <v>may-YY</v>
      </c>
      <c r="E275" s="104" t="str">
        <f>VLOOKUP(Tabla1[[#This Row],[DNI ]],RUBRO!$F$1:$O$9996,7,FALSE)</f>
        <v>5ta</v>
      </c>
      <c r="F275" s="104" t="str">
        <f>VLOOKUP(Tabla1[[#This Row],[DNI ]],RUBRO!$F$1:$O$88,3,FALSE)</f>
        <v>MAE6G-01</v>
      </c>
      <c r="G275" s="104" t="str">
        <f>VLOOKUP(Tabla1[[#This Row],[DNI ]],RUBRO!$F$1:$O$9996,5,FALSE)</f>
        <v>MAESTRO SOLDADOR 6G MONTAJISTA DE MAQUINARIA</v>
      </c>
      <c r="H275" s="66" t="str">
        <f>VLOOKUP(Tabla1[[#This Row],[DNI ]],RUBRO!$F$1:$O$9996,6,FALSE)</f>
        <v>RIVERA LEONARDO EVER JOSE</v>
      </c>
      <c r="I275" s="94">
        <v>44327</v>
      </c>
      <c r="J275" s="10">
        <v>1</v>
      </c>
      <c r="K275" s="2">
        <v>45035778</v>
      </c>
      <c r="L275" s="4">
        <f>VLOOKUP(Tabla1[[#This Row],[DNI ]],RUBRO!$F$2:$O$9996,8,FALSE)</f>
        <v>92.8</v>
      </c>
      <c r="M275" s="88">
        <v>0.29166666666666669</v>
      </c>
      <c r="N275" s="28">
        <v>0.54166666666666663</v>
      </c>
      <c r="O275" s="28">
        <v>0.58333333333333337</v>
      </c>
      <c r="P275" s="28">
        <v>0.79166666666666663</v>
      </c>
      <c r="Q275" s="31">
        <f>(Tabla1[[#This Row],[SALIDA]]-Tabla1[[#This Row],[FIN ]])+(Tabla1[[#This Row],[INICIO]]-Tabla1[[#This Row],[INGRESO]])</f>
        <v>0.4583333333333332</v>
      </c>
      <c r="R275" s="13">
        <f t="shared" si="13"/>
        <v>0.375</v>
      </c>
      <c r="S275" s="31">
        <f t="shared" si="14"/>
        <v>8.3333333333333204E-2</v>
      </c>
      <c r="T275" s="136"/>
      <c r="U275" s="136"/>
      <c r="V275" s="137">
        <f>(Tabla1[[#This Row],[COS.BASE 3]]*0.25+Tabla1[[#This Row],[COS.BASE 3]])*Tabla1[[#This Row],[HORAS 25 % ]]</f>
        <v>0</v>
      </c>
      <c r="W275" s="138">
        <f>(Tabla1[[#This Row],[COS.BASE 3]]*0.35+Tabla1[[#This Row],[COS.BASE 3]])*Tabla1[[#This Row],[HORAS 35% ]]</f>
        <v>0</v>
      </c>
      <c r="X275" s="138">
        <f>SUM(Tabla1[[#This Row],[C.HORA.35]],Tabla1[[#This Row],[C.HORA.25]])</f>
        <v>0</v>
      </c>
      <c r="Y275" s="4"/>
      <c r="Z275" s="10">
        <f>Tabla1[[#This Row],[T.HORAS]]*24</f>
        <v>10.999999999999996</v>
      </c>
      <c r="AA275" s="4">
        <f>Tabla1[[#This Row],[H.NORMALES]]*24</f>
        <v>9</v>
      </c>
      <c r="AB275" s="10">
        <f>Tabla1[[#This Row],[H.EXTRAS]]*24</f>
        <v>1.9999999999999969</v>
      </c>
      <c r="AC275" s="105">
        <f t="shared" si="15"/>
        <v>92.799999999999983</v>
      </c>
      <c r="AD275" s="120">
        <f>Tabla1[[#This Row],[COS.BASE 2]]/8</f>
        <v>11.599999999999998</v>
      </c>
      <c r="AE275" s="105">
        <f>Tabla1[[#This Row],[CST_H_E]]+Tabla1[[#This Row],[COS.BASE 2]]</f>
        <v>92.799999999999983</v>
      </c>
      <c r="AF275" s="106">
        <f>+_xlfn.IFNA(INDEX(RUBRO!$W$2:$AA$732,MATCH(Tabla1[[#This Row],[FECHA ]],RUBRO!$W$2:$W$732,0),5)," ")</f>
        <v>0</v>
      </c>
      <c r="AG275" s="10">
        <f>+_xlfn.IFNA(INDEX(RUBRO!$W$2:$AA$732,MATCH(Tabla1[[#This Row],[FECHA ]],RUBRO!$W$2:$W$732,0),2)," ")</f>
        <v>0</v>
      </c>
      <c r="AH275" s="40">
        <f>IFERROR(Tabla1[[#This Row],[F]]*Tabla1[[#This Row],[COS.B+E]]," ")</f>
        <v>0</v>
      </c>
      <c r="AI275" s="40">
        <f>IFERROR(Tabla1[[#This Row],[COS.B+E]]*Tabla1[[#This Row],[D]]," ")</f>
        <v>0</v>
      </c>
      <c r="AJ275" s="40" t="str">
        <f>IFERROR(Tabla1[[#This Row],[F]]*#REF!," ")</f>
        <v xml:space="preserve"> </v>
      </c>
      <c r="AK275" s="40" t="str">
        <f>IFERROR(#REF!*Tabla1[[#This Row],[D]]," ")</f>
        <v xml:space="preserve"> </v>
      </c>
      <c r="AL275" s="103"/>
      <c r="AM275" s="103"/>
      <c r="AN275" s="103"/>
      <c r="AO275" s="38">
        <f>+Tabla1[[#This Row],[COS.B+E]]+Tabla1[[#This Row],[COS.F1]]+Tabla1[[#This Row],[COS.D1]]+Tabla1[[#This Row],[ALIMENTACION]]+Tabla1[[#This Row],[PRESTAMO]]+AN275</f>
        <v>92.799999999999983</v>
      </c>
      <c r="AP275" s="38" t="e">
        <f>+#REF!+Tabla1[[#This Row],[COS F2]]+Tabla1[[#This Row],[COS D2]]+Tabla1[[#This Row],[ALIMENTACION]]+Tabla1[[#This Row],[PRESTAMO]]+Tabla1[[#This Row],[PASAJES]]</f>
        <v>#REF!</v>
      </c>
    </row>
    <row r="276" spans="1:42" x14ac:dyDescent="0.25">
      <c r="A276" s="2" t="str">
        <f>TEXT(Tabla1[[#This Row],[FECHA ]],"DDDDD")</f>
        <v>martes</v>
      </c>
      <c r="B276" s="2" t="str">
        <f>_xlfn.IFNA(VLOOKUP(Tabla1[[#This Row],[DESTINO]],RUBRO!$Q$1:$R$9996,2,FALSE)," ")</f>
        <v>OBRA</v>
      </c>
      <c r="C276" s="104">
        <f>WEEKNUM(Tabla1[[#This Row],[FECHA ]],2)</f>
        <v>20</v>
      </c>
      <c r="D276" s="104" t="str">
        <f>TEXT(Tabla1[[#This Row],[FECHA ]],"MMM-YY")</f>
        <v>may-YY</v>
      </c>
      <c r="E276" s="104" t="str">
        <f>VLOOKUP(Tabla1[[#This Row],[DNI ]],RUBRO!$F$1:$O$9996,7,FALSE)</f>
        <v>5ta</v>
      </c>
      <c r="F276" s="104" t="str">
        <f>VLOOKUP(Tabla1[[#This Row],[DNI ]],RUBRO!$F$1:$O$88,3,FALSE)</f>
        <v>MAE-04</v>
      </c>
      <c r="G276" s="104" t="str">
        <f>VLOOKUP(Tabla1[[#This Row],[DNI ]],RUBRO!$F$1:$O$9996,5,FALSE)</f>
        <v>MAESTRO MECANICO MONTAJISTA DE MAQUINARIA EXTRANJERA</v>
      </c>
      <c r="H276" s="66" t="str">
        <f>VLOOKUP(Tabla1[[#This Row],[DNI ]],RUBRO!$F$1:$O$9996,6,FALSE)</f>
        <v>ROMERO MARIN JAIRO JOEL</v>
      </c>
      <c r="I276" s="94">
        <v>44327</v>
      </c>
      <c r="J276" s="10">
        <v>2</v>
      </c>
      <c r="K276" s="2">
        <v>72926564</v>
      </c>
      <c r="L276" s="4">
        <f>VLOOKUP(Tabla1[[#This Row],[DNI ]],RUBRO!$F$2:$O$9996,8,FALSE)</f>
        <v>88.27</v>
      </c>
      <c r="M276" s="88">
        <v>0.29166666666666669</v>
      </c>
      <c r="N276" s="28">
        <v>0.54166666666666663</v>
      </c>
      <c r="O276" s="28">
        <v>0.58333333333333337</v>
      </c>
      <c r="P276" s="28">
        <v>0.75</v>
      </c>
      <c r="Q276" s="31">
        <f>(Tabla1[[#This Row],[SALIDA]]-Tabla1[[#This Row],[FIN ]])+(Tabla1[[#This Row],[INICIO]]-Tabla1[[#This Row],[INGRESO]])</f>
        <v>0.41666666666666657</v>
      </c>
      <c r="R276" s="13">
        <f t="shared" si="13"/>
        <v>0.33333333333333331</v>
      </c>
      <c r="S276" s="31">
        <f t="shared" si="14"/>
        <v>8.3333333333333259E-2</v>
      </c>
      <c r="T276" s="136"/>
      <c r="U276" s="136"/>
      <c r="V276" s="137">
        <f>(Tabla1[[#This Row],[COS.BASE 3]]*0.25+Tabla1[[#This Row],[COS.BASE 3]])*Tabla1[[#This Row],[HORAS 25 % ]]</f>
        <v>0</v>
      </c>
      <c r="W276" s="138">
        <f>(Tabla1[[#This Row],[COS.BASE 3]]*0.35+Tabla1[[#This Row],[COS.BASE 3]])*Tabla1[[#This Row],[HORAS 35% ]]</f>
        <v>0</v>
      </c>
      <c r="X276" s="138">
        <f>SUM(Tabla1[[#This Row],[C.HORA.35]],Tabla1[[#This Row],[C.HORA.25]])</f>
        <v>0</v>
      </c>
      <c r="Y276" s="4"/>
      <c r="Z276" s="10">
        <f>Tabla1[[#This Row],[T.HORAS]]*24</f>
        <v>9.9999999999999982</v>
      </c>
      <c r="AA276" s="4">
        <f>Tabla1[[#This Row],[H.NORMALES]]*24</f>
        <v>8</v>
      </c>
      <c r="AB276" s="10">
        <f>Tabla1[[#This Row],[H.EXTRAS]]*24</f>
        <v>1.9999999999999982</v>
      </c>
      <c r="AC276" s="105">
        <f t="shared" si="15"/>
        <v>88.27</v>
      </c>
      <c r="AD276" s="120">
        <f>Tabla1[[#This Row],[COS.BASE 2]]/8</f>
        <v>11.03375</v>
      </c>
      <c r="AE276" s="105">
        <f>Tabla1[[#This Row],[CST_H_E]]+Tabla1[[#This Row],[COS.BASE 2]]</f>
        <v>88.27</v>
      </c>
      <c r="AF276" s="106">
        <f>+_xlfn.IFNA(INDEX(RUBRO!$W$2:$AA$732,MATCH(Tabla1[[#This Row],[FECHA ]],RUBRO!$W$2:$W$732,0),5)," ")</f>
        <v>0</v>
      </c>
      <c r="AG276" s="10">
        <f>+_xlfn.IFNA(INDEX(RUBRO!$W$2:$AA$732,MATCH(Tabla1[[#This Row],[FECHA ]],RUBRO!$W$2:$W$732,0),2)," ")</f>
        <v>0</v>
      </c>
      <c r="AH276" s="40">
        <f>IFERROR(Tabla1[[#This Row],[F]]*Tabla1[[#This Row],[COS.B+E]]," ")</f>
        <v>0</v>
      </c>
      <c r="AI276" s="40">
        <f>IFERROR(Tabla1[[#This Row],[COS.B+E]]*Tabla1[[#This Row],[D]]," ")</f>
        <v>0</v>
      </c>
      <c r="AJ276" s="40" t="str">
        <f>IFERROR(Tabla1[[#This Row],[F]]*#REF!," ")</f>
        <v xml:space="preserve"> </v>
      </c>
      <c r="AK276" s="40" t="str">
        <f>IFERROR(#REF!*Tabla1[[#This Row],[D]]," ")</f>
        <v xml:space="preserve"> </v>
      </c>
      <c r="AL276" s="103"/>
      <c r="AM276" s="103"/>
      <c r="AN276" s="103"/>
      <c r="AO276" s="38">
        <f>+Tabla1[[#This Row],[COS.B+E]]+Tabla1[[#This Row],[COS.F1]]+Tabla1[[#This Row],[COS.D1]]+Tabla1[[#This Row],[ALIMENTACION]]+Tabla1[[#This Row],[PRESTAMO]]+AN276</f>
        <v>88.27</v>
      </c>
      <c r="AP276" s="38" t="e">
        <f>+#REF!+Tabla1[[#This Row],[COS F2]]+Tabla1[[#This Row],[COS D2]]+Tabla1[[#This Row],[ALIMENTACION]]+Tabla1[[#This Row],[PRESTAMO]]+Tabla1[[#This Row],[PASAJES]]</f>
        <v>#REF!</v>
      </c>
    </row>
    <row r="277" spans="1:42" x14ac:dyDescent="0.25">
      <c r="A277" s="2" t="str">
        <f>TEXT(Tabla1[[#This Row],[FECHA ]],"DDDDD")</f>
        <v>martes</v>
      </c>
      <c r="B277" s="2" t="str">
        <f>_xlfn.IFNA(VLOOKUP(Tabla1[[#This Row],[DESTINO]],RUBRO!$Q$1:$R$9996,2,FALSE)," ")</f>
        <v>OBRA</v>
      </c>
      <c r="C277" s="104">
        <f>WEEKNUM(Tabla1[[#This Row],[FECHA ]],2)</f>
        <v>20</v>
      </c>
      <c r="D277" s="104" t="str">
        <f>TEXT(Tabla1[[#This Row],[FECHA ]],"MMM-YY")</f>
        <v>may-YY</v>
      </c>
      <c r="E277" s="104" t="str">
        <f>VLOOKUP(Tabla1[[#This Row],[DNI ]],RUBRO!$F$1:$O$9996,7,FALSE)</f>
        <v>5ta</v>
      </c>
      <c r="F277" s="104" t="e">
        <f>VLOOKUP(Tabla1[[#This Row],[DNI ]],RUBRO!$F$1:$O$88,3,FALSE)</f>
        <v>#N/A</v>
      </c>
      <c r="G277" s="104" t="str">
        <f>VLOOKUP(Tabla1[[#This Row],[DNI ]],RUBRO!$F$1:$O$9996,5,FALSE)</f>
        <v>TECNICO SOLDADOR</v>
      </c>
      <c r="H277" s="66" t="str">
        <f>VLOOKUP(Tabla1[[#This Row],[DNI ]],RUBRO!$F$1:$O$9996,6,FALSE)</f>
        <v xml:space="preserve">SALAZAR FERNANDEZ WALTER </v>
      </c>
      <c r="I277" s="94">
        <v>44327</v>
      </c>
      <c r="J277" s="10">
        <v>2</v>
      </c>
      <c r="K277" s="2">
        <v>72927801</v>
      </c>
      <c r="L277" s="4">
        <f>VLOOKUP(Tabla1[[#This Row],[DNI ]],RUBRO!$F$2:$O$9996,8,FALSE)</f>
        <v>60</v>
      </c>
      <c r="M277" s="88">
        <v>0.29166666666666669</v>
      </c>
      <c r="N277" s="28">
        <v>0.54166666666666663</v>
      </c>
      <c r="O277" s="28">
        <v>0.58333333333333337</v>
      </c>
      <c r="P277" s="28">
        <v>0.79166666666666663</v>
      </c>
      <c r="Q277" s="31">
        <f>(Tabla1[[#This Row],[SALIDA]]-Tabla1[[#This Row],[FIN ]])+(Tabla1[[#This Row],[INICIO]]-Tabla1[[#This Row],[INGRESO]])</f>
        <v>0.4583333333333332</v>
      </c>
      <c r="R277" s="13">
        <f t="shared" si="13"/>
        <v>0.33333333333333331</v>
      </c>
      <c r="S277" s="31">
        <f t="shared" si="14"/>
        <v>0.12499999999999989</v>
      </c>
      <c r="T277" s="136"/>
      <c r="U277" s="136"/>
      <c r="V277" s="137">
        <f>(Tabla1[[#This Row],[COS.BASE 3]]*0.25+Tabla1[[#This Row],[COS.BASE 3]])*Tabla1[[#This Row],[HORAS 25 % ]]</f>
        <v>0</v>
      </c>
      <c r="W277" s="138">
        <f>(Tabla1[[#This Row],[COS.BASE 3]]*0.35+Tabla1[[#This Row],[COS.BASE 3]])*Tabla1[[#This Row],[HORAS 35% ]]</f>
        <v>0</v>
      </c>
      <c r="X277" s="138">
        <f>SUM(Tabla1[[#This Row],[C.HORA.35]],Tabla1[[#This Row],[C.HORA.25]])</f>
        <v>0</v>
      </c>
      <c r="Y277" s="4"/>
      <c r="Z277" s="10">
        <f>Tabla1[[#This Row],[T.HORAS]]*24</f>
        <v>10.999999999999996</v>
      </c>
      <c r="AA277" s="4">
        <f>Tabla1[[#This Row],[H.NORMALES]]*24</f>
        <v>8</v>
      </c>
      <c r="AB277" s="10">
        <f>Tabla1[[#This Row],[H.EXTRAS]]*24</f>
        <v>2.9999999999999973</v>
      </c>
      <c r="AC277" s="105">
        <f t="shared" si="15"/>
        <v>60</v>
      </c>
      <c r="AD277" s="120">
        <f>Tabla1[[#This Row],[COS.BASE 2]]/8</f>
        <v>7.5</v>
      </c>
      <c r="AE277" s="105">
        <f>Tabla1[[#This Row],[CST_H_E]]+Tabla1[[#This Row],[COS.BASE 2]]</f>
        <v>60</v>
      </c>
      <c r="AF277" s="106">
        <f>+_xlfn.IFNA(INDEX(RUBRO!$W$2:$AA$732,MATCH(Tabla1[[#This Row],[FECHA ]],RUBRO!$W$2:$W$732,0),5)," ")</f>
        <v>0</v>
      </c>
      <c r="AG277" s="10">
        <f>+_xlfn.IFNA(INDEX(RUBRO!$W$2:$AA$732,MATCH(Tabla1[[#This Row],[FECHA ]],RUBRO!$W$2:$W$732,0),2)," ")</f>
        <v>0</v>
      </c>
      <c r="AH277" s="40">
        <f>IFERROR(Tabla1[[#This Row],[F]]*Tabla1[[#This Row],[COS.B+E]]," ")</f>
        <v>0</v>
      </c>
      <c r="AI277" s="40">
        <f>IFERROR(Tabla1[[#This Row],[COS.B+E]]*Tabla1[[#This Row],[D]]," ")</f>
        <v>0</v>
      </c>
      <c r="AJ277" s="40" t="str">
        <f>IFERROR(Tabla1[[#This Row],[F]]*#REF!," ")</f>
        <v xml:space="preserve"> </v>
      </c>
      <c r="AK277" s="40" t="str">
        <f>IFERROR(#REF!*Tabla1[[#This Row],[D]]," ")</f>
        <v xml:space="preserve"> </v>
      </c>
      <c r="AL277" s="103"/>
      <c r="AM277" s="103"/>
      <c r="AN277" s="103"/>
      <c r="AO277" s="38">
        <f>+Tabla1[[#This Row],[COS.B+E]]+Tabla1[[#This Row],[COS.F1]]+Tabla1[[#This Row],[COS.D1]]+Tabla1[[#This Row],[ALIMENTACION]]+Tabla1[[#This Row],[PRESTAMO]]+AN277</f>
        <v>60</v>
      </c>
      <c r="AP277" s="38" t="e">
        <f>+#REF!+Tabla1[[#This Row],[COS F2]]+Tabla1[[#This Row],[COS D2]]+Tabla1[[#This Row],[ALIMENTACION]]+Tabla1[[#This Row],[PRESTAMO]]+Tabla1[[#This Row],[PASAJES]]</f>
        <v>#REF!</v>
      </c>
    </row>
    <row r="278" spans="1:42" x14ac:dyDescent="0.25">
      <c r="A278" s="2" t="str">
        <f>TEXT(Tabla1[[#This Row],[FECHA ]],"DDDDD")</f>
        <v>martes</v>
      </c>
      <c r="B278" s="2" t="str">
        <f>_xlfn.IFNA(VLOOKUP(Tabla1[[#This Row],[DESTINO]],RUBRO!$Q$1:$R$9996,2,FALSE)," ")</f>
        <v>OBRA</v>
      </c>
      <c r="C278" s="104">
        <f>WEEKNUM(Tabla1[[#This Row],[FECHA ]],2)</f>
        <v>20</v>
      </c>
      <c r="D278" s="104" t="str">
        <f>TEXT(Tabla1[[#This Row],[FECHA ]],"MMM-YY")</f>
        <v>may-YY</v>
      </c>
      <c r="E278" s="104" t="str">
        <f>VLOOKUP(Tabla1[[#This Row],[DNI ]],RUBRO!$F$1:$O$9996,7,FALSE)</f>
        <v>5ta</v>
      </c>
      <c r="F278" s="104" t="str">
        <f>VLOOKUP(Tabla1[[#This Row],[DNI ]],RUBRO!$F$1:$O$88,3,FALSE)</f>
        <v>MEC-04</v>
      </c>
      <c r="G278" s="104" t="str">
        <f>VLOOKUP(Tabla1[[#This Row],[DNI ]],RUBRO!$F$1:$O$9996,5,FALSE)</f>
        <v>MECANICO MONTAJISTA DE MAQUINARIA EXTRANJERA</v>
      </c>
      <c r="H278" s="66" t="str">
        <f>VLOOKUP(Tabla1[[#This Row],[DNI ]],RUBRO!$F$1:$O$9996,6,FALSE)</f>
        <v>SANDOVAL CHAPOÑAN ELVIS EDUARDO</v>
      </c>
      <c r="I278" s="94">
        <v>44327</v>
      </c>
      <c r="J278" s="10">
        <v>2</v>
      </c>
      <c r="K278" s="2">
        <v>45360771</v>
      </c>
      <c r="L278" s="4">
        <f>VLOOKUP(Tabla1[[#This Row],[DNI ]],RUBRO!$F$2:$O$9996,8,FALSE)</f>
        <v>94.35</v>
      </c>
      <c r="M278" s="88">
        <v>0.29166666666666669</v>
      </c>
      <c r="N278" s="28">
        <v>0.54166666666666663</v>
      </c>
      <c r="O278" s="28">
        <v>0.58333333333333337</v>
      </c>
      <c r="P278" s="28">
        <v>0.75</v>
      </c>
      <c r="Q278" s="31">
        <f>(Tabla1[[#This Row],[SALIDA]]-Tabla1[[#This Row],[FIN ]])+(Tabla1[[#This Row],[INICIO]]-Tabla1[[#This Row],[INGRESO]])</f>
        <v>0.41666666666666657</v>
      </c>
      <c r="R278" s="13">
        <f t="shared" si="13"/>
        <v>0.33333333333333331</v>
      </c>
      <c r="S278" s="31">
        <f t="shared" si="14"/>
        <v>8.3333333333333259E-2</v>
      </c>
      <c r="T278" s="136"/>
      <c r="U278" s="136"/>
      <c r="V278" s="137">
        <f>(Tabla1[[#This Row],[COS.BASE 3]]*0.25+Tabla1[[#This Row],[COS.BASE 3]])*Tabla1[[#This Row],[HORAS 25 % ]]</f>
        <v>0</v>
      </c>
      <c r="W278" s="138">
        <f>(Tabla1[[#This Row],[COS.BASE 3]]*0.35+Tabla1[[#This Row],[COS.BASE 3]])*Tabla1[[#This Row],[HORAS 35% ]]</f>
        <v>0</v>
      </c>
      <c r="X278" s="138">
        <f>SUM(Tabla1[[#This Row],[C.HORA.35]],Tabla1[[#This Row],[C.HORA.25]])</f>
        <v>0</v>
      </c>
      <c r="Y278" s="4"/>
      <c r="Z278" s="10">
        <f>Tabla1[[#This Row],[T.HORAS]]*24</f>
        <v>9.9999999999999982</v>
      </c>
      <c r="AA278" s="4">
        <f>Tabla1[[#This Row],[H.NORMALES]]*24</f>
        <v>8</v>
      </c>
      <c r="AB278" s="10">
        <f>Tabla1[[#This Row],[H.EXTRAS]]*24</f>
        <v>1.9999999999999982</v>
      </c>
      <c r="AC278" s="105">
        <f t="shared" si="15"/>
        <v>94.35</v>
      </c>
      <c r="AD278" s="120">
        <f>Tabla1[[#This Row],[COS.BASE 2]]/8</f>
        <v>11.793749999999999</v>
      </c>
      <c r="AE278" s="105">
        <f>Tabla1[[#This Row],[CST_H_E]]+Tabla1[[#This Row],[COS.BASE 2]]</f>
        <v>94.35</v>
      </c>
      <c r="AF278" s="106">
        <f>+_xlfn.IFNA(INDEX(RUBRO!$W$2:$AA$732,MATCH(Tabla1[[#This Row],[FECHA ]],RUBRO!$W$2:$W$732,0),5)," ")</f>
        <v>0</v>
      </c>
      <c r="AG278" s="10">
        <f>+_xlfn.IFNA(INDEX(RUBRO!$W$2:$AA$732,MATCH(Tabla1[[#This Row],[FECHA ]],RUBRO!$W$2:$W$732,0),2)," ")</f>
        <v>0</v>
      </c>
      <c r="AH278" s="40">
        <f>IFERROR(Tabla1[[#This Row],[F]]*Tabla1[[#This Row],[COS.B+E]]," ")</f>
        <v>0</v>
      </c>
      <c r="AI278" s="40">
        <f>IFERROR(Tabla1[[#This Row],[COS.B+E]]*Tabla1[[#This Row],[D]]," ")</f>
        <v>0</v>
      </c>
      <c r="AJ278" s="40" t="str">
        <f>IFERROR(Tabla1[[#This Row],[F]]*#REF!," ")</f>
        <v xml:space="preserve"> </v>
      </c>
      <c r="AK278" s="40" t="str">
        <f>IFERROR(#REF!*Tabla1[[#This Row],[D]]," ")</f>
        <v xml:space="preserve"> </v>
      </c>
      <c r="AL278" s="103"/>
      <c r="AM278" s="103"/>
      <c r="AN278" s="103"/>
      <c r="AO278" s="38">
        <f>+Tabla1[[#This Row],[COS.B+E]]+Tabla1[[#This Row],[COS.F1]]+Tabla1[[#This Row],[COS.D1]]+Tabla1[[#This Row],[ALIMENTACION]]+Tabla1[[#This Row],[PRESTAMO]]+AN278</f>
        <v>94.35</v>
      </c>
      <c r="AP278" s="38" t="e">
        <f>+#REF!+Tabla1[[#This Row],[COS F2]]+Tabla1[[#This Row],[COS D2]]+Tabla1[[#This Row],[ALIMENTACION]]+Tabla1[[#This Row],[PRESTAMO]]+Tabla1[[#This Row],[PASAJES]]</f>
        <v>#REF!</v>
      </c>
    </row>
    <row r="279" spans="1:42" x14ac:dyDescent="0.25">
      <c r="A279" s="2" t="str">
        <f>TEXT(Tabla1[[#This Row],[FECHA ]],"DDDDD")</f>
        <v>martes</v>
      </c>
      <c r="B279" s="2" t="str">
        <f>_xlfn.IFNA(VLOOKUP(Tabla1[[#This Row],[DESTINO]],RUBRO!$Q$1:$R$9996,2,FALSE)," ")</f>
        <v>OBRA</v>
      </c>
      <c r="C279" s="104">
        <f>WEEKNUM(Tabla1[[#This Row],[FECHA ]],2)</f>
        <v>20</v>
      </c>
      <c r="D279" s="104" t="str">
        <f>TEXT(Tabla1[[#This Row],[FECHA ]],"MMM-YY")</f>
        <v>may-YY</v>
      </c>
      <c r="E279" s="104" t="str">
        <f>VLOOKUP(Tabla1[[#This Row],[DNI ]],RUBRO!$F$1:$O$9996,7,FALSE)</f>
        <v>5ta</v>
      </c>
      <c r="F279" s="104" t="e">
        <f>VLOOKUP(Tabla1[[#This Row],[DNI ]],RUBRO!$F$1:$O$88,3,FALSE)</f>
        <v>#N/A</v>
      </c>
      <c r="G279" s="104" t="str">
        <f>VLOOKUP(Tabla1[[#This Row],[DNI ]],RUBRO!$F$1:$O$9996,5,FALSE)</f>
        <v>TECNICO MECANICO MONTAJISTA DE NAVE INDUSTRIAL</v>
      </c>
      <c r="H279" s="66" t="str">
        <f>VLOOKUP(Tabla1[[#This Row],[DNI ]],RUBRO!$F$1:$O$9996,6,FALSE)</f>
        <v>SOLANO SUELDO CARLOS</v>
      </c>
      <c r="I279" s="94">
        <v>44327</v>
      </c>
      <c r="J279" s="10">
        <v>2</v>
      </c>
      <c r="K279" s="2">
        <v>44676684</v>
      </c>
      <c r="L279" s="4">
        <f>VLOOKUP(Tabla1[[#This Row],[DNI ]],RUBRO!$F$2:$O$9996,8,FALSE)</f>
        <v>70</v>
      </c>
      <c r="M279" s="88">
        <v>0.29166666666666669</v>
      </c>
      <c r="N279" s="28">
        <v>0.54166666666666663</v>
      </c>
      <c r="O279" s="28">
        <v>0.58333333333333337</v>
      </c>
      <c r="P279" s="28">
        <v>0.75</v>
      </c>
      <c r="Q279" s="31">
        <f>(Tabla1[[#This Row],[SALIDA]]-Tabla1[[#This Row],[FIN ]])+(Tabla1[[#This Row],[INICIO]]-Tabla1[[#This Row],[INGRESO]])</f>
        <v>0.41666666666666657</v>
      </c>
      <c r="R279" s="13">
        <f t="shared" si="13"/>
        <v>0.33333333333333331</v>
      </c>
      <c r="S279" s="31">
        <f t="shared" si="14"/>
        <v>8.3333333333333259E-2</v>
      </c>
      <c r="T279" s="136"/>
      <c r="U279" s="136"/>
      <c r="V279" s="137">
        <f>(Tabla1[[#This Row],[COS.BASE 3]]*0.25+Tabla1[[#This Row],[COS.BASE 3]])*Tabla1[[#This Row],[HORAS 25 % ]]</f>
        <v>0</v>
      </c>
      <c r="W279" s="138">
        <f>(Tabla1[[#This Row],[COS.BASE 3]]*0.35+Tabla1[[#This Row],[COS.BASE 3]])*Tabla1[[#This Row],[HORAS 35% ]]</f>
        <v>0</v>
      </c>
      <c r="X279" s="138">
        <f>SUM(Tabla1[[#This Row],[C.HORA.35]],Tabla1[[#This Row],[C.HORA.25]])</f>
        <v>0</v>
      </c>
      <c r="Y279" s="4"/>
      <c r="Z279" s="10">
        <f>Tabla1[[#This Row],[T.HORAS]]*24</f>
        <v>9.9999999999999982</v>
      </c>
      <c r="AA279" s="4">
        <f>Tabla1[[#This Row],[H.NORMALES]]*24</f>
        <v>8</v>
      </c>
      <c r="AB279" s="10">
        <f>Tabla1[[#This Row],[H.EXTRAS]]*24</f>
        <v>1.9999999999999982</v>
      </c>
      <c r="AC279" s="105">
        <f t="shared" si="15"/>
        <v>70</v>
      </c>
      <c r="AD279" s="120">
        <f>Tabla1[[#This Row],[COS.BASE 2]]/8</f>
        <v>8.75</v>
      </c>
      <c r="AE279" s="105">
        <f>Tabla1[[#This Row],[CST_H_E]]+Tabla1[[#This Row],[COS.BASE 2]]</f>
        <v>70</v>
      </c>
      <c r="AF279" s="106">
        <f>+_xlfn.IFNA(INDEX(RUBRO!$W$2:$AA$732,MATCH(Tabla1[[#This Row],[FECHA ]],RUBRO!$W$2:$W$732,0),5)," ")</f>
        <v>0</v>
      </c>
      <c r="AG279" s="10">
        <f>+_xlfn.IFNA(INDEX(RUBRO!$W$2:$AA$732,MATCH(Tabla1[[#This Row],[FECHA ]],RUBRO!$W$2:$W$732,0),2)," ")</f>
        <v>0</v>
      </c>
      <c r="AH279" s="40">
        <f>IFERROR(Tabla1[[#This Row],[F]]*Tabla1[[#This Row],[COS.B+E]]," ")</f>
        <v>0</v>
      </c>
      <c r="AI279" s="40">
        <f>IFERROR(Tabla1[[#This Row],[COS.B+E]]*Tabla1[[#This Row],[D]]," ")</f>
        <v>0</v>
      </c>
      <c r="AJ279" s="40" t="str">
        <f>IFERROR(Tabla1[[#This Row],[F]]*#REF!," ")</f>
        <v xml:space="preserve"> </v>
      </c>
      <c r="AK279" s="40" t="str">
        <f>IFERROR(#REF!*Tabla1[[#This Row],[D]]," ")</f>
        <v xml:space="preserve"> </v>
      </c>
      <c r="AL279" s="103"/>
      <c r="AM279" s="103"/>
      <c r="AN279" s="103"/>
      <c r="AO279" s="38">
        <f>+Tabla1[[#This Row],[COS.B+E]]+Tabla1[[#This Row],[COS.F1]]+Tabla1[[#This Row],[COS.D1]]+Tabla1[[#This Row],[ALIMENTACION]]+Tabla1[[#This Row],[PRESTAMO]]+AN279</f>
        <v>70</v>
      </c>
      <c r="AP279" s="38" t="e">
        <f>+#REF!+Tabla1[[#This Row],[COS F2]]+Tabla1[[#This Row],[COS D2]]+Tabla1[[#This Row],[ALIMENTACION]]+Tabla1[[#This Row],[PRESTAMO]]+Tabla1[[#This Row],[PASAJES]]</f>
        <v>#REF!</v>
      </c>
    </row>
    <row r="280" spans="1:42" x14ac:dyDescent="0.25">
      <c r="A280" s="2" t="str">
        <f>TEXT(Tabla1[[#This Row],[FECHA ]],"DDDDD")</f>
        <v>martes</v>
      </c>
      <c r="B280" s="2" t="str">
        <f>_xlfn.IFNA(VLOOKUP(Tabla1[[#This Row],[DESTINO]],RUBRO!$Q$1:$R$9996,2,FALSE)," ")</f>
        <v xml:space="preserve"> </v>
      </c>
      <c r="C280" s="104">
        <f>WEEKNUM(Tabla1[[#This Row],[FECHA ]],2)</f>
        <v>20</v>
      </c>
      <c r="D280" s="104" t="str">
        <f>TEXT(Tabla1[[#This Row],[FECHA ]],"MMM-YY")</f>
        <v>may-YY</v>
      </c>
      <c r="E280" s="104" t="str">
        <f>VLOOKUP(Tabla1[[#This Row],[DNI ]],RUBRO!$F$1:$O$9996,7,FALSE)</f>
        <v>4ta</v>
      </c>
      <c r="F280" s="104" t="e">
        <f>VLOOKUP(Tabla1[[#This Row],[DNI ]],RUBRO!$F$1:$O$88,3,FALSE)</f>
        <v>#N/A</v>
      </c>
      <c r="G280" s="104">
        <f>VLOOKUP(Tabla1[[#This Row],[DNI ]],RUBRO!$F$1:$O$9996,5,FALSE)</f>
        <v>0</v>
      </c>
      <c r="H280" s="66" t="str">
        <f>VLOOKUP(Tabla1[[#This Row],[DNI ]],RUBRO!$F$1:$O$9996,6,FALSE)</f>
        <v>SOTO NIETO ALEXANDRO FABIO</v>
      </c>
      <c r="I280" s="94">
        <v>44327</v>
      </c>
      <c r="K280" s="2">
        <v>71214531</v>
      </c>
      <c r="L280" s="4">
        <f>VLOOKUP(Tabla1[[#This Row],[DNI ]],RUBRO!$F$2:$O$9996,8,FALSE)</f>
        <v>0</v>
      </c>
      <c r="M280" s="88"/>
      <c r="N280" s="28"/>
      <c r="P280" s="28"/>
      <c r="Q280" s="31">
        <f>(Tabla1[[#This Row],[SALIDA]]-Tabla1[[#This Row],[FIN ]])+(Tabla1[[#This Row],[INICIO]]-Tabla1[[#This Row],[INGRESO]])</f>
        <v>0</v>
      </c>
      <c r="R280" s="13">
        <f t="shared" si="13"/>
        <v>0</v>
      </c>
      <c r="S280" s="31">
        <f t="shared" si="14"/>
        <v>0</v>
      </c>
      <c r="T280" s="136"/>
      <c r="U280" s="136"/>
      <c r="V280" s="137">
        <f>(Tabla1[[#This Row],[COS.BASE 3]]*0.25+Tabla1[[#This Row],[COS.BASE 3]])*Tabla1[[#This Row],[HORAS 25 % ]]</f>
        <v>0</v>
      </c>
      <c r="W280" s="138">
        <f>(Tabla1[[#This Row],[COS.BASE 3]]*0.35+Tabla1[[#This Row],[COS.BASE 3]])*Tabla1[[#This Row],[HORAS 35% ]]</f>
        <v>0</v>
      </c>
      <c r="X280" s="138">
        <f>SUM(Tabla1[[#This Row],[C.HORA.35]],Tabla1[[#This Row],[C.HORA.25]])</f>
        <v>0</v>
      </c>
      <c r="Y280" s="4"/>
      <c r="Z280" s="10">
        <f>Tabla1[[#This Row],[T.HORAS]]*24</f>
        <v>0</v>
      </c>
      <c r="AA280" s="4">
        <f>Tabla1[[#This Row],[H.NORMALES]]*24</f>
        <v>0</v>
      </c>
      <c r="AB280" s="10">
        <f>Tabla1[[#This Row],[H.EXTRAS]]*24</f>
        <v>0</v>
      </c>
      <c r="AC280" s="105">
        <f t="shared" si="15"/>
        <v>0</v>
      </c>
      <c r="AD280" s="120">
        <f>Tabla1[[#This Row],[COS.BASE 2]]/8</f>
        <v>0</v>
      </c>
      <c r="AE280" s="105">
        <f>Tabla1[[#This Row],[CST_H_E]]+Tabla1[[#This Row],[COS.BASE 2]]</f>
        <v>0</v>
      </c>
      <c r="AF280" s="106">
        <f>+_xlfn.IFNA(INDEX(RUBRO!$W$2:$AA$732,MATCH(Tabla1[[#This Row],[FECHA ]],RUBRO!$W$2:$W$732,0),5)," ")</f>
        <v>0</v>
      </c>
      <c r="AG280" s="10">
        <f>+_xlfn.IFNA(INDEX(RUBRO!$W$2:$AA$732,MATCH(Tabla1[[#This Row],[FECHA ]],RUBRO!$W$2:$W$732,0),2)," ")</f>
        <v>0</v>
      </c>
      <c r="AH280" s="40">
        <f>IFERROR(Tabla1[[#This Row],[F]]*Tabla1[[#This Row],[COS.B+E]]," ")</f>
        <v>0</v>
      </c>
      <c r="AI280" s="40">
        <f>IFERROR(Tabla1[[#This Row],[COS.B+E]]*Tabla1[[#This Row],[D]]," ")</f>
        <v>0</v>
      </c>
      <c r="AJ280" s="40" t="str">
        <f>IFERROR(Tabla1[[#This Row],[F]]*#REF!," ")</f>
        <v xml:space="preserve"> </v>
      </c>
      <c r="AK280" s="40" t="str">
        <f>IFERROR(#REF!*Tabla1[[#This Row],[D]]," ")</f>
        <v xml:space="preserve"> </v>
      </c>
      <c r="AL280" s="103"/>
      <c r="AM280" s="103"/>
      <c r="AN280" s="103"/>
      <c r="AO280" s="38">
        <f>+Tabla1[[#This Row],[COS.B+E]]+Tabla1[[#This Row],[COS.F1]]+Tabla1[[#This Row],[COS.D1]]+Tabla1[[#This Row],[ALIMENTACION]]+Tabla1[[#This Row],[PRESTAMO]]+AN280</f>
        <v>0</v>
      </c>
      <c r="AP280" s="38" t="e">
        <f>+#REF!+Tabla1[[#This Row],[COS F2]]+Tabla1[[#This Row],[COS D2]]+Tabla1[[#This Row],[ALIMENTACION]]+Tabla1[[#This Row],[PRESTAMO]]+Tabla1[[#This Row],[PASAJES]]</f>
        <v>#REF!</v>
      </c>
    </row>
    <row r="281" spans="1:42" x14ac:dyDescent="0.25">
      <c r="A281" s="2" t="str">
        <f>TEXT(Tabla1[[#This Row],[FECHA ]],"DDDDD")</f>
        <v>martes</v>
      </c>
      <c r="B281" s="2" t="str">
        <f>_xlfn.IFNA(VLOOKUP(Tabla1[[#This Row],[DESTINO]],RUBRO!$Q$1:$R$9996,2,FALSE)," ")</f>
        <v>PLANTA</v>
      </c>
      <c r="C281" s="104">
        <f>WEEKNUM(Tabla1[[#This Row],[FECHA ]],2)</f>
        <v>20</v>
      </c>
      <c r="D281" s="104" t="str">
        <f>TEXT(Tabla1[[#This Row],[FECHA ]],"MMM-YY")</f>
        <v>may-YY</v>
      </c>
      <c r="E281" s="104" t="str">
        <f>VLOOKUP(Tabla1[[#This Row],[DNI ]],RUBRO!$F$1:$O$9996,7,FALSE)</f>
        <v>5ta</v>
      </c>
      <c r="F281" s="104" t="str">
        <f>VLOOKUP(Tabla1[[#This Row],[DNI ]],RUBRO!$F$1:$O$88,3,FALSE)</f>
        <v>TEC-02</v>
      </c>
      <c r="G281" s="104" t="str">
        <f>VLOOKUP(Tabla1[[#This Row],[DNI ]],RUBRO!$F$1:$O$9996,5,FALSE)</f>
        <v>TECNICO MECANICO MONTAJISTA DE MAQUINARIA</v>
      </c>
      <c r="H281" s="66" t="str">
        <f>VLOOKUP(Tabla1[[#This Row],[DNI ]],RUBRO!$F$1:$O$9996,6,FALSE)</f>
        <v>TINOCO SANTISTEBAN JIMMY JOEL</v>
      </c>
      <c r="I281" s="94">
        <v>44327</v>
      </c>
      <c r="J281" s="10">
        <v>1</v>
      </c>
      <c r="K281" s="2">
        <v>47158079</v>
      </c>
      <c r="L281" s="4">
        <f>VLOOKUP(Tabla1[[#This Row],[DNI ]],RUBRO!$F$2:$O$9996,8,FALSE)</f>
        <v>56.55</v>
      </c>
      <c r="M281" s="88">
        <v>0.29166666666666669</v>
      </c>
      <c r="N281" s="28">
        <v>0.54166666666666663</v>
      </c>
      <c r="O281" s="28">
        <v>0.58333333333333337</v>
      </c>
      <c r="P281" s="28">
        <v>0.75</v>
      </c>
      <c r="Q281" s="31">
        <f>(Tabla1[[#This Row],[SALIDA]]-Tabla1[[#This Row],[FIN ]])+(Tabla1[[#This Row],[INICIO]]-Tabla1[[#This Row],[INGRESO]])</f>
        <v>0.41666666666666657</v>
      </c>
      <c r="R281" s="13">
        <f t="shared" si="13"/>
        <v>0.375</v>
      </c>
      <c r="S281" s="31">
        <f t="shared" si="14"/>
        <v>4.1666666666666574E-2</v>
      </c>
      <c r="T281" s="136"/>
      <c r="U281" s="136"/>
      <c r="V281" s="137">
        <f>(Tabla1[[#This Row],[COS.BASE 3]]*0.25+Tabla1[[#This Row],[COS.BASE 3]])*Tabla1[[#This Row],[HORAS 25 % ]]</f>
        <v>0</v>
      </c>
      <c r="W281" s="138">
        <f>(Tabla1[[#This Row],[COS.BASE 3]]*0.35+Tabla1[[#This Row],[COS.BASE 3]])*Tabla1[[#This Row],[HORAS 35% ]]</f>
        <v>0</v>
      </c>
      <c r="X281" s="138">
        <f>SUM(Tabla1[[#This Row],[C.HORA.35]],Tabla1[[#This Row],[C.HORA.25]])</f>
        <v>0</v>
      </c>
      <c r="Y281" s="4"/>
      <c r="Z281" s="10">
        <f>Tabla1[[#This Row],[T.HORAS]]*24</f>
        <v>9.9999999999999982</v>
      </c>
      <c r="AA281" s="4">
        <f>Tabla1[[#This Row],[H.NORMALES]]*24</f>
        <v>9</v>
      </c>
      <c r="AB281" s="10">
        <f>Tabla1[[#This Row],[H.EXTRAS]]*24</f>
        <v>0.99999999999999778</v>
      </c>
      <c r="AC281" s="105">
        <f t="shared" si="15"/>
        <v>56.55</v>
      </c>
      <c r="AD281" s="120">
        <f>Tabla1[[#This Row],[COS.BASE 2]]/8</f>
        <v>7.0687499999999996</v>
      </c>
      <c r="AE281" s="105">
        <f>Tabla1[[#This Row],[CST_H_E]]+Tabla1[[#This Row],[COS.BASE 2]]</f>
        <v>56.55</v>
      </c>
      <c r="AF281" s="106">
        <f>+_xlfn.IFNA(INDEX(RUBRO!$W$2:$AA$732,MATCH(Tabla1[[#This Row],[FECHA ]],RUBRO!$W$2:$W$732,0),5)," ")</f>
        <v>0</v>
      </c>
      <c r="AG281" s="10">
        <f>+_xlfn.IFNA(INDEX(RUBRO!$W$2:$AA$732,MATCH(Tabla1[[#This Row],[FECHA ]],RUBRO!$W$2:$W$732,0),2)," ")</f>
        <v>0</v>
      </c>
      <c r="AH281" s="40">
        <f>IFERROR(Tabla1[[#This Row],[F]]*Tabla1[[#This Row],[COS.B+E]]," ")</f>
        <v>0</v>
      </c>
      <c r="AI281" s="40">
        <f>IFERROR(Tabla1[[#This Row],[COS.B+E]]*Tabla1[[#This Row],[D]]," ")</f>
        <v>0</v>
      </c>
      <c r="AJ281" s="40" t="str">
        <f>IFERROR(Tabla1[[#This Row],[F]]*#REF!," ")</f>
        <v xml:space="preserve"> </v>
      </c>
      <c r="AK281" s="40" t="str">
        <f>IFERROR(#REF!*Tabla1[[#This Row],[D]]," ")</f>
        <v xml:space="preserve"> </v>
      </c>
      <c r="AL281" s="103"/>
      <c r="AM281" s="103"/>
      <c r="AN281" s="103"/>
      <c r="AO281" s="38">
        <f>+Tabla1[[#This Row],[COS.B+E]]+Tabla1[[#This Row],[COS.F1]]+Tabla1[[#This Row],[COS.D1]]+Tabla1[[#This Row],[ALIMENTACION]]+Tabla1[[#This Row],[PRESTAMO]]+AN281</f>
        <v>56.55</v>
      </c>
      <c r="AP281" s="38" t="e">
        <f>+#REF!+Tabla1[[#This Row],[COS F2]]+Tabla1[[#This Row],[COS D2]]+Tabla1[[#This Row],[ALIMENTACION]]+Tabla1[[#This Row],[PRESTAMO]]+Tabla1[[#This Row],[PASAJES]]</f>
        <v>#REF!</v>
      </c>
    </row>
    <row r="282" spans="1:42" x14ac:dyDescent="0.25">
      <c r="A282" s="2" t="str">
        <f>TEXT(Tabla1[[#This Row],[FECHA ]],"DDDDD")</f>
        <v>martes</v>
      </c>
      <c r="B282" s="2" t="str">
        <f>_xlfn.IFNA(VLOOKUP(Tabla1[[#This Row],[DESTINO]],RUBRO!$Q$1:$R$9996,2,FALSE)," ")</f>
        <v>FALTA</v>
      </c>
      <c r="C282" s="104">
        <f>WEEKNUM(Tabla1[[#This Row],[FECHA ]],2)</f>
        <v>20</v>
      </c>
      <c r="D282" s="104" t="str">
        <f>TEXT(Tabla1[[#This Row],[FECHA ]],"MMM-YY")</f>
        <v>may-YY</v>
      </c>
      <c r="E282" s="104" t="str">
        <f>VLOOKUP(Tabla1[[#This Row],[DNI ]],RUBRO!$F$1:$O$9996,7,FALSE)</f>
        <v>5ta</v>
      </c>
      <c r="F282" s="104" t="str">
        <f>VLOOKUP(Tabla1[[#This Row],[DNI ]],RUBRO!$F$1:$O$88,3,FALSE)</f>
        <v>TECME-03</v>
      </c>
      <c r="G282" s="104" t="str">
        <f>VLOOKUP(Tabla1[[#This Row],[DNI ]],RUBRO!$F$1:$O$9996,5,FALSE)</f>
        <v>TECNICO ELECTRICO MONTAJISTA DE MAQUINARIA EXTRANJERA</v>
      </c>
      <c r="H282" s="66" t="str">
        <f>VLOOKUP(Tabla1[[#This Row],[DNI ]],RUBRO!$F$1:$O$9996,6,FALSE)</f>
        <v>TORRES RAMOS ANGY ANDREINA</v>
      </c>
      <c r="I282" s="94">
        <v>44327</v>
      </c>
      <c r="J282" s="10">
        <v>4</v>
      </c>
      <c r="K282" s="2">
        <v>76449683</v>
      </c>
      <c r="L282" s="4">
        <f>VLOOKUP(Tabla1[[#This Row],[DNI ]],RUBRO!$F$2:$O$9996,8,FALSE)</f>
        <v>73.87</v>
      </c>
      <c r="M282" s="88"/>
      <c r="N282" s="28"/>
      <c r="P282" s="28"/>
      <c r="Q282" s="31">
        <f>(Tabla1[[#This Row],[SALIDA]]-Tabla1[[#This Row],[FIN ]])+(Tabla1[[#This Row],[INICIO]]-Tabla1[[#This Row],[INGRESO]])</f>
        <v>0</v>
      </c>
      <c r="R282" s="13">
        <f t="shared" si="13"/>
        <v>0</v>
      </c>
      <c r="S282" s="31">
        <f t="shared" si="14"/>
        <v>0</v>
      </c>
      <c r="T282" s="136"/>
      <c r="U282" s="136"/>
      <c r="V282" s="137">
        <f>(Tabla1[[#This Row],[COS.BASE 3]]*0.25+Tabla1[[#This Row],[COS.BASE 3]])*Tabla1[[#This Row],[HORAS 25 % ]]</f>
        <v>0</v>
      </c>
      <c r="W282" s="138">
        <f>(Tabla1[[#This Row],[COS.BASE 3]]*0.35+Tabla1[[#This Row],[COS.BASE 3]])*Tabla1[[#This Row],[HORAS 35% ]]</f>
        <v>0</v>
      </c>
      <c r="X282" s="138">
        <f>SUM(Tabla1[[#This Row],[C.HORA.35]],Tabla1[[#This Row],[C.HORA.25]])</f>
        <v>0</v>
      </c>
      <c r="Y282" s="4"/>
      <c r="Z282" s="10">
        <f>Tabla1[[#This Row],[T.HORAS]]*24</f>
        <v>0</v>
      </c>
      <c r="AA282" s="4">
        <f>Tabla1[[#This Row],[H.NORMALES]]*24</f>
        <v>0</v>
      </c>
      <c r="AB282" s="10">
        <f>Tabla1[[#This Row],[H.EXTRAS]]*24</f>
        <v>0</v>
      </c>
      <c r="AC282" s="105">
        <f t="shared" si="15"/>
        <v>0</v>
      </c>
      <c r="AD282" s="120">
        <f>Tabla1[[#This Row],[COS.BASE 2]]/8</f>
        <v>0</v>
      </c>
      <c r="AE282" s="134">
        <f>Tabla1[[#This Row],[CST_H_E]]+Tabla1[[#This Row],[COS.BASE 2]]</f>
        <v>0</v>
      </c>
      <c r="AF282" s="106">
        <f>+_xlfn.IFNA(INDEX(RUBRO!$W$2:$AA$732,MATCH(Tabla1[[#This Row],[FECHA ]],RUBRO!$W$2:$W$732,0),5)," ")</f>
        <v>0</v>
      </c>
      <c r="AG282" s="10">
        <f>+_xlfn.IFNA(INDEX(RUBRO!$W$2:$AA$732,MATCH(Tabla1[[#This Row],[FECHA ]],RUBRO!$W$2:$W$732,0),2)," ")</f>
        <v>0</v>
      </c>
      <c r="AH282" s="40">
        <f>IFERROR(Tabla1[[#This Row],[F]]*Tabla1[[#This Row],[COS.B+E]]," ")</f>
        <v>0</v>
      </c>
      <c r="AI282" s="40">
        <f>IFERROR(Tabla1[[#This Row],[COS.B+E]]*Tabla1[[#This Row],[D]]," ")</f>
        <v>0</v>
      </c>
      <c r="AJ282" s="40" t="str">
        <f>IFERROR(Tabla1[[#This Row],[F]]*#REF!," ")</f>
        <v xml:space="preserve"> </v>
      </c>
      <c r="AK282" s="40" t="str">
        <f>IFERROR(#REF!*Tabla1[[#This Row],[D]]," ")</f>
        <v xml:space="preserve"> </v>
      </c>
      <c r="AL282" s="103"/>
      <c r="AM282" s="103"/>
      <c r="AN282" s="103"/>
      <c r="AO282" s="38">
        <f>+Tabla1[[#This Row],[COS.B+E]]+Tabla1[[#This Row],[COS.F1]]+Tabla1[[#This Row],[COS.D1]]+Tabla1[[#This Row],[ALIMENTACION]]+Tabla1[[#This Row],[PRESTAMO]]+AN282</f>
        <v>0</v>
      </c>
      <c r="AP282" s="38" t="e">
        <f>+#REF!+Tabla1[[#This Row],[COS F2]]+Tabla1[[#This Row],[COS D2]]+Tabla1[[#This Row],[ALIMENTACION]]+Tabla1[[#This Row],[PRESTAMO]]+Tabla1[[#This Row],[PASAJES]]</f>
        <v>#REF!</v>
      </c>
    </row>
    <row r="283" spans="1:42" x14ac:dyDescent="0.25">
      <c r="A283" s="2" t="str">
        <f>TEXT(Tabla1[[#This Row],[FECHA ]],"DDDDD")</f>
        <v>martes</v>
      </c>
      <c r="B283" s="2" t="str">
        <f>_xlfn.IFNA(VLOOKUP(Tabla1[[#This Row],[DESTINO]],RUBRO!$Q$1:$R$9996,2,FALSE)," ")</f>
        <v>OBRA</v>
      </c>
      <c r="C283" s="104">
        <f>WEEKNUM(Tabla1[[#This Row],[FECHA ]],2)</f>
        <v>20</v>
      </c>
      <c r="D283" s="104" t="str">
        <f>TEXT(Tabla1[[#This Row],[FECHA ]],"MMM-YY")</f>
        <v>may-YY</v>
      </c>
      <c r="E283" s="104" t="str">
        <f>VLOOKUP(Tabla1[[#This Row],[DNI ]],RUBRO!$F$1:$O$9996,7,FALSE)</f>
        <v>5ta</v>
      </c>
      <c r="F283" s="104" t="str">
        <f>VLOOKUP(Tabla1[[#This Row],[DNI ]],RUBRO!$F$1:$O$88,3,FALSE)</f>
        <v>MEC-04</v>
      </c>
      <c r="G283" s="104" t="str">
        <f>VLOOKUP(Tabla1[[#This Row],[DNI ]],RUBRO!$F$1:$O$9996,5,FALSE)</f>
        <v>MECANICO MONTAJISTA DE MAQUINARIA EXTRANJERA</v>
      </c>
      <c r="H283" s="66" t="str">
        <f>VLOOKUP(Tabla1[[#This Row],[DNI ]],RUBRO!$F$1:$O$9996,6,FALSE)</f>
        <v>VARGAS TARRILLO GLOBER</v>
      </c>
      <c r="I283" s="94">
        <v>44327</v>
      </c>
      <c r="J283" s="10">
        <v>2</v>
      </c>
      <c r="K283" s="2">
        <v>43878459</v>
      </c>
      <c r="L283" s="4">
        <f>VLOOKUP(Tabla1[[#This Row],[DNI ]],RUBRO!$F$2:$O$9996,8,FALSE)</f>
        <v>79.78</v>
      </c>
      <c r="M283" s="88">
        <v>0.29166666666666669</v>
      </c>
      <c r="N283" s="28">
        <v>0.54166666666666663</v>
      </c>
      <c r="O283" s="28">
        <v>0.58333333333333337</v>
      </c>
      <c r="P283" s="28">
        <v>0.79166666666666663</v>
      </c>
      <c r="Q283" s="31">
        <f>(Tabla1[[#This Row],[SALIDA]]-Tabla1[[#This Row],[FIN ]])+(Tabla1[[#This Row],[INICIO]]-Tabla1[[#This Row],[INGRESO]])</f>
        <v>0.4583333333333332</v>
      </c>
      <c r="R283" s="13">
        <f t="shared" si="13"/>
        <v>0.33333333333333331</v>
      </c>
      <c r="S283" s="31">
        <f t="shared" si="14"/>
        <v>0.12499999999999989</v>
      </c>
      <c r="T283" s="136"/>
      <c r="U283" s="136"/>
      <c r="V283" s="137">
        <f>(Tabla1[[#This Row],[COS.BASE 3]]*0.25+Tabla1[[#This Row],[COS.BASE 3]])*Tabla1[[#This Row],[HORAS 25 % ]]</f>
        <v>0</v>
      </c>
      <c r="W283" s="138">
        <f>(Tabla1[[#This Row],[COS.BASE 3]]*0.35+Tabla1[[#This Row],[COS.BASE 3]])*Tabla1[[#This Row],[HORAS 35% ]]</f>
        <v>0</v>
      </c>
      <c r="X283" s="138">
        <f>SUM(Tabla1[[#This Row],[C.HORA.35]],Tabla1[[#This Row],[C.HORA.25]])</f>
        <v>0</v>
      </c>
      <c r="Y283" s="4"/>
      <c r="Z283" s="10">
        <f>Tabla1[[#This Row],[T.HORAS]]*24</f>
        <v>10.999999999999996</v>
      </c>
      <c r="AA283" s="4">
        <f>Tabla1[[#This Row],[H.NORMALES]]*24</f>
        <v>8</v>
      </c>
      <c r="AB283" s="10">
        <f>Tabla1[[#This Row],[H.EXTRAS]]*24</f>
        <v>2.9999999999999973</v>
      </c>
      <c r="AC283" s="105">
        <f t="shared" si="15"/>
        <v>79.78</v>
      </c>
      <c r="AD283" s="120">
        <f>Tabla1[[#This Row],[COS.BASE 2]]/8</f>
        <v>9.9725000000000001</v>
      </c>
      <c r="AE283" s="105">
        <f>Tabla1[[#This Row],[CST_H_E]]+Tabla1[[#This Row],[COS.BASE 2]]</f>
        <v>79.78</v>
      </c>
      <c r="AF283" s="106">
        <f>+_xlfn.IFNA(INDEX(RUBRO!$W$2:$AA$732,MATCH(Tabla1[[#This Row],[FECHA ]],RUBRO!$W$2:$W$732,0),5)," ")</f>
        <v>0</v>
      </c>
      <c r="AG283" s="10">
        <f>+_xlfn.IFNA(INDEX(RUBRO!$W$2:$AA$732,MATCH(Tabla1[[#This Row],[FECHA ]],RUBRO!$W$2:$W$732,0),2)," ")</f>
        <v>0</v>
      </c>
      <c r="AH283" s="40">
        <f>IFERROR(Tabla1[[#This Row],[F]]*Tabla1[[#This Row],[COS.B+E]]," ")</f>
        <v>0</v>
      </c>
      <c r="AI283" s="40">
        <f>IFERROR(Tabla1[[#This Row],[COS.B+E]]*Tabla1[[#This Row],[D]]," ")</f>
        <v>0</v>
      </c>
      <c r="AJ283" s="40" t="str">
        <f>IFERROR(Tabla1[[#This Row],[F]]*#REF!," ")</f>
        <v xml:space="preserve"> </v>
      </c>
      <c r="AK283" s="40" t="str">
        <f>IFERROR(#REF!*Tabla1[[#This Row],[D]]," ")</f>
        <v xml:space="preserve"> </v>
      </c>
      <c r="AL283" s="103"/>
      <c r="AM283" s="103"/>
      <c r="AN283" s="103"/>
      <c r="AO283" s="38">
        <f>+Tabla1[[#This Row],[COS.B+E]]+Tabla1[[#This Row],[COS.F1]]+Tabla1[[#This Row],[COS.D1]]+Tabla1[[#This Row],[ALIMENTACION]]+Tabla1[[#This Row],[PRESTAMO]]+AN283</f>
        <v>79.78</v>
      </c>
      <c r="AP283" s="38" t="e">
        <f>+#REF!+Tabla1[[#This Row],[COS F2]]+Tabla1[[#This Row],[COS D2]]+Tabla1[[#This Row],[ALIMENTACION]]+Tabla1[[#This Row],[PRESTAMO]]+Tabla1[[#This Row],[PASAJES]]</f>
        <v>#REF!</v>
      </c>
    </row>
    <row r="284" spans="1:42" x14ac:dyDescent="0.25">
      <c r="A284" s="2" t="str">
        <f>TEXT(Tabla1[[#This Row],[FECHA ]],"DDDDD")</f>
        <v>martes</v>
      </c>
      <c r="B284" s="2" t="str">
        <f>_xlfn.IFNA(VLOOKUP(Tabla1[[#This Row],[DESTINO]],RUBRO!$Q$1:$R$9996,2,FALSE)," ")</f>
        <v>OBRA</v>
      </c>
      <c r="C284" s="104">
        <f>WEEKNUM(Tabla1[[#This Row],[FECHA ]],2)</f>
        <v>20</v>
      </c>
      <c r="D284" s="104" t="str">
        <f>TEXT(Tabla1[[#This Row],[FECHA ]],"MMM-YY")</f>
        <v>may-YY</v>
      </c>
      <c r="E284" s="104" t="str">
        <f>VLOOKUP(Tabla1[[#This Row],[DNI ]],RUBRO!$F$1:$O$9996,7,FALSE)</f>
        <v>5ta</v>
      </c>
      <c r="F284" s="104" t="str">
        <f>VLOOKUP(Tabla1[[#This Row],[DNI ]],RUBRO!$F$1:$O$88,3,FALSE)</f>
        <v>MEC-04</v>
      </c>
      <c r="G284" s="104" t="str">
        <f>VLOOKUP(Tabla1[[#This Row],[DNI ]],RUBRO!$F$1:$O$9996,5,FALSE)</f>
        <v>MECANICO MONTAJISTA DE MAQUINARIA EXTRANJERA</v>
      </c>
      <c r="H284" s="66" t="str">
        <f>VLOOKUP(Tabla1[[#This Row],[DNI ]],RUBRO!$F$1:$O$9996,6,FALSE)</f>
        <v>VARGAS TARRILLO OMAR ALEXANDER</v>
      </c>
      <c r="I284" s="94">
        <v>44327</v>
      </c>
      <c r="J284" s="10">
        <v>2</v>
      </c>
      <c r="K284" s="2">
        <v>46578402</v>
      </c>
      <c r="L284" s="4">
        <f>VLOOKUP(Tabla1[[#This Row],[DNI ]],RUBRO!$F$2:$O$9996,8,FALSE)</f>
        <v>103.42</v>
      </c>
      <c r="M284" s="88">
        <v>0</v>
      </c>
      <c r="N284" s="28">
        <v>0.41666666666666669</v>
      </c>
      <c r="O284" s="28">
        <v>0.54166666666666663</v>
      </c>
      <c r="P284" s="28">
        <v>0.75</v>
      </c>
      <c r="Q284" s="31">
        <f>(Tabla1[[#This Row],[SALIDA]]-Tabla1[[#This Row],[FIN ]])+(Tabla1[[#This Row],[INICIO]]-Tabla1[[#This Row],[INGRESO]])</f>
        <v>0.625</v>
      </c>
      <c r="R284" s="13">
        <f t="shared" si="13"/>
        <v>0.33333333333333331</v>
      </c>
      <c r="S284" s="31">
        <f t="shared" si="14"/>
        <v>0.29166666666666669</v>
      </c>
      <c r="T284" s="136"/>
      <c r="U284" s="136"/>
      <c r="V284" s="137">
        <f>(Tabla1[[#This Row],[COS.BASE 3]]*0.25+Tabla1[[#This Row],[COS.BASE 3]])*Tabla1[[#This Row],[HORAS 25 % ]]</f>
        <v>0</v>
      </c>
      <c r="W284" s="138">
        <f>(Tabla1[[#This Row],[COS.BASE 3]]*0.35+Tabla1[[#This Row],[COS.BASE 3]])*Tabla1[[#This Row],[HORAS 35% ]]</f>
        <v>0</v>
      </c>
      <c r="X284" s="138">
        <f>SUM(Tabla1[[#This Row],[C.HORA.35]],Tabla1[[#This Row],[C.HORA.25]])</f>
        <v>0</v>
      </c>
      <c r="Y284" s="4"/>
      <c r="Z284" s="10">
        <f>Tabla1[[#This Row],[T.HORAS]]*24</f>
        <v>15</v>
      </c>
      <c r="AA284" s="4">
        <f>Tabla1[[#This Row],[H.NORMALES]]*24</f>
        <v>8</v>
      </c>
      <c r="AB284" s="10">
        <f>Tabla1[[#This Row],[H.EXTRAS]]*24</f>
        <v>7</v>
      </c>
      <c r="AC284" s="105">
        <f t="shared" si="15"/>
        <v>103.42</v>
      </c>
      <c r="AD284" s="120">
        <f>Tabla1[[#This Row],[COS.BASE 2]]/8</f>
        <v>12.9275</v>
      </c>
      <c r="AE284" s="105">
        <f>Tabla1[[#This Row],[CST_H_E]]+Tabla1[[#This Row],[COS.BASE 2]]</f>
        <v>103.42</v>
      </c>
      <c r="AF284" s="106">
        <f>+_xlfn.IFNA(INDEX(RUBRO!$W$2:$AA$732,MATCH(Tabla1[[#This Row],[FECHA ]],RUBRO!$W$2:$W$732,0),5)," ")</f>
        <v>0</v>
      </c>
      <c r="AG284" s="10">
        <f>+_xlfn.IFNA(INDEX(RUBRO!$W$2:$AA$732,MATCH(Tabla1[[#This Row],[FECHA ]],RUBRO!$W$2:$W$732,0),2)," ")</f>
        <v>0</v>
      </c>
      <c r="AH284" s="40">
        <f>IFERROR(Tabla1[[#This Row],[F]]*Tabla1[[#This Row],[COS.B+E]]," ")</f>
        <v>0</v>
      </c>
      <c r="AI284" s="40">
        <f>IFERROR(Tabla1[[#This Row],[COS.B+E]]*Tabla1[[#This Row],[D]]," ")</f>
        <v>0</v>
      </c>
      <c r="AJ284" s="40" t="str">
        <f>IFERROR(Tabla1[[#This Row],[F]]*#REF!," ")</f>
        <v xml:space="preserve"> </v>
      </c>
      <c r="AK284" s="40" t="str">
        <f>IFERROR(#REF!*Tabla1[[#This Row],[D]]," ")</f>
        <v xml:space="preserve"> </v>
      </c>
      <c r="AL284" s="103"/>
      <c r="AM284" s="103"/>
      <c r="AN284" s="103"/>
      <c r="AO284" s="38">
        <f>+Tabla1[[#This Row],[COS.B+E]]+Tabla1[[#This Row],[COS.F1]]+Tabla1[[#This Row],[COS.D1]]+Tabla1[[#This Row],[ALIMENTACION]]+Tabla1[[#This Row],[PRESTAMO]]+AN284</f>
        <v>103.42</v>
      </c>
      <c r="AP284" s="38" t="e">
        <f>+#REF!+Tabla1[[#This Row],[COS F2]]+Tabla1[[#This Row],[COS D2]]+Tabla1[[#This Row],[ALIMENTACION]]+Tabla1[[#This Row],[PRESTAMO]]+Tabla1[[#This Row],[PASAJES]]</f>
        <v>#REF!</v>
      </c>
    </row>
    <row r="285" spans="1:42" x14ac:dyDescent="0.25">
      <c r="A285" s="2" t="str">
        <f>TEXT(Tabla1[[#This Row],[FECHA ]],"DDDDD")</f>
        <v>martes</v>
      </c>
      <c r="B285" s="2" t="str">
        <f>_xlfn.IFNA(VLOOKUP(Tabla1[[#This Row],[DESTINO]],RUBRO!$Q$1:$R$9996,2,FALSE)," ")</f>
        <v>OBRA</v>
      </c>
      <c r="C285" s="104">
        <f>WEEKNUM(Tabla1[[#This Row],[FECHA ]],2)</f>
        <v>20</v>
      </c>
      <c r="D285" s="104" t="str">
        <f>TEXT(Tabla1[[#This Row],[FECHA ]],"MMM-YY")</f>
        <v>may-YY</v>
      </c>
      <c r="E285" s="104" t="str">
        <f>VLOOKUP(Tabla1[[#This Row],[DNI ]],RUBRO!$F$1:$O$9996,7,FALSE)</f>
        <v>5ta</v>
      </c>
      <c r="F285" s="104" t="e">
        <f>VLOOKUP(Tabla1[[#This Row],[DNI ]],RUBRO!$F$1:$O$88,3,FALSE)</f>
        <v>#N/A</v>
      </c>
      <c r="G285" s="104" t="str">
        <f>VLOOKUP(Tabla1[[#This Row],[DNI ]],RUBRO!$F$1:$O$9996,5,FALSE)</f>
        <v xml:space="preserve">PRACTICANTE </v>
      </c>
      <c r="H285" s="66" t="str">
        <f>VLOOKUP(Tabla1[[#This Row],[DNI ]],RUBRO!$F$1:$O$9996,6,FALSE)</f>
        <v>VASQUEZ CHUPILLON KEVIN</v>
      </c>
      <c r="I285" s="94">
        <v>44327</v>
      </c>
      <c r="J285" s="10">
        <v>2</v>
      </c>
      <c r="K285" s="2">
        <v>72814417</v>
      </c>
      <c r="L285" s="4">
        <f>VLOOKUP(Tabla1[[#This Row],[DNI ]],RUBRO!$F$2:$O$9996,8,FALSE)</f>
        <v>35.76</v>
      </c>
      <c r="M285" s="88">
        <v>0.29166666666666669</v>
      </c>
      <c r="N285" s="28">
        <v>0.54166666666666663</v>
      </c>
      <c r="O285" s="28">
        <v>0.58333333333333337</v>
      </c>
      <c r="P285" s="28">
        <v>0.75</v>
      </c>
      <c r="Q285" s="31">
        <f>(Tabla1[[#This Row],[SALIDA]]-Tabla1[[#This Row],[FIN ]])+(Tabla1[[#This Row],[INICIO]]-Tabla1[[#This Row],[INGRESO]])</f>
        <v>0.41666666666666657</v>
      </c>
      <c r="R285" s="13">
        <f t="shared" si="13"/>
        <v>0.33333333333333331</v>
      </c>
      <c r="S285" s="31">
        <f t="shared" si="14"/>
        <v>8.3333333333333259E-2</v>
      </c>
      <c r="T285" s="136"/>
      <c r="U285" s="136"/>
      <c r="V285" s="137">
        <f>(Tabla1[[#This Row],[COS.BASE 3]]*0.25+Tabla1[[#This Row],[COS.BASE 3]])*Tabla1[[#This Row],[HORAS 25 % ]]</f>
        <v>0</v>
      </c>
      <c r="W285" s="138">
        <f>(Tabla1[[#This Row],[COS.BASE 3]]*0.35+Tabla1[[#This Row],[COS.BASE 3]])*Tabla1[[#This Row],[HORAS 35% ]]</f>
        <v>0</v>
      </c>
      <c r="X285" s="138">
        <f>SUM(Tabla1[[#This Row],[C.HORA.35]],Tabla1[[#This Row],[C.HORA.25]])</f>
        <v>0</v>
      </c>
      <c r="Y285" s="4"/>
      <c r="Z285" s="10">
        <f>Tabla1[[#This Row],[T.HORAS]]*24</f>
        <v>9.9999999999999982</v>
      </c>
      <c r="AA285" s="4">
        <f>Tabla1[[#This Row],[H.NORMALES]]*24</f>
        <v>8</v>
      </c>
      <c r="AB285" s="10">
        <f>Tabla1[[#This Row],[H.EXTRAS]]*24</f>
        <v>1.9999999999999982</v>
      </c>
      <c r="AC285" s="105">
        <f t="shared" si="15"/>
        <v>35.76</v>
      </c>
      <c r="AD285" s="120">
        <f>Tabla1[[#This Row],[COS.BASE 2]]/8</f>
        <v>4.47</v>
      </c>
      <c r="AE285" s="105">
        <f>Tabla1[[#This Row],[CST_H_E]]+Tabla1[[#This Row],[COS.BASE 2]]</f>
        <v>35.76</v>
      </c>
      <c r="AF285" s="106">
        <f>+_xlfn.IFNA(INDEX(RUBRO!$W$2:$AA$732,MATCH(Tabla1[[#This Row],[FECHA ]],RUBRO!$W$2:$W$732,0),5)," ")</f>
        <v>0</v>
      </c>
      <c r="AG285" s="10">
        <f>+_xlfn.IFNA(INDEX(RUBRO!$W$2:$AA$732,MATCH(Tabla1[[#This Row],[FECHA ]],RUBRO!$W$2:$W$732,0),2)," ")</f>
        <v>0</v>
      </c>
      <c r="AH285" s="40">
        <f>IFERROR(Tabla1[[#This Row],[F]]*Tabla1[[#This Row],[COS.B+E]]," ")</f>
        <v>0</v>
      </c>
      <c r="AI285" s="40">
        <f>IFERROR(Tabla1[[#This Row],[COS.B+E]]*Tabla1[[#This Row],[D]]," ")</f>
        <v>0</v>
      </c>
      <c r="AJ285" s="40" t="str">
        <f>IFERROR(Tabla1[[#This Row],[F]]*#REF!," ")</f>
        <v xml:space="preserve"> </v>
      </c>
      <c r="AK285" s="40" t="str">
        <f>IFERROR(#REF!*Tabla1[[#This Row],[D]]," ")</f>
        <v xml:space="preserve"> </v>
      </c>
      <c r="AL285" s="103"/>
      <c r="AM285" s="103"/>
      <c r="AN285" s="103"/>
      <c r="AO285" s="38">
        <f>+Tabla1[[#This Row],[COS.B+E]]+Tabla1[[#This Row],[COS.F1]]+Tabla1[[#This Row],[COS.D1]]+Tabla1[[#This Row],[ALIMENTACION]]+Tabla1[[#This Row],[PRESTAMO]]+AN285</f>
        <v>35.76</v>
      </c>
      <c r="AP285" s="38" t="e">
        <f>+#REF!+Tabla1[[#This Row],[COS F2]]+Tabla1[[#This Row],[COS D2]]+Tabla1[[#This Row],[ALIMENTACION]]+Tabla1[[#This Row],[PRESTAMO]]+Tabla1[[#This Row],[PASAJES]]</f>
        <v>#REF!</v>
      </c>
    </row>
    <row r="286" spans="1:42" x14ac:dyDescent="0.25">
      <c r="A286" s="2" t="str">
        <f>TEXT(Tabla1[[#This Row],[FECHA ]],"DDDDD")</f>
        <v>martes</v>
      </c>
      <c r="B286" s="2" t="str">
        <f>_xlfn.IFNA(VLOOKUP(Tabla1[[#This Row],[DESTINO]],RUBRO!$Q$1:$R$9996,2,FALSE)," ")</f>
        <v>OBRA</v>
      </c>
      <c r="C286" s="104">
        <f>WEEKNUM(Tabla1[[#This Row],[FECHA ]],2)</f>
        <v>20</v>
      </c>
      <c r="D286" s="104" t="str">
        <f>TEXT(Tabla1[[#This Row],[FECHA ]],"MMM-YY")</f>
        <v>may-YY</v>
      </c>
      <c r="E286" s="104" t="str">
        <f>VLOOKUP(Tabla1[[#This Row],[DNI ]],RUBRO!$F$1:$O$9996,7,FALSE)</f>
        <v>5ta</v>
      </c>
      <c r="F286" s="104" t="str">
        <f>VLOOKUP(Tabla1[[#This Row],[DNI ]],RUBRO!$F$1:$O$88,3,FALSE)</f>
        <v>MEC-04</v>
      </c>
      <c r="G286" s="104" t="str">
        <f>VLOOKUP(Tabla1[[#This Row],[DNI ]],RUBRO!$F$1:$O$9996,5,FALSE)</f>
        <v>MECANICO MONTAJISTA DE MAQUINARIA EXTRANJERA</v>
      </c>
      <c r="H286" s="66" t="str">
        <f>VLOOKUP(Tabla1[[#This Row],[DNI ]],RUBRO!$F$1:$O$9996,6,FALSE)</f>
        <v>VASQUEZ GAMBOA JUAN JOSE</v>
      </c>
      <c r="I286" s="94">
        <v>44327</v>
      </c>
      <c r="J286" s="10">
        <v>2</v>
      </c>
      <c r="K286" s="2">
        <v>45416906</v>
      </c>
      <c r="L286" s="4">
        <f>VLOOKUP(Tabla1[[#This Row],[DNI ]],RUBRO!$F$2:$O$9996,8,FALSE)</f>
        <v>87</v>
      </c>
      <c r="M286" s="88">
        <v>0.29166666666666669</v>
      </c>
      <c r="N286" s="28">
        <v>0.54166666666666663</v>
      </c>
      <c r="O286" s="28">
        <v>0.58333333333333337</v>
      </c>
      <c r="P286" s="28">
        <v>0.77083333333333337</v>
      </c>
      <c r="Q286" s="31">
        <f>(Tabla1[[#This Row],[SALIDA]]-Tabla1[[#This Row],[FIN ]])+(Tabla1[[#This Row],[INICIO]]-Tabla1[[#This Row],[INGRESO]])</f>
        <v>0.43749999999999994</v>
      </c>
      <c r="R286" s="13">
        <f t="shared" si="13"/>
        <v>0.33333333333333331</v>
      </c>
      <c r="S286" s="31">
        <f t="shared" si="14"/>
        <v>0.10416666666666663</v>
      </c>
      <c r="T286" s="136"/>
      <c r="U286" s="136"/>
      <c r="V286" s="137">
        <f>(Tabla1[[#This Row],[COS.BASE 3]]*0.25+Tabla1[[#This Row],[COS.BASE 3]])*Tabla1[[#This Row],[HORAS 25 % ]]</f>
        <v>0</v>
      </c>
      <c r="W286" s="138">
        <f>(Tabla1[[#This Row],[COS.BASE 3]]*0.35+Tabla1[[#This Row],[COS.BASE 3]])*Tabla1[[#This Row],[HORAS 35% ]]</f>
        <v>0</v>
      </c>
      <c r="X286" s="138">
        <f>SUM(Tabla1[[#This Row],[C.HORA.35]],Tabla1[[#This Row],[C.HORA.25]])</f>
        <v>0</v>
      </c>
      <c r="Y286" s="4"/>
      <c r="Z286" s="10">
        <f>Tabla1[[#This Row],[T.HORAS]]*24</f>
        <v>10.499999999999998</v>
      </c>
      <c r="AA286" s="4">
        <f>Tabla1[[#This Row],[H.NORMALES]]*24</f>
        <v>8</v>
      </c>
      <c r="AB286" s="10">
        <f>Tabla1[[#This Row],[H.EXTRAS]]*24</f>
        <v>2.4999999999999991</v>
      </c>
      <c r="AC286" s="105">
        <f t="shared" si="15"/>
        <v>87</v>
      </c>
      <c r="AD286" s="120">
        <f>Tabla1[[#This Row],[COS.BASE 2]]/8</f>
        <v>10.875</v>
      </c>
      <c r="AE286" s="105">
        <f>Tabla1[[#This Row],[CST_H_E]]+Tabla1[[#This Row],[COS.BASE 2]]</f>
        <v>87</v>
      </c>
      <c r="AF286" s="106">
        <f>+_xlfn.IFNA(INDEX(RUBRO!$W$2:$AA$732,MATCH(Tabla1[[#This Row],[FECHA ]],RUBRO!$W$2:$W$732,0),5)," ")</f>
        <v>0</v>
      </c>
      <c r="AG286" s="10">
        <f>+_xlfn.IFNA(INDEX(RUBRO!$W$2:$AA$732,MATCH(Tabla1[[#This Row],[FECHA ]],RUBRO!$W$2:$W$732,0),2)," ")</f>
        <v>0</v>
      </c>
      <c r="AH286" s="40">
        <f>IFERROR(Tabla1[[#This Row],[F]]*Tabla1[[#This Row],[COS.B+E]]," ")</f>
        <v>0</v>
      </c>
      <c r="AI286" s="40">
        <f>IFERROR(Tabla1[[#This Row],[COS.B+E]]*Tabla1[[#This Row],[D]]," ")</f>
        <v>0</v>
      </c>
      <c r="AJ286" s="40" t="str">
        <f>IFERROR(Tabla1[[#This Row],[F]]*#REF!," ")</f>
        <v xml:space="preserve"> </v>
      </c>
      <c r="AK286" s="40" t="str">
        <f>IFERROR(#REF!*Tabla1[[#This Row],[D]]," ")</f>
        <v xml:space="preserve"> </v>
      </c>
      <c r="AL286" s="103"/>
      <c r="AM286" s="103"/>
      <c r="AN286" s="103"/>
      <c r="AO286" s="38">
        <f>+Tabla1[[#This Row],[COS.B+E]]+Tabla1[[#This Row],[COS.F1]]+Tabla1[[#This Row],[COS.D1]]+Tabla1[[#This Row],[ALIMENTACION]]+Tabla1[[#This Row],[PRESTAMO]]+AN286</f>
        <v>87</v>
      </c>
      <c r="AP286" s="38" t="e">
        <f>+#REF!+Tabla1[[#This Row],[COS F2]]+Tabla1[[#This Row],[COS D2]]+Tabla1[[#This Row],[ALIMENTACION]]+Tabla1[[#This Row],[PRESTAMO]]+Tabla1[[#This Row],[PASAJES]]</f>
        <v>#REF!</v>
      </c>
    </row>
    <row r="287" spans="1:42" x14ac:dyDescent="0.25">
      <c r="A287" s="2" t="str">
        <f>TEXT(Tabla1[[#This Row],[FECHA ]],"DDDDD")</f>
        <v>martes</v>
      </c>
      <c r="B287" s="2" t="str">
        <f>_xlfn.IFNA(VLOOKUP(Tabla1[[#This Row],[DESTINO]],RUBRO!$Q$1:$R$9996,2,FALSE)," ")</f>
        <v>OBRA</v>
      </c>
      <c r="C287" s="104">
        <f>WEEKNUM(Tabla1[[#This Row],[FECHA ]],2)</f>
        <v>20</v>
      </c>
      <c r="D287" s="104" t="str">
        <f>TEXT(Tabla1[[#This Row],[FECHA ]],"MMM-YY")</f>
        <v>may-YY</v>
      </c>
      <c r="E287" s="104" t="str">
        <f>VLOOKUP(Tabla1[[#This Row],[DNI ]],RUBRO!$F$1:$O$9996,7,FALSE)</f>
        <v>5ta</v>
      </c>
      <c r="F287" s="104" t="str">
        <f>VLOOKUP(Tabla1[[#This Row],[DNI ]],RUBRO!$F$1:$O$88,3,FALSE)</f>
        <v>TEC-04</v>
      </c>
      <c r="G287" s="104" t="str">
        <f>VLOOKUP(Tabla1[[#This Row],[DNI ]],RUBRO!$F$1:$O$9996,5,FALSE)</f>
        <v>TECNICO MECANICO MONTAJISTA DE MAQUINARIA EXTRANJERA</v>
      </c>
      <c r="H287" s="66" t="str">
        <f>VLOOKUP(Tabla1[[#This Row],[DNI ]],RUBRO!$F$1:$O$9996,6,FALSE)</f>
        <v>VASQUEZ TARRILLO LUIS</v>
      </c>
      <c r="I287" s="94">
        <v>44327</v>
      </c>
      <c r="J287" s="10">
        <v>2</v>
      </c>
      <c r="K287" s="2">
        <v>44044783</v>
      </c>
      <c r="L287" s="4">
        <f>VLOOKUP(Tabla1[[#This Row],[DNI ]],RUBRO!$F$2:$O$9996,8,FALSE)</f>
        <v>70.92</v>
      </c>
      <c r="M287" s="88">
        <v>0.14583333333333334</v>
      </c>
      <c r="N287" s="28">
        <v>0.54166666666666663</v>
      </c>
      <c r="O287" s="28">
        <v>0.58333333333333337</v>
      </c>
      <c r="P287" s="28">
        <v>0.79166666666666663</v>
      </c>
      <c r="Q287" s="31">
        <f>(Tabla1[[#This Row],[SALIDA]]-Tabla1[[#This Row],[FIN ]])+(Tabla1[[#This Row],[INICIO]]-Tabla1[[#This Row],[INGRESO]])</f>
        <v>0.60416666666666652</v>
      </c>
      <c r="R287" s="13">
        <f t="shared" si="13"/>
        <v>0.33333333333333331</v>
      </c>
      <c r="S287" s="31">
        <f t="shared" si="14"/>
        <v>0.2708333333333332</v>
      </c>
      <c r="T287" s="136"/>
      <c r="U287" s="136"/>
      <c r="V287" s="137">
        <f>(Tabla1[[#This Row],[COS.BASE 3]]*0.25+Tabla1[[#This Row],[COS.BASE 3]])*Tabla1[[#This Row],[HORAS 25 % ]]</f>
        <v>0</v>
      </c>
      <c r="W287" s="138">
        <f>(Tabla1[[#This Row],[COS.BASE 3]]*0.35+Tabla1[[#This Row],[COS.BASE 3]])*Tabla1[[#This Row],[HORAS 35% ]]</f>
        <v>0</v>
      </c>
      <c r="X287" s="138">
        <f>SUM(Tabla1[[#This Row],[C.HORA.35]],Tabla1[[#This Row],[C.HORA.25]])</f>
        <v>0</v>
      </c>
      <c r="Y287" s="4"/>
      <c r="Z287" s="10">
        <f>Tabla1[[#This Row],[T.HORAS]]*24</f>
        <v>14.499999999999996</v>
      </c>
      <c r="AA287" s="4">
        <f>Tabla1[[#This Row],[H.NORMALES]]*24</f>
        <v>8</v>
      </c>
      <c r="AB287" s="10">
        <f>Tabla1[[#This Row],[H.EXTRAS]]*24</f>
        <v>6.4999999999999964</v>
      </c>
      <c r="AC287" s="105">
        <f t="shared" si="15"/>
        <v>70.92</v>
      </c>
      <c r="AD287" s="120">
        <f>Tabla1[[#This Row],[COS.BASE 2]]/8</f>
        <v>8.8650000000000002</v>
      </c>
      <c r="AE287" s="105">
        <f>Tabla1[[#This Row],[CST_H_E]]+Tabla1[[#This Row],[COS.BASE 2]]</f>
        <v>70.92</v>
      </c>
      <c r="AF287" s="106">
        <f>+_xlfn.IFNA(INDEX(RUBRO!$W$2:$AA$732,MATCH(Tabla1[[#This Row],[FECHA ]],RUBRO!$W$2:$W$732,0),5)," ")</f>
        <v>0</v>
      </c>
      <c r="AG287" s="10">
        <f>+_xlfn.IFNA(INDEX(RUBRO!$W$2:$AA$732,MATCH(Tabla1[[#This Row],[FECHA ]],RUBRO!$W$2:$W$732,0),2)," ")</f>
        <v>0</v>
      </c>
      <c r="AH287" s="40">
        <f>IFERROR(Tabla1[[#This Row],[F]]*Tabla1[[#This Row],[COS.B+E]]," ")</f>
        <v>0</v>
      </c>
      <c r="AI287" s="40">
        <f>IFERROR(Tabla1[[#This Row],[COS.B+E]]*Tabla1[[#This Row],[D]]," ")</f>
        <v>0</v>
      </c>
      <c r="AJ287" s="40" t="str">
        <f>IFERROR(Tabla1[[#This Row],[F]]*#REF!," ")</f>
        <v xml:space="preserve"> </v>
      </c>
      <c r="AK287" s="40" t="str">
        <f>IFERROR(#REF!*Tabla1[[#This Row],[D]]," ")</f>
        <v xml:space="preserve"> </v>
      </c>
      <c r="AL287" s="103"/>
      <c r="AM287" s="103"/>
      <c r="AN287" s="103"/>
      <c r="AO287" s="38">
        <f>+Tabla1[[#This Row],[COS.B+E]]+Tabla1[[#This Row],[COS.F1]]+Tabla1[[#This Row],[COS.D1]]+Tabla1[[#This Row],[ALIMENTACION]]+Tabla1[[#This Row],[PRESTAMO]]+AN287</f>
        <v>70.92</v>
      </c>
      <c r="AP287" s="38" t="e">
        <f>+#REF!+Tabla1[[#This Row],[COS F2]]+Tabla1[[#This Row],[COS D2]]+Tabla1[[#This Row],[ALIMENTACION]]+Tabla1[[#This Row],[PRESTAMO]]+Tabla1[[#This Row],[PASAJES]]</f>
        <v>#REF!</v>
      </c>
    </row>
    <row r="288" spans="1:42" x14ac:dyDescent="0.25">
      <c r="A288" s="2" t="str">
        <f>TEXT(Tabla1[[#This Row],[FECHA ]],"DDDDD")</f>
        <v>martes</v>
      </c>
      <c r="B288" s="2" t="str">
        <f>_xlfn.IFNA(VLOOKUP(Tabla1[[#This Row],[DESTINO]],RUBRO!$Q$1:$R$9996,2,FALSE)," ")</f>
        <v>OBRA</v>
      </c>
      <c r="C288" s="104">
        <f>WEEKNUM(Tabla1[[#This Row],[FECHA ]],2)</f>
        <v>20</v>
      </c>
      <c r="D288" s="104" t="str">
        <f>TEXT(Tabla1[[#This Row],[FECHA ]],"MMM-YY")</f>
        <v>may-YY</v>
      </c>
      <c r="E288" s="104" t="str">
        <f>VLOOKUP(Tabla1[[#This Row],[DNI ]],RUBRO!$F$1:$O$9996,7,FALSE)</f>
        <v>5ta</v>
      </c>
      <c r="F288" s="104" t="str">
        <f>VLOOKUP(Tabla1[[#This Row],[DNI ]],RUBRO!$F$1:$O$88,3,FALSE)</f>
        <v>MAEME-03</v>
      </c>
      <c r="G288" s="104" t="str">
        <f>VLOOKUP(Tabla1[[#This Row],[DNI ]],RUBRO!$F$1:$O$9996,5,FALSE)</f>
        <v>MAESTRO ELECTRICO MONTAJISTA DE MAQUINARIA EXTRANJERA</v>
      </c>
      <c r="H288" s="66" t="str">
        <f>VLOOKUP(Tabla1[[#This Row],[DNI ]],RUBRO!$F$1:$O$9996,6,FALSE)</f>
        <v xml:space="preserve">VELASQUEZ LIZA JOSE ROGELIO </v>
      </c>
      <c r="I288" s="94">
        <v>44327</v>
      </c>
      <c r="J288" s="10">
        <v>2</v>
      </c>
      <c r="K288" s="2">
        <v>44685832</v>
      </c>
      <c r="L288" s="4">
        <f>VLOOKUP(Tabla1[[#This Row],[DNI ]],RUBRO!$F$2:$O$9996,8,FALSE)</f>
        <v>88.47</v>
      </c>
      <c r="M288" s="88">
        <v>0.29166666666666669</v>
      </c>
      <c r="N288" s="28">
        <v>0.54166666666666663</v>
      </c>
      <c r="O288" s="28">
        <v>0.58333333333333337</v>
      </c>
      <c r="P288" s="28">
        <v>0.77083333333333337</v>
      </c>
      <c r="Q288" s="31">
        <f>(Tabla1[[#This Row],[SALIDA]]-Tabla1[[#This Row],[FIN ]])+(Tabla1[[#This Row],[INICIO]]-Tabla1[[#This Row],[INGRESO]])</f>
        <v>0.43749999999999994</v>
      </c>
      <c r="R288" s="13">
        <f t="shared" si="13"/>
        <v>0.33333333333333331</v>
      </c>
      <c r="S288" s="31">
        <f t="shared" si="14"/>
        <v>0.10416666666666663</v>
      </c>
      <c r="T288" s="136"/>
      <c r="U288" s="136"/>
      <c r="V288" s="137">
        <f>(Tabla1[[#This Row],[COS.BASE 3]]*0.25+Tabla1[[#This Row],[COS.BASE 3]])*Tabla1[[#This Row],[HORAS 25 % ]]</f>
        <v>0</v>
      </c>
      <c r="W288" s="138">
        <f>(Tabla1[[#This Row],[COS.BASE 3]]*0.35+Tabla1[[#This Row],[COS.BASE 3]])*Tabla1[[#This Row],[HORAS 35% ]]</f>
        <v>0</v>
      </c>
      <c r="X288" s="138">
        <f>SUM(Tabla1[[#This Row],[C.HORA.35]],Tabla1[[#This Row],[C.HORA.25]])</f>
        <v>0</v>
      </c>
      <c r="Y288" s="4"/>
      <c r="Z288" s="10">
        <f>Tabla1[[#This Row],[T.HORAS]]*24</f>
        <v>10.499999999999998</v>
      </c>
      <c r="AA288" s="4">
        <f>Tabla1[[#This Row],[H.NORMALES]]*24</f>
        <v>8</v>
      </c>
      <c r="AB288" s="10">
        <f>Tabla1[[#This Row],[H.EXTRAS]]*24</f>
        <v>2.4999999999999991</v>
      </c>
      <c r="AC288" s="105">
        <f t="shared" si="15"/>
        <v>88.47</v>
      </c>
      <c r="AD288" s="120">
        <f>Tabla1[[#This Row],[COS.BASE 2]]/8</f>
        <v>11.05875</v>
      </c>
      <c r="AE288" s="105">
        <f>Tabla1[[#This Row],[CST_H_E]]+Tabla1[[#This Row],[COS.BASE 2]]</f>
        <v>88.47</v>
      </c>
      <c r="AF288" s="106">
        <f>+_xlfn.IFNA(INDEX(RUBRO!$W$2:$AA$732,MATCH(Tabla1[[#This Row],[FECHA ]],RUBRO!$W$2:$W$732,0),5)," ")</f>
        <v>0</v>
      </c>
      <c r="AG288" s="10">
        <f>+_xlfn.IFNA(INDEX(RUBRO!$W$2:$AA$732,MATCH(Tabla1[[#This Row],[FECHA ]],RUBRO!$W$2:$W$732,0),2)," ")</f>
        <v>0</v>
      </c>
      <c r="AH288" s="40">
        <f>IFERROR(Tabla1[[#This Row],[F]]*Tabla1[[#This Row],[COS.B+E]]," ")</f>
        <v>0</v>
      </c>
      <c r="AI288" s="40">
        <f>IFERROR(Tabla1[[#This Row],[COS.B+E]]*Tabla1[[#This Row],[D]]," ")</f>
        <v>0</v>
      </c>
      <c r="AJ288" s="40" t="str">
        <f>IFERROR(Tabla1[[#This Row],[F]]*#REF!," ")</f>
        <v xml:space="preserve"> </v>
      </c>
      <c r="AK288" s="40" t="str">
        <f>IFERROR(#REF!*Tabla1[[#This Row],[D]]," ")</f>
        <v xml:space="preserve"> </v>
      </c>
      <c r="AL288" s="103"/>
      <c r="AM288" s="103"/>
      <c r="AN288" s="103"/>
      <c r="AO288" s="38">
        <f>+Tabla1[[#This Row],[COS.B+E]]+Tabla1[[#This Row],[COS.F1]]+Tabla1[[#This Row],[COS.D1]]+Tabla1[[#This Row],[ALIMENTACION]]+Tabla1[[#This Row],[PRESTAMO]]+AN288</f>
        <v>88.47</v>
      </c>
      <c r="AP288" s="38" t="e">
        <f>+#REF!+Tabla1[[#This Row],[COS F2]]+Tabla1[[#This Row],[COS D2]]+Tabla1[[#This Row],[ALIMENTACION]]+Tabla1[[#This Row],[PRESTAMO]]+Tabla1[[#This Row],[PASAJES]]</f>
        <v>#REF!</v>
      </c>
    </row>
    <row r="289" spans="1:42" x14ac:dyDescent="0.25">
      <c r="A289" s="2" t="str">
        <f>TEXT(Tabla1[[#This Row],[FECHA ]],"DDDDD")</f>
        <v>martes</v>
      </c>
      <c r="B289" s="2" t="str">
        <f>_xlfn.IFNA(VLOOKUP(Tabla1[[#This Row],[DESTINO]],RUBRO!$Q$1:$R$9996,2,FALSE)," ")</f>
        <v>PLANTA</v>
      </c>
      <c r="C289" s="104">
        <f>WEEKNUM(Tabla1[[#This Row],[FECHA ]],2)</f>
        <v>20</v>
      </c>
      <c r="D289" s="104" t="str">
        <f>TEXT(Tabla1[[#This Row],[FECHA ]],"MMM-YY")</f>
        <v>may-YY</v>
      </c>
      <c r="E289" s="104" t="str">
        <f>VLOOKUP(Tabla1[[#This Row],[DNI ]],RUBRO!$F$1:$O$9996,7,FALSE)</f>
        <v>5ta</v>
      </c>
      <c r="F289" s="104" t="str">
        <f>VLOOKUP(Tabla1[[#This Row],[DNI ]],RUBRO!$F$1:$O$88,3,FALSE)</f>
        <v>TEC-05</v>
      </c>
      <c r="G289" s="104" t="str">
        <f>VLOOKUP(Tabla1[[#This Row],[DNI ]],RUBRO!$F$1:$O$9996,5,FALSE)</f>
        <v>TECNICO MECANICO MONTAJISTA DE NAVE INDUSTRIAL</v>
      </c>
      <c r="H289" s="66" t="str">
        <f>VLOOKUP(Tabla1[[#This Row],[DNI ]],RUBRO!$F$1:$O$9996,6,FALSE)</f>
        <v>VENTURA CUBAS ALEXANDER JOHAN</v>
      </c>
      <c r="I289" s="94">
        <v>44327</v>
      </c>
      <c r="J289" s="10">
        <v>1</v>
      </c>
      <c r="K289" s="2">
        <v>47749907</v>
      </c>
      <c r="L289" s="4">
        <f>VLOOKUP(Tabla1[[#This Row],[DNI ]],RUBRO!$F$2:$O$9996,8,FALSE)</f>
        <v>80</v>
      </c>
      <c r="M289" s="88">
        <v>0.29166666666666669</v>
      </c>
      <c r="N289" s="28">
        <v>0.54166666666666663</v>
      </c>
      <c r="O289" s="28">
        <v>0.58333333333333337</v>
      </c>
      <c r="P289" s="28">
        <v>0.70833333333333337</v>
      </c>
      <c r="Q289" s="31">
        <f>(Tabla1[[#This Row],[SALIDA]]-Tabla1[[#This Row],[FIN ]])+(Tabla1[[#This Row],[INICIO]]-Tabla1[[#This Row],[INGRESO]])</f>
        <v>0.37499999999999994</v>
      </c>
      <c r="R289" s="13">
        <f t="shared" si="13"/>
        <v>0.37499999999999994</v>
      </c>
      <c r="S289" s="31">
        <f t="shared" si="14"/>
        <v>0</v>
      </c>
      <c r="T289" s="136"/>
      <c r="U289" s="136"/>
      <c r="V289" s="137">
        <f>(Tabla1[[#This Row],[COS.BASE 3]]*0.25+Tabla1[[#This Row],[COS.BASE 3]])*Tabla1[[#This Row],[HORAS 25 % ]]</f>
        <v>0</v>
      </c>
      <c r="W289" s="138">
        <f>(Tabla1[[#This Row],[COS.BASE 3]]*0.35+Tabla1[[#This Row],[COS.BASE 3]])*Tabla1[[#This Row],[HORAS 35% ]]</f>
        <v>0</v>
      </c>
      <c r="X289" s="138">
        <f>SUM(Tabla1[[#This Row],[C.HORA.35]],Tabla1[[#This Row],[C.HORA.25]])</f>
        <v>0</v>
      </c>
      <c r="Y289" s="4"/>
      <c r="Z289" s="10">
        <f>Tabla1[[#This Row],[T.HORAS]]*24</f>
        <v>8.9999999999999982</v>
      </c>
      <c r="AA289" s="4">
        <f>Tabla1[[#This Row],[H.NORMALES]]*24</f>
        <v>8.9999999999999982</v>
      </c>
      <c r="AB289" s="10">
        <f>Tabla1[[#This Row],[H.EXTRAS]]*24</f>
        <v>0</v>
      </c>
      <c r="AC289" s="105">
        <f t="shared" si="15"/>
        <v>79.999999999999986</v>
      </c>
      <c r="AD289" s="120">
        <f>Tabla1[[#This Row],[COS.BASE 2]]/8</f>
        <v>9.9999999999999982</v>
      </c>
      <c r="AE289" s="105">
        <f>Tabla1[[#This Row],[CST_H_E]]+Tabla1[[#This Row],[COS.BASE 2]]</f>
        <v>79.999999999999986</v>
      </c>
      <c r="AF289" s="106">
        <f>+_xlfn.IFNA(INDEX(RUBRO!$W$2:$AA$732,MATCH(Tabla1[[#This Row],[FECHA ]],RUBRO!$W$2:$W$732,0),5)," ")</f>
        <v>0</v>
      </c>
      <c r="AG289" s="10">
        <f>+_xlfn.IFNA(INDEX(RUBRO!$W$2:$AA$732,MATCH(Tabla1[[#This Row],[FECHA ]],RUBRO!$W$2:$W$732,0),2)," ")</f>
        <v>0</v>
      </c>
      <c r="AH289" s="40">
        <f>IFERROR(Tabla1[[#This Row],[F]]*Tabla1[[#This Row],[COS.B+E]]," ")</f>
        <v>0</v>
      </c>
      <c r="AI289" s="40">
        <f>IFERROR(Tabla1[[#This Row],[COS.B+E]]*Tabla1[[#This Row],[D]]," ")</f>
        <v>0</v>
      </c>
      <c r="AJ289" s="40" t="str">
        <f>IFERROR(Tabla1[[#This Row],[F]]*#REF!," ")</f>
        <v xml:space="preserve"> </v>
      </c>
      <c r="AK289" s="40" t="str">
        <f>IFERROR(#REF!*Tabla1[[#This Row],[D]]," ")</f>
        <v xml:space="preserve"> </v>
      </c>
      <c r="AL289" s="103"/>
      <c r="AM289" s="103"/>
      <c r="AN289" s="103"/>
      <c r="AO289" s="38">
        <f>+Tabla1[[#This Row],[COS.B+E]]+Tabla1[[#This Row],[COS.F1]]+Tabla1[[#This Row],[COS.D1]]+Tabla1[[#This Row],[ALIMENTACION]]+Tabla1[[#This Row],[PRESTAMO]]+AN289</f>
        <v>79.999999999999986</v>
      </c>
      <c r="AP289" s="38" t="e">
        <f>+#REF!+Tabla1[[#This Row],[COS F2]]+Tabla1[[#This Row],[COS D2]]+Tabla1[[#This Row],[ALIMENTACION]]+Tabla1[[#This Row],[PRESTAMO]]+Tabla1[[#This Row],[PASAJES]]</f>
        <v>#REF!</v>
      </c>
    </row>
    <row r="290" spans="1:42" x14ac:dyDescent="0.25">
      <c r="A290" s="2" t="str">
        <f>TEXT(Tabla1[[#This Row],[FECHA ]],"DDDDD")</f>
        <v>martes</v>
      </c>
      <c r="B290" s="2" t="str">
        <f>_xlfn.IFNA(VLOOKUP(Tabla1[[#This Row],[DESTINO]],RUBRO!$Q$1:$R$9996,2,FALSE)," ")</f>
        <v>OBRA</v>
      </c>
      <c r="C290" s="104">
        <f>WEEKNUM(Tabla1[[#This Row],[FECHA ]],2)</f>
        <v>20</v>
      </c>
      <c r="D290" s="104" t="str">
        <f>TEXT(Tabla1[[#This Row],[FECHA ]],"MMM-YY")</f>
        <v>may-YY</v>
      </c>
      <c r="E290" s="104" t="str">
        <f>VLOOKUP(Tabla1[[#This Row],[DNI ]],RUBRO!$F$1:$O$9996,7,FALSE)</f>
        <v>5ta</v>
      </c>
      <c r="F290" s="104" t="str">
        <f>VLOOKUP(Tabla1[[#This Row],[DNI ]],RUBRO!$F$1:$O$88,3,FALSE)</f>
        <v>MAE-08</v>
      </c>
      <c r="G290" s="104" t="str">
        <f>VLOOKUP(Tabla1[[#This Row],[DNI ]],RUBRO!$F$1:$O$9996,5,FALSE)</f>
        <v>MAESTRO PINTOR</v>
      </c>
      <c r="H290" s="66" t="str">
        <f>VLOOKUP(Tabla1[[#This Row],[DNI ]],RUBRO!$F$1:$O$9996,6,FALSE)</f>
        <v>ZETA DELGADO DERWIS YENNER</v>
      </c>
      <c r="I290" s="94">
        <v>44327</v>
      </c>
      <c r="J290" s="10">
        <v>2</v>
      </c>
      <c r="K290" s="2">
        <v>46859101</v>
      </c>
      <c r="L290" s="4">
        <f>VLOOKUP(Tabla1[[#This Row],[DNI ]],RUBRO!$F$2:$O$9996,8,FALSE)</f>
        <v>70</v>
      </c>
      <c r="M290" s="88">
        <v>0.29166666666666669</v>
      </c>
      <c r="N290" s="28">
        <v>0.54166666666666663</v>
      </c>
      <c r="O290" s="28">
        <v>0.58333333333333337</v>
      </c>
      <c r="P290" s="28">
        <v>0.75</v>
      </c>
      <c r="Q290" s="31">
        <f>(Tabla1[[#This Row],[SALIDA]]-Tabla1[[#This Row],[FIN ]])+(Tabla1[[#This Row],[INICIO]]-Tabla1[[#This Row],[INGRESO]])</f>
        <v>0.41666666666666657</v>
      </c>
      <c r="R290" s="13">
        <f t="shared" si="13"/>
        <v>0.33333333333333331</v>
      </c>
      <c r="S290" s="31">
        <f t="shared" si="14"/>
        <v>8.3333333333333259E-2</v>
      </c>
      <c r="T290" s="136"/>
      <c r="U290" s="136"/>
      <c r="V290" s="137">
        <f>(Tabla1[[#This Row],[COS.BASE 3]]*0.25+Tabla1[[#This Row],[COS.BASE 3]])*Tabla1[[#This Row],[HORAS 25 % ]]</f>
        <v>0</v>
      </c>
      <c r="W290" s="138">
        <f>(Tabla1[[#This Row],[COS.BASE 3]]*0.35+Tabla1[[#This Row],[COS.BASE 3]])*Tabla1[[#This Row],[HORAS 35% ]]</f>
        <v>0</v>
      </c>
      <c r="X290" s="138">
        <f>SUM(Tabla1[[#This Row],[C.HORA.35]],Tabla1[[#This Row],[C.HORA.25]])</f>
        <v>0</v>
      </c>
      <c r="Y290" s="4"/>
      <c r="Z290" s="10">
        <f>Tabla1[[#This Row],[T.HORAS]]*24</f>
        <v>9.9999999999999982</v>
      </c>
      <c r="AA290" s="4">
        <f>Tabla1[[#This Row],[H.NORMALES]]*24</f>
        <v>8</v>
      </c>
      <c r="AB290" s="10">
        <f>Tabla1[[#This Row],[H.EXTRAS]]*24</f>
        <v>1.9999999999999982</v>
      </c>
      <c r="AC290" s="105">
        <f t="shared" si="15"/>
        <v>70</v>
      </c>
      <c r="AD290" s="120">
        <f>Tabla1[[#This Row],[COS.BASE 2]]/8</f>
        <v>8.75</v>
      </c>
      <c r="AE290" s="105">
        <f>Tabla1[[#This Row],[CST_H_E]]+Tabla1[[#This Row],[COS.BASE 2]]</f>
        <v>70</v>
      </c>
      <c r="AF290" s="106">
        <f>+_xlfn.IFNA(INDEX(RUBRO!$W$2:$AA$732,MATCH(Tabla1[[#This Row],[FECHA ]],RUBRO!$W$2:$W$732,0),5)," ")</f>
        <v>0</v>
      </c>
      <c r="AG290" s="10">
        <f>+_xlfn.IFNA(INDEX(RUBRO!$W$2:$AA$732,MATCH(Tabla1[[#This Row],[FECHA ]],RUBRO!$W$2:$W$732,0),2)," ")</f>
        <v>0</v>
      </c>
      <c r="AH290" s="40">
        <f>IFERROR(Tabla1[[#This Row],[F]]*Tabla1[[#This Row],[COS.B+E]]," ")</f>
        <v>0</v>
      </c>
      <c r="AI290" s="40">
        <f>IFERROR(Tabla1[[#This Row],[COS.B+E]]*Tabla1[[#This Row],[D]]," ")</f>
        <v>0</v>
      </c>
      <c r="AJ290" s="40" t="str">
        <f>IFERROR(Tabla1[[#This Row],[F]]*#REF!," ")</f>
        <v xml:space="preserve"> </v>
      </c>
      <c r="AK290" s="40" t="str">
        <f>IFERROR(#REF!*Tabla1[[#This Row],[D]]," ")</f>
        <v xml:space="preserve"> </v>
      </c>
      <c r="AL290" s="103"/>
      <c r="AM290" s="103"/>
      <c r="AN290" s="103"/>
      <c r="AO290" s="38">
        <f>+Tabla1[[#This Row],[COS.B+E]]+Tabla1[[#This Row],[COS.F1]]+Tabla1[[#This Row],[COS.D1]]+Tabla1[[#This Row],[ALIMENTACION]]+Tabla1[[#This Row],[PRESTAMO]]+AN290</f>
        <v>70</v>
      </c>
      <c r="AP290" s="38" t="e">
        <f>+#REF!+Tabla1[[#This Row],[COS F2]]+Tabla1[[#This Row],[COS D2]]+Tabla1[[#This Row],[ALIMENTACION]]+Tabla1[[#This Row],[PRESTAMO]]+Tabla1[[#This Row],[PASAJES]]</f>
        <v>#REF!</v>
      </c>
    </row>
    <row r="291" spans="1:42" x14ac:dyDescent="0.25">
      <c r="A291" s="2" t="str">
        <f>TEXT(Tabla1[[#This Row],[FECHA ]],"DDDDD")</f>
        <v>miércoles</v>
      </c>
      <c r="B291" s="2" t="str">
        <f>_xlfn.IFNA(VLOOKUP(Tabla1[[#This Row],[DESTINO]],RUBRO!$Q$1:$R$9996,2,FALSE)," ")</f>
        <v>PLANTA</v>
      </c>
      <c r="C291" s="104">
        <f>WEEKNUM(Tabla1[[#This Row],[FECHA ]],2)</f>
        <v>20</v>
      </c>
      <c r="D291" s="104" t="str">
        <f>TEXT(Tabla1[[#This Row],[FECHA ]],"MMM-YY")</f>
        <v>may-YY</v>
      </c>
      <c r="E291" s="104" t="str">
        <f>VLOOKUP(Tabla1[[#This Row],[DNI ]],RUBRO!$F$1:$O$9996,7,FALSE)</f>
        <v>5ta</v>
      </c>
      <c r="F291" s="104" t="str">
        <f>VLOOKUP(Tabla1[[#This Row],[DNI ]],RUBRO!$F$1:$O$88,3,FALSE)</f>
        <v>TEC-02</v>
      </c>
      <c r="G291" s="104" t="str">
        <f>VLOOKUP(Tabla1[[#This Row],[DNI ]],RUBRO!$F$1:$O$9996,5,FALSE)</f>
        <v>TECNICO MECANICO MONTAJISTA DE MAQUINARIA</v>
      </c>
      <c r="H291" s="66" t="str">
        <f>VLOOKUP(Tabla1[[#This Row],[DNI ]],RUBRO!$F$1:$O$9996,6,FALSE)</f>
        <v>ALVAREZ ALVINES JUAN MANUEL</v>
      </c>
      <c r="I291" s="94">
        <v>44328</v>
      </c>
      <c r="J291" s="10">
        <v>1</v>
      </c>
      <c r="K291" s="2">
        <v>46108491</v>
      </c>
      <c r="L291" s="4">
        <f>VLOOKUP(Tabla1[[#This Row],[DNI ]],RUBRO!$F$2:$O$9996,8,FALSE)</f>
        <v>50</v>
      </c>
      <c r="M291" s="88">
        <v>0.29166666666666669</v>
      </c>
      <c r="N291" s="28">
        <v>0.54166666666666663</v>
      </c>
      <c r="O291" s="28">
        <v>0.58333333333333337</v>
      </c>
      <c r="P291" s="28">
        <v>0.75</v>
      </c>
      <c r="Q291" s="31">
        <f>(Tabla1[[#This Row],[SALIDA]]-Tabla1[[#This Row],[FIN ]])+(Tabla1[[#This Row],[INICIO]]-Tabla1[[#This Row],[INGRESO]])</f>
        <v>0.41666666666666657</v>
      </c>
      <c r="R291" s="13">
        <f t="shared" si="13"/>
        <v>0.375</v>
      </c>
      <c r="S291" s="31">
        <f t="shared" si="14"/>
        <v>4.1666666666666574E-2</v>
      </c>
      <c r="T291" s="136"/>
      <c r="U291" s="136"/>
      <c r="V291" s="137">
        <f>(Tabla1[[#This Row],[COS.BASE 3]]*0.25+Tabla1[[#This Row],[COS.BASE 3]])*Tabla1[[#This Row],[HORAS 25 % ]]</f>
        <v>0</v>
      </c>
      <c r="W291" s="138">
        <f>(Tabla1[[#This Row],[COS.BASE 3]]*0.35+Tabla1[[#This Row],[COS.BASE 3]])*Tabla1[[#This Row],[HORAS 35% ]]</f>
        <v>0</v>
      </c>
      <c r="X291" s="138">
        <f>SUM(Tabla1[[#This Row],[C.HORA.35]],Tabla1[[#This Row],[C.HORA.25]])</f>
        <v>0</v>
      </c>
      <c r="Y291" s="4"/>
      <c r="Z291" s="10">
        <f>Tabla1[[#This Row],[T.HORAS]]*24</f>
        <v>9.9999999999999982</v>
      </c>
      <c r="AA291" s="4">
        <f>Tabla1[[#This Row],[H.NORMALES]]*24</f>
        <v>9</v>
      </c>
      <c r="AB291" s="10">
        <f>Tabla1[[#This Row],[H.EXTRAS]]*24</f>
        <v>0.99999999999999778</v>
      </c>
      <c r="AC291" s="105">
        <f t="shared" si="15"/>
        <v>50</v>
      </c>
      <c r="AD291" s="120">
        <f>Tabla1[[#This Row],[COS.BASE 2]]/8</f>
        <v>6.25</v>
      </c>
      <c r="AE291" s="105">
        <f>Tabla1[[#This Row],[CST_H_E]]+Tabla1[[#This Row],[COS.BASE 2]]</f>
        <v>50</v>
      </c>
      <c r="AF291" s="106">
        <f>+_xlfn.IFNA(INDEX(RUBRO!$W$2:$AA$732,MATCH(Tabla1[[#This Row],[FECHA ]],RUBRO!$W$2:$W$732,0),5)," ")</f>
        <v>0</v>
      </c>
      <c r="AG291" s="10">
        <f>+_xlfn.IFNA(INDEX(RUBRO!$W$2:$AA$732,MATCH(Tabla1[[#This Row],[FECHA ]],RUBRO!$W$2:$W$732,0),2)," ")</f>
        <v>0</v>
      </c>
      <c r="AH291" s="40">
        <f>IFERROR(Tabla1[[#This Row],[F]]*Tabla1[[#This Row],[COS.B+E]]," ")</f>
        <v>0</v>
      </c>
      <c r="AI291" s="40">
        <f>IFERROR(Tabla1[[#This Row],[COS.B+E]]*Tabla1[[#This Row],[D]]," ")</f>
        <v>0</v>
      </c>
      <c r="AJ291" s="40" t="str">
        <f>IFERROR(Tabla1[[#This Row],[F]]*#REF!," ")</f>
        <v xml:space="preserve"> </v>
      </c>
      <c r="AK291" s="40" t="str">
        <f>IFERROR(#REF!*Tabla1[[#This Row],[D]]," ")</f>
        <v xml:space="preserve"> </v>
      </c>
      <c r="AL291" s="103"/>
      <c r="AM291" s="103"/>
      <c r="AN291" s="103"/>
      <c r="AO291" s="38">
        <f>+Tabla1[[#This Row],[COS.B+E]]+Tabla1[[#This Row],[COS.F1]]+Tabla1[[#This Row],[COS.D1]]+Tabla1[[#This Row],[ALIMENTACION]]+Tabla1[[#This Row],[PRESTAMO]]+AN291</f>
        <v>50</v>
      </c>
      <c r="AP291" s="38" t="e">
        <f>+#REF!+Tabla1[[#This Row],[COS F2]]+Tabla1[[#This Row],[COS D2]]+Tabla1[[#This Row],[ALIMENTACION]]+Tabla1[[#This Row],[PRESTAMO]]+Tabla1[[#This Row],[PASAJES]]</f>
        <v>#REF!</v>
      </c>
    </row>
    <row r="292" spans="1:42" x14ac:dyDescent="0.25">
      <c r="A292" s="2" t="str">
        <f>TEXT(Tabla1[[#This Row],[FECHA ]],"DDDDD")</f>
        <v>miércoles</v>
      </c>
      <c r="B292" s="2" t="str">
        <f>_xlfn.IFNA(VLOOKUP(Tabla1[[#This Row],[DESTINO]],RUBRO!$Q$1:$R$9996,2,FALSE)," ")</f>
        <v>PLANTA</v>
      </c>
      <c r="C292" s="104">
        <f>WEEKNUM(Tabla1[[#This Row],[FECHA ]],2)</f>
        <v>20</v>
      </c>
      <c r="D292" s="104" t="str">
        <f>TEXT(Tabla1[[#This Row],[FECHA ]],"MMM-YY")</f>
        <v>may-YY</v>
      </c>
      <c r="E292" s="104" t="str">
        <f>VLOOKUP(Tabla1[[#This Row],[DNI ]],RUBRO!$F$1:$O$9996,7,FALSE)</f>
        <v>4ta</v>
      </c>
      <c r="F292" s="104" t="str">
        <f>VLOOKUP(Tabla1[[#This Row],[DNI ]],RUBRO!$F$1:$O$88,3,FALSE)</f>
        <v>OPE-03</v>
      </c>
      <c r="G292" s="104" t="str">
        <f>VLOOKUP(Tabla1[[#This Row],[DNI ]],RUBRO!$F$1:$O$9996,5,FALSE)</f>
        <v>OPERARIO ELECTRICO</v>
      </c>
      <c r="H292" s="66" t="str">
        <f>VLOOKUP(Tabla1[[#This Row],[DNI ]],RUBRO!$F$1:$O$9996,6,FALSE)</f>
        <v>AYALA RAMIREZ RUBEN ISAI</v>
      </c>
      <c r="I292" s="94">
        <v>44328</v>
      </c>
      <c r="J292" s="10">
        <v>1</v>
      </c>
      <c r="K292" s="2">
        <v>75557820</v>
      </c>
      <c r="L292" s="4">
        <f>VLOOKUP(Tabla1[[#This Row],[DNI ]],RUBRO!$F$2:$O$9996,8,FALSE)</f>
        <v>50</v>
      </c>
      <c r="M292" s="88">
        <v>0.29166666666666669</v>
      </c>
      <c r="N292" s="28">
        <v>0.54166666666666663</v>
      </c>
      <c r="O292" s="28">
        <v>0.58333333333333337</v>
      </c>
      <c r="P292" s="28">
        <v>0.75</v>
      </c>
      <c r="Q292" s="31">
        <f>(Tabla1[[#This Row],[SALIDA]]-Tabla1[[#This Row],[FIN ]])+(Tabla1[[#This Row],[INICIO]]-Tabla1[[#This Row],[INGRESO]])</f>
        <v>0.41666666666666657</v>
      </c>
      <c r="R292" s="13">
        <f t="shared" si="13"/>
        <v>0.375</v>
      </c>
      <c r="S292" s="31">
        <f t="shared" si="14"/>
        <v>4.1666666666666574E-2</v>
      </c>
      <c r="T292" s="136"/>
      <c r="U292" s="136"/>
      <c r="V292" s="137">
        <f>(Tabla1[[#This Row],[COS.BASE 3]]*0.25+Tabla1[[#This Row],[COS.BASE 3]])*Tabla1[[#This Row],[HORAS 25 % ]]</f>
        <v>0</v>
      </c>
      <c r="W292" s="138">
        <f>(Tabla1[[#This Row],[COS.BASE 3]]*0.35+Tabla1[[#This Row],[COS.BASE 3]])*Tabla1[[#This Row],[HORAS 35% ]]</f>
        <v>0</v>
      </c>
      <c r="X292" s="138">
        <f>SUM(Tabla1[[#This Row],[C.HORA.35]],Tabla1[[#This Row],[C.HORA.25]])</f>
        <v>0</v>
      </c>
      <c r="Y292" s="4"/>
      <c r="Z292" s="10">
        <f>Tabla1[[#This Row],[T.HORAS]]*24</f>
        <v>9.9999999999999982</v>
      </c>
      <c r="AA292" s="4">
        <f>Tabla1[[#This Row],[H.NORMALES]]*24</f>
        <v>9</v>
      </c>
      <c r="AB292" s="10">
        <f>Tabla1[[#This Row],[H.EXTRAS]]*24</f>
        <v>0.99999999999999778</v>
      </c>
      <c r="AC292" s="105">
        <f t="shared" si="15"/>
        <v>50</v>
      </c>
      <c r="AD292" s="120">
        <f>Tabla1[[#This Row],[COS.BASE 2]]/8</f>
        <v>6.25</v>
      </c>
      <c r="AE292" s="105">
        <f>Tabla1[[#This Row],[CST_H_E]]+Tabla1[[#This Row],[COS.BASE 2]]</f>
        <v>50</v>
      </c>
      <c r="AF292" s="106">
        <f>+_xlfn.IFNA(INDEX(RUBRO!$W$2:$AA$732,MATCH(Tabla1[[#This Row],[FECHA ]],RUBRO!$W$2:$W$732,0),5)," ")</f>
        <v>0</v>
      </c>
      <c r="AG292" s="10">
        <f>+_xlfn.IFNA(INDEX(RUBRO!$W$2:$AA$732,MATCH(Tabla1[[#This Row],[FECHA ]],RUBRO!$W$2:$W$732,0),2)," ")</f>
        <v>0</v>
      </c>
      <c r="AH292" s="40">
        <f>IFERROR(Tabla1[[#This Row],[F]]*Tabla1[[#This Row],[COS.B+E]]," ")</f>
        <v>0</v>
      </c>
      <c r="AI292" s="40">
        <f>IFERROR(Tabla1[[#This Row],[COS.B+E]]*Tabla1[[#This Row],[D]]," ")</f>
        <v>0</v>
      </c>
      <c r="AJ292" s="40" t="str">
        <f>IFERROR(Tabla1[[#This Row],[F]]*#REF!," ")</f>
        <v xml:space="preserve"> </v>
      </c>
      <c r="AK292" s="40" t="str">
        <f>IFERROR(#REF!*Tabla1[[#This Row],[D]]," ")</f>
        <v xml:space="preserve"> </v>
      </c>
      <c r="AL292" s="103"/>
      <c r="AM292" s="103"/>
      <c r="AN292" s="103"/>
      <c r="AO292" s="38">
        <f>+Tabla1[[#This Row],[COS.B+E]]+Tabla1[[#This Row],[COS.F1]]+Tabla1[[#This Row],[COS.D1]]+Tabla1[[#This Row],[ALIMENTACION]]+Tabla1[[#This Row],[PRESTAMO]]+AN292</f>
        <v>50</v>
      </c>
      <c r="AP292" s="38" t="e">
        <f>+#REF!+Tabla1[[#This Row],[COS F2]]+Tabla1[[#This Row],[COS D2]]+Tabla1[[#This Row],[ALIMENTACION]]+Tabla1[[#This Row],[PRESTAMO]]+Tabla1[[#This Row],[PASAJES]]</f>
        <v>#REF!</v>
      </c>
    </row>
    <row r="293" spans="1:42" x14ac:dyDescent="0.25">
      <c r="A293" s="2" t="str">
        <f>TEXT(Tabla1[[#This Row],[FECHA ]],"DDDDD")</f>
        <v>miércoles</v>
      </c>
      <c r="B293" s="2" t="str">
        <f>_xlfn.IFNA(VLOOKUP(Tabla1[[#This Row],[DESTINO]],RUBRO!$Q$1:$R$9996,2,FALSE)," ")</f>
        <v>OBRA</v>
      </c>
      <c r="C293" s="104">
        <f>WEEKNUM(Tabla1[[#This Row],[FECHA ]],2)</f>
        <v>20</v>
      </c>
      <c r="D293" s="104" t="str">
        <f>TEXT(Tabla1[[#This Row],[FECHA ]],"MMM-YY")</f>
        <v>may-YY</v>
      </c>
      <c r="E293" s="104" t="str">
        <f>VLOOKUP(Tabla1[[#This Row],[DNI ]],RUBRO!$F$1:$O$9996,7,FALSE)</f>
        <v>5ta</v>
      </c>
      <c r="F293" s="104" t="str">
        <f>VLOOKUP(Tabla1[[#This Row],[DNI ]],RUBRO!$F$1:$O$88,3,FALSE)</f>
        <v>OPE-03</v>
      </c>
      <c r="G293" s="104" t="str">
        <f>VLOOKUP(Tabla1[[#This Row],[DNI ]],RUBRO!$F$1:$O$9996,5,FALSE)</f>
        <v>OPERARIO ELECTRICO</v>
      </c>
      <c r="H293" s="66" t="str">
        <f>VLOOKUP(Tabla1[[#This Row],[DNI ]],RUBRO!$F$1:$O$9996,6,FALSE)</f>
        <v>BARRAGAN SALAZAR JHONATAN PEDRO</v>
      </c>
      <c r="I293" s="94">
        <v>44328</v>
      </c>
      <c r="J293" s="10">
        <v>2</v>
      </c>
      <c r="K293" s="2">
        <v>46801821</v>
      </c>
      <c r="L293" s="4">
        <f>VLOOKUP(Tabla1[[#This Row],[DNI ]],RUBRO!$F$2:$O$9996,8,FALSE)</f>
        <v>43.5</v>
      </c>
      <c r="M293" s="88">
        <v>0.29166666666666669</v>
      </c>
      <c r="N293" s="28">
        <v>0.54166666666666663</v>
      </c>
      <c r="O293" s="28">
        <v>0.58333333333333337</v>
      </c>
      <c r="P293" s="28">
        <v>0.79166666666666663</v>
      </c>
      <c r="Q293" s="31">
        <f>(Tabla1[[#This Row],[SALIDA]]-Tabla1[[#This Row],[FIN ]])+(Tabla1[[#This Row],[INICIO]]-Tabla1[[#This Row],[INGRESO]])</f>
        <v>0.4583333333333332</v>
      </c>
      <c r="R293" s="13">
        <f t="shared" si="13"/>
        <v>0.33333333333333331</v>
      </c>
      <c r="S293" s="31">
        <f t="shared" si="14"/>
        <v>0.12499999999999989</v>
      </c>
      <c r="T293" s="136"/>
      <c r="U293" s="136"/>
      <c r="V293" s="137">
        <f>(Tabla1[[#This Row],[COS.BASE 3]]*0.25+Tabla1[[#This Row],[COS.BASE 3]])*Tabla1[[#This Row],[HORAS 25 % ]]</f>
        <v>0</v>
      </c>
      <c r="W293" s="138">
        <f>(Tabla1[[#This Row],[COS.BASE 3]]*0.35+Tabla1[[#This Row],[COS.BASE 3]])*Tabla1[[#This Row],[HORAS 35% ]]</f>
        <v>0</v>
      </c>
      <c r="X293" s="138">
        <f>SUM(Tabla1[[#This Row],[C.HORA.35]],Tabla1[[#This Row],[C.HORA.25]])</f>
        <v>0</v>
      </c>
      <c r="Y293" s="4"/>
      <c r="Z293" s="10">
        <f>Tabla1[[#This Row],[T.HORAS]]*24</f>
        <v>10.999999999999996</v>
      </c>
      <c r="AA293" s="4">
        <f>Tabla1[[#This Row],[H.NORMALES]]*24</f>
        <v>8</v>
      </c>
      <c r="AB293" s="10">
        <f>Tabla1[[#This Row],[H.EXTRAS]]*24</f>
        <v>2.9999999999999973</v>
      </c>
      <c r="AC293" s="105">
        <f t="shared" si="15"/>
        <v>43.5</v>
      </c>
      <c r="AD293" s="120">
        <f>Tabla1[[#This Row],[COS.BASE 2]]/8</f>
        <v>5.4375</v>
      </c>
      <c r="AE293" s="105">
        <f>Tabla1[[#This Row],[CST_H_E]]+Tabla1[[#This Row],[COS.BASE 2]]</f>
        <v>43.5</v>
      </c>
      <c r="AF293" s="106">
        <f>+_xlfn.IFNA(INDEX(RUBRO!$W$2:$AA$732,MATCH(Tabla1[[#This Row],[FECHA ]],RUBRO!$W$2:$W$732,0),5)," ")</f>
        <v>0</v>
      </c>
      <c r="AG293" s="10">
        <f>+_xlfn.IFNA(INDEX(RUBRO!$W$2:$AA$732,MATCH(Tabla1[[#This Row],[FECHA ]],RUBRO!$W$2:$W$732,0),2)," ")</f>
        <v>0</v>
      </c>
      <c r="AH293" s="40">
        <f>IFERROR(Tabla1[[#This Row],[F]]*Tabla1[[#This Row],[COS.B+E]]," ")</f>
        <v>0</v>
      </c>
      <c r="AI293" s="40">
        <f>IFERROR(Tabla1[[#This Row],[COS.B+E]]*Tabla1[[#This Row],[D]]," ")</f>
        <v>0</v>
      </c>
      <c r="AJ293" s="40" t="str">
        <f>IFERROR(Tabla1[[#This Row],[F]]*#REF!," ")</f>
        <v xml:space="preserve"> </v>
      </c>
      <c r="AK293" s="40" t="str">
        <f>IFERROR(#REF!*Tabla1[[#This Row],[D]]," ")</f>
        <v xml:space="preserve"> </v>
      </c>
      <c r="AL293" s="103"/>
      <c r="AM293" s="103"/>
      <c r="AN293" s="103"/>
      <c r="AO293" s="38">
        <f>+Tabla1[[#This Row],[COS.B+E]]+Tabla1[[#This Row],[COS.F1]]+Tabla1[[#This Row],[COS.D1]]+Tabla1[[#This Row],[ALIMENTACION]]+Tabla1[[#This Row],[PRESTAMO]]+AN293</f>
        <v>43.5</v>
      </c>
      <c r="AP293" s="38" t="e">
        <f>+#REF!+Tabla1[[#This Row],[COS F2]]+Tabla1[[#This Row],[COS D2]]+Tabla1[[#This Row],[ALIMENTACION]]+Tabla1[[#This Row],[PRESTAMO]]+Tabla1[[#This Row],[PASAJES]]</f>
        <v>#REF!</v>
      </c>
    </row>
    <row r="294" spans="1:42" x14ac:dyDescent="0.25">
      <c r="A294" s="2" t="str">
        <f>TEXT(Tabla1[[#This Row],[FECHA ]],"DDDDD")</f>
        <v>miércoles</v>
      </c>
      <c r="B294" s="2" t="str">
        <f>_xlfn.IFNA(VLOOKUP(Tabla1[[#This Row],[DESTINO]],RUBRO!$Q$1:$R$9996,2,FALSE)," ")</f>
        <v>PLANTA</v>
      </c>
      <c r="C294" s="104">
        <f>WEEKNUM(Tabla1[[#This Row],[FECHA ]],2)</f>
        <v>20</v>
      </c>
      <c r="D294" s="104" t="str">
        <f>TEXT(Tabla1[[#This Row],[FECHA ]],"MMM-YY")</f>
        <v>may-YY</v>
      </c>
      <c r="E294" s="104" t="str">
        <f>VLOOKUP(Tabla1[[#This Row],[DNI ]],RUBRO!$F$1:$O$9996,7,FALSE)</f>
        <v>5ta</v>
      </c>
      <c r="F294" s="104" t="str">
        <f>VLOOKUP(Tabla1[[#This Row],[DNI ]],RUBRO!$F$1:$O$88,3,FALSE)</f>
        <v>OPE-01</v>
      </c>
      <c r="G294" s="104" t="str">
        <f>VLOOKUP(Tabla1[[#This Row],[DNI ]],RUBRO!$F$1:$O$9996,5,FALSE)</f>
        <v>OPERARIO SOLDADOR</v>
      </c>
      <c r="H294" s="66" t="str">
        <f>VLOOKUP(Tabla1[[#This Row],[DNI ]],RUBRO!$F$1:$O$9996,6,FALSE)</f>
        <v>BENDEZU PISCO JORGE GUILLERMO</v>
      </c>
      <c r="I294" s="94">
        <v>44328</v>
      </c>
      <c r="J294" s="10">
        <v>1</v>
      </c>
      <c r="K294" s="2">
        <v>10664396</v>
      </c>
      <c r="L294" s="4">
        <f>VLOOKUP(Tabla1[[#This Row],[DNI ]],RUBRO!$F$2:$O$9996,8,FALSE)</f>
        <v>60</v>
      </c>
      <c r="M294" s="88">
        <v>0.29166666666666669</v>
      </c>
      <c r="N294" s="28">
        <v>0.54166666666666663</v>
      </c>
      <c r="O294" s="28">
        <v>0.58333333333333337</v>
      </c>
      <c r="P294" s="28">
        <v>0.70833333333333337</v>
      </c>
      <c r="Q294" s="31">
        <f>(Tabla1[[#This Row],[SALIDA]]-Tabla1[[#This Row],[FIN ]])+(Tabla1[[#This Row],[INICIO]]-Tabla1[[#This Row],[INGRESO]])</f>
        <v>0.37499999999999994</v>
      </c>
      <c r="R294" s="13">
        <f t="shared" si="13"/>
        <v>0.37499999999999994</v>
      </c>
      <c r="S294" s="31">
        <f t="shared" si="14"/>
        <v>0</v>
      </c>
      <c r="T294" s="136"/>
      <c r="U294" s="136"/>
      <c r="V294" s="137">
        <f>(Tabla1[[#This Row],[COS.BASE 3]]*0.25+Tabla1[[#This Row],[COS.BASE 3]])*Tabla1[[#This Row],[HORAS 25 % ]]</f>
        <v>0</v>
      </c>
      <c r="W294" s="138">
        <f>(Tabla1[[#This Row],[COS.BASE 3]]*0.35+Tabla1[[#This Row],[COS.BASE 3]])*Tabla1[[#This Row],[HORAS 35% ]]</f>
        <v>0</v>
      </c>
      <c r="X294" s="138">
        <f>SUM(Tabla1[[#This Row],[C.HORA.35]],Tabla1[[#This Row],[C.HORA.25]])</f>
        <v>0</v>
      </c>
      <c r="Y294" s="4"/>
      <c r="Z294" s="10">
        <f>Tabla1[[#This Row],[T.HORAS]]*24</f>
        <v>8.9999999999999982</v>
      </c>
      <c r="AA294" s="4">
        <f>Tabla1[[#This Row],[H.NORMALES]]*24</f>
        <v>8.9999999999999982</v>
      </c>
      <c r="AB294" s="10">
        <f>Tabla1[[#This Row],[H.EXTRAS]]*24</f>
        <v>0</v>
      </c>
      <c r="AC294" s="105">
        <f t="shared" si="15"/>
        <v>59.999999999999993</v>
      </c>
      <c r="AD294" s="120">
        <f>Tabla1[[#This Row],[COS.BASE 2]]/8</f>
        <v>7.4999999999999991</v>
      </c>
      <c r="AE294" s="105">
        <f>Tabla1[[#This Row],[CST_H_E]]+Tabla1[[#This Row],[COS.BASE 2]]</f>
        <v>59.999999999999993</v>
      </c>
      <c r="AF294" s="106">
        <f>+_xlfn.IFNA(INDEX(RUBRO!$W$2:$AA$732,MATCH(Tabla1[[#This Row],[FECHA ]],RUBRO!$W$2:$W$732,0),5)," ")</f>
        <v>0</v>
      </c>
      <c r="AG294" s="10">
        <f>+_xlfn.IFNA(INDEX(RUBRO!$W$2:$AA$732,MATCH(Tabla1[[#This Row],[FECHA ]],RUBRO!$W$2:$W$732,0),2)," ")</f>
        <v>0</v>
      </c>
      <c r="AH294" s="40">
        <f>IFERROR(Tabla1[[#This Row],[F]]*Tabla1[[#This Row],[COS.B+E]]," ")</f>
        <v>0</v>
      </c>
      <c r="AI294" s="40">
        <f>IFERROR(Tabla1[[#This Row],[COS.B+E]]*Tabla1[[#This Row],[D]]," ")</f>
        <v>0</v>
      </c>
      <c r="AJ294" s="40" t="str">
        <f>IFERROR(Tabla1[[#This Row],[F]]*#REF!," ")</f>
        <v xml:space="preserve"> </v>
      </c>
      <c r="AK294" s="40" t="str">
        <f>IFERROR(#REF!*Tabla1[[#This Row],[D]]," ")</f>
        <v xml:space="preserve"> </v>
      </c>
      <c r="AL294" s="103"/>
      <c r="AM294" s="103"/>
      <c r="AN294" s="103"/>
      <c r="AO294" s="38">
        <f>+Tabla1[[#This Row],[COS.B+E]]+Tabla1[[#This Row],[COS.F1]]+Tabla1[[#This Row],[COS.D1]]+Tabla1[[#This Row],[ALIMENTACION]]+Tabla1[[#This Row],[PRESTAMO]]+AN294</f>
        <v>59.999999999999993</v>
      </c>
      <c r="AP294" s="38" t="e">
        <f>+#REF!+Tabla1[[#This Row],[COS F2]]+Tabla1[[#This Row],[COS D2]]+Tabla1[[#This Row],[ALIMENTACION]]+Tabla1[[#This Row],[PRESTAMO]]+Tabla1[[#This Row],[PASAJES]]</f>
        <v>#REF!</v>
      </c>
    </row>
    <row r="295" spans="1:42" x14ac:dyDescent="0.25">
      <c r="A295" s="2" t="str">
        <f>TEXT(Tabla1[[#This Row],[FECHA ]],"DDDDD")</f>
        <v>miércoles</v>
      </c>
      <c r="B295" s="2" t="str">
        <f>_xlfn.IFNA(VLOOKUP(Tabla1[[#This Row],[DESTINO]],RUBRO!$Q$1:$R$9996,2,FALSE)," ")</f>
        <v>FALTA</v>
      </c>
      <c r="C295" s="104">
        <f>WEEKNUM(Tabla1[[#This Row],[FECHA ]],2)</f>
        <v>20</v>
      </c>
      <c r="D295" s="104" t="str">
        <f>TEXT(Tabla1[[#This Row],[FECHA ]],"MMM-YY")</f>
        <v>may-YY</v>
      </c>
      <c r="E295" s="104" t="str">
        <f>VLOOKUP(Tabla1[[#This Row],[DNI ]],RUBRO!$F$1:$O$9996,7,FALSE)</f>
        <v>4ta</v>
      </c>
      <c r="F295" s="104" t="str">
        <f>VLOOKUP(Tabla1[[#This Row],[DNI ]],RUBRO!$F$1:$O$88,3,FALSE)</f>
        <v>OPE-01</v>
      </c>
      <c r="G295" s="104" t="str">
        <f>VLOOKUP(Tabla1[[#This Row],[DNI ]],RUBRO!$F$1:$O$9996,5,FALSE)</f>
        <v>OPERARIO SOLDADOR</v>
      </c>
      <c r="H295" s="66" t="str">
        <f>VLOOKUP(Tabla1[[#This Row],[DNI ]],RUBRO!$F$1:$O$9996,6,FALSE)</f>
        <v>BONILLA CHAVEZ LUIS DANIEL</v>
      </c>
      <c r="I295" s="94">
        <v>44328</v>
      </c>
      <c r="J295" s="10">
        <v>4</v>
      </c>
      <c r="K295" s="2">
        <v>71995358</v>
      </c>
      <c r="L295" s="4">
        <f>VLOOKUP(Tabla1[[#This Row],[DNI ]],RUBRO!$F$2:$O$9996,8,FALSE)</f>
        <v>45</v>
      </c>
      <c r="M295" s="88"/>
      <c r="N295" s="28"/>
      <c r="P295" s="28"/>
      <c r="Q295" s="31">
        <f>(Tabla1[[#This Row],[SALIDA]]-Tabla1[[#This Row],[FIN ]])+(Tabla1[[#This Row],[INICIO]]-Tabla1[[#This Row],[INGRESO]])</f>
        <v>0</v>
      </c>
      <c r="R295" s="13">
        <f t="shared" si="13"/>
        <v>0</v>
      </c>
      <c r="S295" s="31">
        <f t="shared" si="14"/>
        <v>0</v>
      </c>
      <c r="T295" s="136"/>
      <c r="U295" s="136"/>
      <c r="V295" s="137">
        <f>(Tabla1[[#This Row],[COS.BASE 3]]*0.25+Tabla1[[#This Row],[COS.BASE 3]])*Tabla1[[#This Row],[HORAS 25 % ]]</f>
        <v>0</v>
      </c>
      <c r="W295" s="138">
        <f>(Tabla1[[#This Row],[COS.BASE 3]]*0.35+Tabla1[[#This Row],[COS.BASE 3]])*Tabla1[[#This Row],[HORAS 35% ]]</f>
        <v>0</v>
      </c>
      <c r="X295" s="138">
        <f>SUM(Tabla1[[#This Row],[C.HORA.35]],Tabla1[[#This Row],[C.HORA.25]])</f>
        <v>0</v>
      </c>
      <c r="Y295" s="4"/>
      <c r="Z295" s="10">
        <f>Tabla1[[#This Row],[T.HORAS]]*24</f>
        <v>0</v>
      </c>
      <c r="AA295" s="4">
        <f>Tabla1[[#This Row],[H.NORMALES]]*24</f>
        <v>0</v>
      </c>
      <c r="AB295" s="10">
        <f>Tabla1[[#This Row],[H.EXTRAS]]*24</f>
        <v>0</v>
      </c>
      <c r="AC295" s="105">
        <f t="shared" si="15"/>
        <v>0</v>
      </c>
      <c r="AD295" s="120">
        <f>Tabla1[[#This Row],[COS.BASE 2]]/8</f>
        <v>0</v>
      </c>
      <c r="AE295" s="105">
        <f>Tabla1[[#This Row],[CST_H_E]]+Tabla1[[#This Row],[COS.BASE 2]]</f>
        <v>0</v>
      </c>
      <c r="AF295" s="106">
        <f>+_xlfn.IFNA(INDEX(RUBRO!$W$2:$AA$732,MATCH(Tabla1[[#This Row],[FECHA ]],RUBRO!$W$2:$W$732,0),5)," ")</f>
        <v>0</v>
      </c>
      <c r="AG295" s="10">
        <f>+_xlfn.IFNA(INDEX(RUBRO!$W$2:$AA$732,MATCH(Tabla1[[#This Row],[FECHA ]],RUBRO!$W$2:$W$732,0),2)," ")</f>
        <v>0</v>
      </c>
      <c r="AH295" s="40">
        <f>IFERROR(Tabla1[[#This Row],[F]]*Tabla1[[#This Row],[COS.B+E]]," ")</f>
        <v>0</v>
      </c>
      <c r="AI295" s="40">
        <f>IFERROR(Tabla1[[#This Row],[COS.B+E]]*Tabla1[[#This Row],[D]]," ")</f>
        <v>0</v>
      </c>
      <c r="AJ295" s="40" t="str">
        <f>IFERROR(Tabla1[[#This Row],[F]]*#REF!," ")</f>
        <v xml:space="preserve"> </v>
      </c>
      <c r="AK295" s="40" t="str">
        <f>IFERROR(#REF!*Tabla1[[#This Row],[D]]," ")</f>
        <v xml:space="preserve"> </v>
      </c>
      <c r="AL295" s="103"/>
      <c r="AM295" s="103"/>
      <c r="AN295" s="103"/>
      <c r="AO295" s="38">
        <f>+Tabla1[[#This Row],[COS.B+E]]+Tabla1[[#This Row],[COS.F1]]+Tabla1[[#This Row],[COS.D1]]+Tabla1[[#This Row],[ALIMENTACION]]+Tabla1[[#This Row],[PRESTAMO]]+AN295</f>
        <v>0</v>
      </c>
      <c r="AP295" s="38" t="e">
        <f>+#REF!+Tabla1[[#This Row],[COS F2]]+Tabla1[[#This Row],[COS D2]]+Tabla1[[#This Row],[ALIMENTACION]]+Tabla1[[#This Row],[PRESTAMO]]+Tabla1[[#This Row],[PASAJES]]</f>
        <v>#REF!</v>
      </c>
    </row>
    <row r="296" spans="1:42" x14ac:dyDescent="0.25">
      <c r="A296" s="2" t="str">
        <f>TEXT(Tabla1[[#This Row],[FECHA ]],"DDDDD")</f>
        <v>miércoles</v>
      </c>
      <c r="B296" s="2" t="str">
        <f>_xlfn.IFNA(VLOOKUP(Tabla1[[#This Row],[DESTINO]],RUBRO!$Q$1:$R$9996,2,FALSE)," ")</f>
        <v>OBRA</v>
      </c>
      <c r="C296" s="104">
        <f>WEEKNUM(Tabla1[[#This Row],[FECHA ]],2)</f>
        <v>20</v>
      </c>
      <c r="D296" s="104" t="str">
        <f>TEXT(Tabla1[[#This Row],[FECHA ]],"MMM-YY")</f>
        <v>may-YY</v>
      </c>
      <c r="E296" s="104" t="str">
        <f>VLOOKUP(Tabla1[[#This Row],[DNI ]],RUBRO!$F$1:$O$9996,7,FALSE)</f>
        <v>5ta</v>
      </c>
      <c r="F296" s="104" t="str">
        <f>VLOOKUP(Tabla1[[#This Row],[DNI ]],RUBRO!$F$1:$O$88,3,FALSE)</f>
        <v>MEC-04</v>
      </c>
      <c r="G296" s="104" t="str">
        <f>VLOOKUP(Tabla1[[#This Row],[DNI ]],RUBRO!$F$1:$O$9996,5,FALSE)</f>
        <v>MECANICO MONTAJISTA DE MAQUINARIA EXTRANJERA</v>
      </c>
      <c r="H296" s="66" t="str">
        <f>VLOOKUP(Tabla1[[#This Row],[DNI ]],RUBRO!$F$1:$O$9996,6,FALSE)</f>
        <v>BUSTAMANTE GONZALES CARLOS</v>
      </c>
      <c r="I296" s="94">
        <v>44328</v>
      </c>
      <c r="J296" s="10">
        <v>2</v>
      </c>
      <c r="K296" s="2">
        <v>27291529</v>
      </c>
      <c r="L296" s="4">
        <f>VLOOKUP(Tabla1[[#This Row],[DNI ]],RUBRO!$F$2:$O$9996,8,FALSE)</f>
        <v>72.540000000000006</v>
      </c>
      <c r="M296" s="88">
        <v>0.29166666666666669</v>
      </c>
      <c r="N296" s="28">
        <v>0.54166666666666663</v>
      </c>
      <c r="O296" s="28">
        <v>0.58333333333333337</v>
      </c>
      <c r="P296" s="28">
        <v>0.79166666666666663</v>
      </c>
      <c r="Q296" s="31">
        <f>(Tabla1[[#This Row],[SALIDA]]-Tabla1[[#This Row],[FIN ]])+(Tabla1[[#This Row],[INICIO]]-Tabla1[[#This Row],[INGRESO]])</f>
        <v>0.4583333333333332</v>
      </c>
      <c r="R296" s="13">
        <f t="shared" si="13"/>
        <v>0.33333333333333331</v>
      </c>
      <c r="S296" s="31">
        <f t="shared" si="14"/>
        <v>0.12499999999999989</v>
      </c>
      <c r="T296" s="136"/>
      <c r="U296" s="136"/>
      <c r="V296" s="137">
        <f>(Tabla1[[#This Row],[COS.BASE 3]]*0.25+Tabla1[[#This Row],[COS.BASE 3]])*Tabla1[[#This Row],[HORAS 25 % ]]</f>
        <v>0</v>
      </c>
      <c r="W296" s="138">
        <f>(Tabla1[[#This Row],[COS.BASE 3]]*0.35+Tabla1[[#This Row],[COS.BASE 3]])*Tabla1[[#This Row],[HORAS 35% ]]</f>
        <v>0</v>
      </c>
      <c r="X296" s="138">
        <f>SUM(Tabla1[[#This Row],[C.HORA.35]],Tabla1[[#This Row],[C.HORA.25]])</f>
        <v>0</v>
      </c>
      <c r="Y296" s="4"/>
      <c r="Z296" s="10">
        <f>Tabla1[[#This Row],[T.HORAS]]*24</f>
        <v>10.999999999999996</v>
      </c>
      <c r="AA296" s="4">
        <f>Tabla1[[#This Row],[H.NORMALES]]*24</f>
        <v>8</v>
      </c>
      <c r="AB296" s="10">
        <f>Tabla1[[#This Row],[H.EXTRAS]]*24</f>
        <v>2.9999999999999973</v>
      </c>
      <c r="AC296" s="105">
        <f t="shared" si="15"/>
        <v>72.540000000000006</v>
      </c>
      <c r="AD296" s="120">
        <f>Tabla1[[#This Row],[COS.BASE 2]]/8</f>
        <v>9.0675000000000008</v>
      </c>
      <c r="AE296" s="105">
        <f>Tabla1[[#This Row],[CST_H_E]]+Tabla1[[#This Row],[COS.BASE 2]]</f>
        <v>72.540000000000006</v>
      </c>
      <c r="AF296" s="106">
        <f>+_xlfn.IFNA(INDEX(RUBRO!$W$2:$AA$732,MATCH(Tabla1[[#This Row],[FECHA ]],RUBRO!$W$2:$W$732,0),5)," ")</f>
        <v>0</v>
      </c>
      <c r="AG296" s="10">
        <f>+_xlfn.IFNA(INDEX(RUBRO!$W$2:$AA$732,MATCH(Tabla1[[#This Row],[FECHA ]],RUBRO!$W$2:$W$732,0),2)," ")</f>
        <v>0</v>
      </c>
      <c r="AH296" s="40">
        <f>IFERROR(Tabla1[[#This Row],[F]]*Tabla1[[#This Row],[COS.B+E]]," ")</f>
        <v>0</v>
      </c>
      <c r="AI296" s="40">
        <f>IFERROR(Tabla1[[#This Row],[COS.B+E]]*Tabla1[[#This Row],[D]]," ")</f>
        <v>0</v>
      </c>
      <c r="AJ296" s="40" t="str">
        <f>IFERROR(Tabla1[[#This Row],[F]]*#REF!," ")</f>
        <v xml:space="preserve"> </v>
      </c>
      <c r="AK296" s="40" t="str">
        <f>IFERROR(#REF!*Tabla1[[#This Row],[D]]," ")</f>
        <v xml:space="preserve"> </v>
      </c>
      <c r="AL296" s="103"/>
      <c r="AM296" s="103"/>
      <c r="AN296" s="103"/>
      <c r="AO296" s="38">
        <f>+Tabla1[[#This Row],[COS.B+E]]+Tabla1[[#This Row],[COS.F1]]+Tabla1[[#This Row],[COS.D1]]+Tabla1[[#This Row],[ALIMENTACION]]+Tabla1[[#This Row],[PRESTAMO]]+AN296</f>
        <v>72.540000000000006</v>
      </c>
      <c r="AP296" s="38" t="e">
        <f>+#REF!+Tabla1[[#This Row],[COS F2]]+Tabla1[[#This Row],[COS D2]]+Tabla1[[#This Row],[ALIMENTACION]]+Tabla1[[#This Row],[PRESTAMO]]+Tabla1[[#This Row],[PASAJES]]</f>
        <v>#REF!</v>
      </c>
    </row>
    <row r="297" spans="1:42" x14ac:dyDescent="0.25">
      <c r="A297" s="2" t="str">
        <f>TEXT(Tabla1[[#This Row],[FECHA ]],"DDDDD")</f>
        <v>miércoles</v>
      </c>
      <c r="B297" s="2" t="str">
        <f>_xlfn.IFNA(VLOOKUP(Tabla1[[#This Row],[DESTINO]],RUBRO!$Q$1:$R$9996,2,FALSE)," ")</f>
        <v>PLANTA</v>
      </c>
      <c r="C297" s="104">
        <f>WEEKNUM(Tabla1[[#This Row],[FECHA ]],2)</f>
        <v>20</v>
      </c>
      <c r="D297" s="104" t="str">
        <f>TEXT(Tabla1[[#This Row],[FECHA ]],"MMM-YY")</f>
        <v>may-YY</v>
      </c>
      <c r="E297" s="104" t="str">
        <f>VLOOKUP(Tabla1[[#This Row],[DNI ]],RUBRO!$F$1:$O$9996,7,FALSE)</f>
        <v>5ta</v>
      </c>
      <c r="F297" s="104" t="str">
        <f>VLOOKUP(Tabla1[[#This Row],[DNI ]],RUBRO!$F$1:$O$88,3,FALSE)</f>
        <v>TECMN-03</v>
      </c>
      <c r="G297" s="104" t="str">
        <f>VLOOKUP(Tabla1[[#This Row],[DNI ]],RUBRO!$F$1:$O$9996,5,FALSE)</f>
        <v>TECNICO ELECTRICO MONTAJISTA DE MAQUINARIA</v>
      </c>
      <c r="H297" s="66" t="str">
        <f>VLOOKUP(Tabla1[[#This Row],[DNI ]],RUBRO!$F$1:$O$9996,6,FALSE)</f>
        <v>CAMIZAN CUNIAS LENDER NEYDEN</v>
      </c>
      <c r="I297" s="94">
        <v>44328</v>
      </c>
      <c r="J297" s="10">
        <v>1</v>
      </c>
      <c r="K297" s="2">
        <v>47711616</v>
      </c>
      <c r="L297" s="4">
        <f>VLOOKUP(Tabla1[[#This Row],[DNI ]],RUBRO!$F$2:$O$9996,8,FALSE)</f>
        <v>47.73</v>
      </c>
      <c r="M297" s="88">
        <v>0.29166666666666669</v>
      </c>
      <c r="N297" s="28">
        <v>0.54166666666666663</v>
      </c>
      <c r="O297" s="28">
        <v>0.58333333333333337</v>
      </c>
      <c r="P297" s="28">
        <v>0.75</v>
      </c>
      <c r="Q297" s="31">
        <f>(Tabla1[[#This Row],[SALIDA]]-Tabla1[[#This Row],[FIN ]])+(Tabla1[[#This Row],[INICIO]]-Tabla1[[#This Row],[INGRESO]])</f>
        <v>0.41666666666666657</v>
      </c>
      <c r="R297" s="13">
        <f t="shared" si="13"/>
        <v>0.375</v>
      </c>
      <c r="S297" s="31">
        <f t="shared" si="14"/>
        <v>4.1666666666666574E-2</v>
      </c>
      <c r="T297" s="136"/>
      <c r="U297" s="136"/>
      <c r="V297" s="137">
        <f>(Tabla1[[#This Row],[COS.BASE 3]]*0.25+Tabla1[[#This Row],[COS.BASE 3]])*Tabla1[[#This Row],[HORAS 25 % ]]</f>
        <v>0</v>
      </c>
      <c r="W297" s="138">
        <f>(Tabla1[[#This Row],[COS.BASE 3]]*0.35+Tabla1[[#This Row],[COS.BASE 3]])*Tabla1[[#This Row],[HORAS 35% ]]</f>
        <v>0</v>
      </c>
      <c r="X297" s="138">
        <f>SUM(Tabla1[[#This Row],[C.HORA.35]],Tabla1[[#This Row],[C.HORA.25]])</f>
        <v>0</v>
      </c>
      <c r="Y297" s="4"/>
      <c r="Z297" s="10">
        <f>Tabla1[[#This Row],[T.HORAS]]*24</f>
        <v>9.9999999999999982</v>
      </c>
      <c r="AA297" s="4">
        <f>Tabla1[[#This Row],[H.NORMALES]]*24</f>
        <v>9</v>
      </c>
      <c r="AB297" s="10">
        <f>Tabla1[[#This Row],[H.EXTRAS]]*24</f>
        <v>0.99999999999999778</v>
      </c>
      <c r="AC297" s="105">
        <f t="shared" si="15"/>
        <v>47.73</v>
      </c>
      <c r="AD297" s="120">
        <f>Tabla1[[#This Row],[COS.BASE 2]]/8</f>
        <v>5.9662499999999996</v>
      </c>
      <c r="AE297" s="105">
        <f>Tabla1[[#This Row],[CST_H_E]]+Tabla1[[#This Row],[COS.BASE 2]]</f>
        <v>47.73</v>
      </c>
      <c r="AF297" s="106">
        <f>+_xlfn.IFNA(INDEX(RUBRO!$W$2:$AA$732,MATCH(Tabla1[[#This Row],[FECHA ]],RUBRO!$W$2:$W$732,0),5)," ")</f>
        <v>0</v>
      </c>
      <c r="AG297" s="10">
        <f>+_xlfn.IFNA(INDEX(RUBRO!$W$2:$AA$732,MATCH(Tabla1[[#This Row],[FECHA ]],RUBRO!$W$2:$W$732,0),2)," ")</f>
        <v>0</v>
      </c>
      <c r="AH297" s="40">
        <f>IFERROR(Tabla1[[#This Row],[F]]*Tabla1[[#This Row],[COS.B+E]]," ")</f>
        <v>0</v>
      </c>
      <c r="AI297" s="40">
        <f>IFERROR(Tabla1[[#This Row],[COS.B+E]]*Tabla1[[#This Row],[D]]," ")</f>
        <v>0</v>
      </c>
      <c r="AJ297" s="40" t="str">
        <f>IFERROR(Tabla1[[#This Row],[F]]*#REF!," ")</f>
        <v xml:space="preserve"> </v>
      </c>
      <c r="AK297" s="40" t="str">
        <f>IFERROR(#REF!*Tabla1[[#This Row],[D]]," ")</f>
        <v xml:space="preserve"> </v>
      </c>
      <c r="AL297" s="103"/>
      <c r="AM297" s="103"/>
      <c r="AN297" s="103"/>
      <c r="AO297" s="38">
        <f>+Tabla1[[#This Row],[COS.B+E]]+Tabla1[[#This Row],[COS.F1]]+Tabla1[[#This Row],[COS.D1]]+Tabla1[[#This Row],[ALIMENTACION]]+Tabla1[[#This Row],[PRESTAMO]]+AN297</f>
        <v>47.73</v>
      </c>
      <c r="AP297" s="38" t="e">
        <f>+#REF!+Tabla1[[#This Row],[COS F2]]+Tabla1[[#This Row],[COS D2]]+Tabla1[[#This Row],[ALIMENTACION]]+Tabla1[[#This Row],[PRESTAMO]]+Tabla1[[#This Row],[PASAJES]]</f>
        <v>#REF!</v>
      </c>
    </row>
    <row r="298" spans="1:42" x14ac:dyDescent="0.25">
      <c r="A298" s="2" t="str">
        <f>TEXT(Tabla1[[#This Row],[FECHA ]],"DDDDD")</f>
        <v>miércoles</v>
      </c>
      <c r="B298" s="2" t="str">
        <f>_xlfn.IFNA(VLOOKUP(Tabla1[[#This Row],[DESTINO]],RUBRO!$Q$1:$R$9996,2,FALSE)," ")</f>
        <v>OBRA</v>
      </c>
      <c r="C298" s="104">
        <f>WEEKNUM(Tabla1[[#This Row],[FECHA ]],2)</f>
        <v>20</v>
      </c>
      <c r="D298" s="104" t="str">
        <f>TEXT(Tabla1[[#This Row],[FECHA ]],"MMM-YY")</f>
        <v>may-YY</v>
      </c>
      <c r="E298" s="104" t="str">
        <f>VLOOKUP(Tabla1[[#This Row],[DNI ]],RUBRO!$F$1:$O$9996,7,FALSE)</f>
        <v>5ta</v>
      </c>
      <c r="F298" s="104" t="str">
        <f>VLOOKUP(Tabla1[[#This Row],[DNI ]],RUBRO!$F$1:$O$88,3,FALSE)</f>
        <v>TEC-05</v>
      </c>
      <c r="G298" s="104" t="str">
        <f>VLOOKUP(Tabla1[[#This Row],[DNI ]],RUBRO!$F$1:$O$9996,5,FALSE)</f>
        <v>TECNICO MECANICO MONTAJISTA DE NAVE INDUSTRIAL</v>
      </c>
      <c r="H298" s="66" t="str">
        <f>VLOOKUP(Tabla1[[#This Row],[DNI ]],RUBRO!$F$1:$O$9996,6,FALSE)</f>
        <v>CAVERO ANCAJIMA JHONATAN</v>
      </c>
      <c r="I298" s="94">
        <v>44328</v>
      </c>
      <c r="J298" s="10">
        <v>2</v>
      </c>
      <c r="K298" s="2">
        <v>48237026</v>
      </c>
      <c r="L298" s="4">
        <f>VLOOKUP(Tabla1[[#This Row],[DNI ]],RUBRO!$F$2:$O$9996,8,FALSE)</f>
        <v>52.2</v>
      </c>
      <c r="M298" s="88">
        <v>0.29166666666666669</v>
      </c>
      <c r="N298" s="28">
        <v>0.54166666666666663</v>
      </c>
      <c r="O298" s="28">
        <v>0.58333333333333337</v>
      </c>
      <c r="P298" s="28">
        <v>0.75</v>
      </c>
      <c r="Q298" s="31">
        <f>(Tabla1[[#This Row],[SALIDA]]-Tabla1[[#This Row],[FIN ]])+(Tabla1[[#This Row],[INICIO]]-Tabla1[[#This Row],[INGRESO]])</f>
        <v>0.41666666666666657</v>
      </c>
      <c r="R298" s="13">
        <f t="shared" si="13"/>
        <v>0.33333333333333331</v>
      </c>
      <c r="S298" s="31">
        <f t="shared" si="14"/>
        <v>8.3333333333333259E-2</v>
      </c>
      <c r="T298" s="136"/>
      <c r="U298" s="136"/>
      <c r="V298" s="137">
        <f>(Tabla1[[#This Row],[COS.BASE 3]]*0.25+Tabla1[[#This Row],[COS.BASE 3]])*Tabla1[[#This Row],[HORAS 25 % ]]</f>
        <v>0</v>
      </c>
      <c r="W298" s="138">
        <f>(Tabla1[[#This Row],[COS.BASE 3]]*0.35+Tabla1[[#This Row],[COS.BASE 3]])*Tabla1[[#This Row],[HORAS 35% ]]</f>
        <v>0</v>
      </c>
      <c r="X298" s="138">
        <f>SUM(Tabla1[[#This Row],[C.HORA.35]],Tabla1[[#This Row],[C.HORA.25]])</f>
        <v>0</v>
      </c>
      <c r="Y298" s="4"/>
      <c r="Z298" s="10">
        <f>Tabla1[[#This Row],[T.HORAS]]*24</f>
        <v>9.9999999999999982</v>
      </c>
      <c r="AA298" s="4">
        <f>Tabla1[[#This Row],[H.NORMALES]]*24</f>
        <v>8</v>
      </c>
      <c r="AB298" s="10">
        <f>Tabla1[[#This Row],[H.EXTRAS]]*24</f>
        <v>1.9999999999999982</v>
      </c>
      <c r="AC298" s="105">
        <f t="shared" si="15"/>
        <v>52.2</v>
      </c>
      <c r="AD298" s="120">
        <f>Tabla1[[#This Row],[COS.BASE 2]]/8</f>
        <v>6.5250000000000004</v>
      </c>
      <c r="AE298" s="105">
        <f>Tabla1[[#This Row],[CST_H_E]]+Tabla1[[#This Row],[COS.BASE 2]]</f>
        <v>52.2</v>
      </c>
      <c r="AF298" s="106">
        <f>+_xlfn.IFNA(INDEX(RUBRO!$W$2:$AA$732,MATCH(Tabla1[[#This Row],[FECHA ]],RUBRO!$W$2:$W$732,0),5)," ")</f>
        <v>0</v>
      </c>
      <c r="AG298" s="10">
        <f>+_xlfn.IFNA(INDEX(RUBRO!$W$2:$AA$732,MATCH(Tabla1[[#This Row],[FECHA ]],RUBRO!$W$2:$W$732,0),2)," ")</f>
        <v>0</v>
      </c>
      <c r="AH298" s="40">
        <f>IFERROR(Tabla1[[#This Row],[F]]*Tabla1[[#This Row],[COS.B+E]]," ")</f>
        <v>0</v>
      </c>
      <c r="AI298" s="40">
        <f>IFERROR(Tabla1[[#This Row],[COS.B+E]]*Tabla1[[#This Row],[D]]," ")</f>
        <v>0</v>
      </c>
      <c r="AJ298" s="40" t="str">
        <f>IFERROR(Tabla1[[#This Row],[F]]*#REF!," ")</f>
        <v xml:space="preserve"> </v>
      </c>
      <c r="AK298" s="40" t="str">
        <f>IFERROR(#REF!*Tabla1[[#This Row],[D]]," ")</f>
        <v xml:space="preserve"> </v>
      </c>
      <c r="AL298" s="103"/>
      <c r="AM298" s="103"/>
      <c r="AN298" s="103"/>
      <c r="AO298" s="38">
        <f>+Tabla1[[#This Row],[COS.B+E]]+Tabla1[[#This Row],[COS.F1]]+Tabla1[[#This Row],[COS.D1]]+Tabla1[[#This Row],[ALIMENTACION]]+Tabla1[[#This Row],[PRESTAMO]]+AN298</f>
        <v>52.2</v>
      </c>
      <c r="AP298" s="38" t="e">
        <f>+#REF!+Tabla1[[#This Row],[COS F2]]+Tabla1[[#This Row],[COS D2]]+Tabla1[[#This Row],[ALIMENTACION]]+Tabla1[[#This Row],[PRESTAMO]]+Tabla1[[#This Row],[PASAJES]]</f>
        <v>#REF!</v>
      </c>
    </row>
    <row r="299" spans="1:42" x14ac:dyDescent="0.25">
      <c r="A299" s="2" t="str">
        <f>TEXT(Tabla1[[#This Row],[FECHA ]],"DDDDD")</f>
        <v>miércoles</v>
      </c>
      <c r="B299" s="2" t="str">
        <f>_xlfn.IFNA(VLOOKUP(Tabla1[[#This Row],[DESTINO]],RUBRO!$Q$1:$R$9996,2,FALSE)," ")</f>
        <v>OBRA</v>
      </c>
      <c r="C299" s="104">
        <f>WEEKNUM(Tabla1[[#This Row],[FECHA ]],2)</f>
        <v>20</v>
      </c>
      <c r="D299" s="104" t="str">
        <f>TEXT(Tabla1[[#This Row],[FECHA ]],"MMM-YY")</f>
        <v>may-YY</v>
      </c>
      <c r="E299" s="104" t="str">
        <f>VLOOKUP(Tabla1[[#This Row],[DNI ]],RUBRO!$F$1:$O$9996,7,FALSE)</f>
        <v>5ta</v>
      </c>
      <c r="F299" s="104" t="str">
        <f>VLOOKUP(Tabla1[[#This Row],[DNI ]],RUBRO!$F$1:$O$88,3,FALSE)</f>
        <v>TECME-03</v>
      </c>
      <c r="G299" s="104" t="str">
        <f>VLOOKUP(Tabla1[[#This Row],[DNI ]],RUBRO!$F$1:$O$9996,5,FALSE)</f>
        <v>TECNICO ELECTRICO MONTAJISTA DE MAQUINARIA EXTRANJERA</v>
      </c>
      <c r="H299" s="66" t="str">
        <f>VLOOKUP(Tabla1[[#This Row],[DNI ]],RUBRO!$F$1:$O$9996,6,FALSE)</f>
        <v>CHAQUILA JIMENEZ VICTOR JHEYNER</v>
      </c>
      <c r="I299" s="94">
        <v>44328</v>
      </c>
      <c r="J299" s="10">
        <v>2</v>
      </c>
      <c r="K299" s="2">
        <v>47055982</v>
      </c>
      <c r="L299" s="4">
        <f>VLOOKUP(Tabla1[[#This Row],[DNI ]],RUBRO!$F$2:$O$9996,8,FALSE)</f>
        <v>73.72</v>
      </c>
      <c r="M299" s="88">
        <v>0</v>
      </c>
      <c r="N299" s="28">
        <v>0.54166666666666663</v>
      </c>
      <c r="O299" s="28">
        <v>0.625</v>
      </c>
      <c r="P299" s="28">
        <v>0.83333333333333337</v>
      </c>
      <c r="Q299" s="31">
        <f>(Tabla1[[#This Row],[SALIDA]]-Tabla1[[#This Row],[FIN ]])+(Tabla1[[#This Row],[INICIO]]-Tabla1[[#This Row],[INGRESO]])</f>
        <v>0.75</v>
      </c>
      <c r="R299" s="13">
        <f t="shared" si="13"/>
        <v>0.33333333333333331</v>
      </c>
      <c r="S299" s="31">
        <f t="shared" si="14"/>
        <v>0.41666666666666669</v>
      </c>
      <c r="T299" s="136"/>
      <c r="U299" s="136"/>
      <c r="V299" s="137">
        <f>(Tabla1[[#This Row],[COS.BASE 3]]*0.25+Tabla1[[#This Row],[COS.BASE 3]])*Tabla1[[#This Row],[HORAS 25 % ]]</f>
        <v>0</v>
      </c>
      <c r="W299" s="138">
        <f>(Tabla1[[#This Row],[COS.BASE 3]]*0.35+Tabla1[[#This Row],[COS.BASE 3]])*Tabla1[[#This Row],[HORAS 35% ]]</f>
        <v>0</v>
      </c>
      <c r="X299" s="138">
        <f>SUM(Tabla1[[#This Row],[C.HORA.35]],Tabla1[[#This Row],[C.HORA.25]])</f>
        <v>0</v>
      </c>
      <c r="Y299" s="4"/>
      <c r="Z299" s="10">
        <f>Tabla1[[#This Row],[T.HORAS]]*24</f>
        <v>18</v>
      </c>
      <c r="AA299" s="4">
        <f>Tabla1[[#This Row],[H.NORMALES]]*24</f>
        <v>8</v>
      </c>
      <c r="AB299" s="10">
        <f>Tabla1[[#This Row],[H.EXTRAS]]*24</f>
        <v>10</v>
      </c>
      <c r="AC299" s="105">
        <f t="shared" si="15"/>
        <v>73.72</v>
      </c>
      <c r="AD299" s="120">
        <f>Tabla1[[#This Row],[COS.BASE 2]]/8</f>
        <v>9.2149999999999999</v>
      </c>
      <c r="AE299" s="105">
        <f>Tabla1[[#This Row],[CST_H_E]]+Tabla1[[#This Row],[COS.BASE 2]]</f>
        <v>73.72</v>
      </c>
      <c r="AF299" s="106">
        <f>+_xlfn.IFNA(INDEX(RUBRO!$W$2:$AA$732,MATCH(Tabla1[[#This Row],[FECHA ]],RUBRO!$W$2:$W$732,0),5)," ")</f>
        <v>0</v>
      </c>
      <c r="AG299" s="10">
        <f>+_xlfn.IFNA(INDEX(RUBRO!$W$2:$AA$732,MATCH(Tabla1[[#This Row],[FECHA ]],RUBRO!$W$2:$W$732,0),2)," ")</f>
        <v>0</v>
      </c>
      <c r="AH299" s="40">
        <f>IFERROR(Tabla1[[#This Row],[F]]*Tabla1[[#This Row],[COS.B+E]]," ")</f>
        <v>0</v>
      </c>
      <c r="AI299" s="40">
        <f>IFERROR(Tabla1[[#This Row],[COS.B+E]]*Tabla1[[#This Row],[D]]," ")</f>
        <v>0</v>
      </c>
      <c r="AJ299" s="40" t="str">
        <f>IFERROR(Tabla1[[#This Row],[F]]*#REF!," ")</f>
        <v xml:space="preserve"> </v>
      </c>
      <c r="AK299" s="40" t="str">
        <f>IFERROR(#REF!*Tabla1[[#This Row],[D]]," ")</f>
        <v xml:space="preserve"> </v>
      </c>
      <c r="AL299" s="103"/>
      <c r="AM299" s="103"/>
      <c r="AN299" s="103"/>
      <c r="AO299" s="38">
        <f>+Tabla1[[#This Row],[COS.B+E]]+Tabla1[[#This Row],[COS.F1]]+Tabla1[[#This Row],[COS.D1]]+Tabla1[[#This Row],[ALIMENTACION]]+Tabla1[[#This Row],[PRESTAMO]]+AN299</f>
        <v>73.72</v>
      </c>
      <c r="AP299" s="38" t="e">
        <f>+#REF!+Tabla1[[#This Row],[COS F2]]+Tabla1[[#This Row],[COS D2]]+Tabla1[[#This Row],[ALIMENTACION]]+Tabla1[[#This Row],[PRESTAMO]]+Tabla1[[#This Row],[PASAJES]]</f>
        <v>#REF!</v>
      </c>
    </row>
    <row r="300" spans="1:42" x14ac:dyDescent="0.25">
      <c r="A300" s="2" t="str">
        <f>TEXT(Tabla1[[#This Row],[FECHA ]],"DDDDD")</f>
        <v>miércoles</v>
      </c>
      <c r="B300" s="2" t="str">
        <f>_xlfn.IFNA(VLOOKUP(Tabla1[[#This Row],[DESTINO]],RUBRO!$Q$1:$R$9996,2,FALSE)," ")</f>
        <v>OBRA</v>
      </c>
      <c r="C300" s="104">
        <f>WEEKNUM(Tabla1[[#This Row],[FECHA ]],2)</f>
        <v>20</v>
      </c>
      <c r="D300" s="104" t="str">
        <f>TEXT(Tabla1[[#This Row],[FECHA ]],"MMM-YY")</f>
        <v>may-YY</v>
      </c>
      <c r="E300" s="104" t="str">
        <f>VLOOKUP(Tabla1[[#This Row],[DNI ]],RUBRO!$F$1:$O$9996,7,FALSE)</f>
        <v>5ta</v>
      </c>
      <c r="F300" s="104" t="e">
        <f>VLOOKUP(Tabla1[[#This Row],[DNI ]],RUBRO!$F$1:$O$88,3,FALSE)</f>
        <v>#N/A</v>
      </c>
      <c r="G300" s="104" t="str">
        <f>VLOOKUP(Tabla1[[#This Row],[DNI ]],RUBRO!$F$1:$O$9996,5,FALSE)</f>
        <v>AYUDANTE DE PRODUCCION</v>
      </c>
      <c r="H300" s="66" t="str">
        <f>VLOOKUP(Tabla1[[#This Row],[DNI ]],RUBRO!$F$1:$O$9996,6,FALSE)</f>
        <v>COPIA BALDERA NILSON</v>
      </c>
      <c r="I300" s="94">
        <v>44328</v>
      </c>
      <c r="J300" s="10">
        <v>2</v>
      </c>
      <c r="K300" s="2">
        <v>48359730</v>
      </c>
      <c r="L300" s="4">
        <f>VLOOKUP(Tabla1[[#This Row],[DNI ]],RUBRO!$F$2:$O$9996,8,FALSE)</f>
        <v>55</v>
      </c>
      <c r="M300" s="88">
        <v>0.29166666666666669</v>
      </c>
      <c r="N300" s="28">
        <v>0.54166666666666663</v>
      </c>
      <c r="O300" s="28">
        <v>0.58333333333333337</v>
      </c>
      <c r="P300" s="28">
        <v>0.75</v>
      </c>
      <c r="Q300" s="31">
        <f>(Tabla1[[#This Row],[SALIDA]]-Tabla1[[#This Row],[FIN ]])+(Tabla1[[#This Row],[INICIO]]-Tabla1[[#This Row],[INGRESO]])</f>
        <v>0.41666666666666657</v>
      </c>
      <c r="R300" s="13">
        <f t="shared" si="13"/>
        <v>0.33333333333333331</v>
      </c>
      <c r="S300" s="31">
        <f t="shared" si="14"/>
        <v>8.3333333333333259E-2</v>
      </c>
      <c r="T300" s="136"/>
      <c r="U300" s="136"/>
      <c r="V300" s="137">
        <f>(Tabla1[[#This Row],[COS.BASE 3]]*0.25+Tabla1[[#This Row],[COS.BASE 3]])*Tabla1[[#This Row],[HORAS 25 % ]]</f>
        <v>0</v>
      </c>
      <c r="W300" s="138">
        <f>(Tabla1[[#This Row],[COS.BASE 3]]*0.35+Tabla1[[#This Row],[COS.BASE 3]])*Tabla1[[#This Row],[HORAS 35% ]]</f>
        <v>0</v>
      </c>
      <c r="X300" s="138">
        <f>SUM(Tabla1[[#This Row],[C.HORA.35]],Tabla1[[#This Row],[C.HORA.25]])</f>
        <v>0</v>
      </c>
      <c r="Y300" s="4"/>
      <c r="Z300" s="10">
        <f>Tabla1[[#This Row],[T.HORAS]]*24</f>
        <v>9.9999999999999982</v>
      </c>
      <c r="AA300" s="4">
        <f>Tabla1[[#This Row],[H.NORMALES]]*24</f>
        <v>8</v>
      </c>
      <c r="AB300" s="10">
        <f>Tabla1[[#This Row],[H.EXTRAS]]*24</f>
        <v>1.9999999999999982</v>
      </c>
      <c r="AC300" s="105">
        <f t="shared" si="15"/>
        <v>55</v>
      </c>
      <c r="AD300" s="120">
        <f>Tabla1[[#This Row],[COS.BASE 2]]/8</f>
        <v>6.875</v>
      </c>
      <c r="AE300" s="105">
        <f>Tabla1[[#This Row],[CST_H_E]]+Tabla1[[#This Row],[COS.BASE 2]]</f>
        <v>55</v>
      </c>
      <c r="AF300" s="106">
        <f>+_xlfn.IFNA(INDEX(RUBRO!$W$2:$AA$732,MATCH(Tabla1[[#This Row],[FECHA ]],RUBRO!$W$2:$W$732,0),5)," ")</f>
        <v>0</v>
      </c>
      <c r="AG300" s="10">
        <f>+_xlfn.IFNA(INDEX(RUBRO!$W$2:$AA$732,MATCH(Tabla1[[#This Row],[FECHA ]],RUBRO!$W$2:$W$732,0),2)," ")</f>
        <v>0</v>
      </c>
      <c r="AH300" s="40">
        <f>IFERROR(Tabla1[[#This Row],[F]]*Tabla1[[#This Row],[COS.B+E]]," ")</f>
        <v>0</v>
      </c>
      <c r="AI300" s="40">
        <f>IFERROR(Tabla1[[#This Row],[COS.B+E]]*Tabla1[[#This Row],[D]]," ")</f>
        <v>0</v>
      </c>
      <c r="AJ300" s="40" t="str">
        <f>IFERROR(Tabla1[[#This Row],[F]]*#REF!," ")</f>
        <v xml:space="preserve"> </v>
      </c>
      <c r="AK300" s="40" t="str">
        <f>IFERROR(#REF!*Tabla1[[#This Row],[D]]," ")</f>
        <v xml:space="preserve"> </v>
      </c>
      <c r="AL300" s="103"/>
      <c r="AM300" s="103"/>
      <c r="AN300" s="103"/>
      <c r="AO300" s="38">
        <f>+Tabla1[[#This Row],[COS.B+E]]+Tabla1[[#This Row],[COS.F1]]+Tabla1[[#This Row],[COS.D1]]+Tabla1[[#This Row],[ALIMENTACION]]+Tabla1[[#This Row],[PRESTAMO]]+AN300</f>
        <v>55</v>
      </c>
      <c r="AP300" s="38" t="e">
        <f>+#REF!+Tabla1[[#This Row],[COS F2]]+Tabla1[[#This Row],[COS D2]]+Tabla1[[#This Row],[ALIMENTACION]]+Tabla1[[#This Row],[PRESTAMO]]+Tabla1[[#This Row],[PASAJES]]</f>
        <v>#REF!</v>
      </c>
    </row>
    <row r="301" spans="1:42" x14ac:dyDescent="0.25">
      <c r="A301" s="2" t="str">
        <f>TEXT(Tabla1[[#This Row],[FECHA ]],"DDDDD")</f>
        <v>miércoles</v>
      </c>
      <c r="B301" s="2" t="str">
        <f>_xlfn.IFNA(VLOOKUP(Tabla1[[#This Row],[DESTINO]],RUBRO!$Q$1:$R$9996,2,FALSE)," ")</f>
        <v>PLANTA</v>
      </c>
      <c r="C301" s="104">
        <f>WEEKNUM(Tabla1[[#This Row],[FECHA ]],2)</f>
        <v>20</v>
      </c>
      <c r="D301" s="104" t="str">
        <f>TEXT(Tabla1[[#This Row],[FECHA ]],"MMM-YY")</f>
        <v>may-YY</v>
      </c>
      <c r="E301" s="104" t="str">
        <f>VLOOKUP(Tabla1[[#This Row],[DNI ]],RUBRO!$F$1:$O$9996,7,FALSE)</f>
        <v>5ta</v>
      </c>
      <c r="F301" s="104" t="str">
        <f>VLOOKUP(Tabla1[[#This Row],[DNI ]],RUBRO!$F$1:$O$88,3,FALSE)</f>
        <v>OPE-01</v>
      </c>
      <c r="G301" s="104" t="str">
        <f>VLOOKUP(Tabla1[[#This Row],[DNI ]],RUBRO!$F$1:$O$9996,5,FALSE)</f>
        <v>OPERARIO SOLDADOR</v>
      </c>
      <c r="H301" s="66" t="str">
        <f>VLOOKUP(Tabla1[[#This Row],[DNI ]],RUBRO!$F$1:$O$9996,6,FALSE)</f>
        <v>CORDOVA OJEDA JHON GIAMPIERRE</v>
      </c>
      <c r="I301" s="94">
        <v>44328</v>
      </c>
      <c r="J301" s="10">
        <v>1</v>
      </c>
      <c r="K301" s="2">
        <v>74359947</v>
      </c>
      <c r="L301" s="4">
        <f>VLOOKUP(Tabla1[[#This Row],[DNI ]],RUBRO!$F$2:$O$9996,8,FALSE)</f>
        <v>57.62</v>
      </c>
      <c r="M301" s="88">
        <v>0.29166666666666669</v>
      </c>
      <c r="N301" s="28">
        <v>0.54166666666666663</v>
      </c>
      <c r="O301" s="28">
        <v>0.58333333333333337</v>
      </c>
      <c r="P301" s="28">
        <v>0.79166666666666663</v>
      </c>
      <c r="Q301" s="31">
        <f>(Tabla1[[#This Row],[SALIDA]]-Tabla1[[#This Row],[FIN ]])+(Tabla1[[#This Row],[INICIO]]-Tabla1[[#This Row],[INGRESO]])</f>
        <v>0.4583333333333332</v>
      </c>
      <c r="R301" s="13">
        <f t="shared" si="13"/>
        <v>0.375</v>
      </c>
      <c r="S301" s="31">
        <f t="shared" si="14"/>
        <v>8.3333333333333204E-2</v>
      </c>
      <c r="T301" s="136"/>
      <c r="U301" s="136"/>
      <c r="V301" s="137">
        <f>(Tabla1[[#This Row],[COS.BASE 3]]*0.25+Tabla1[[#This Row],[COS.BASE 3]])*Tabla1[[#This Row],[HORAS 25 % ]]</f>
        <v>0</v>
      </c>
      <c r="W301" s="138">
        <f>(Tabla1[[#This Row],[COS.BASE 3]]*0.35+Tabla1[[#This Row],[COS.BASE 3]])*Tabla1[[#This Row],[HORAS 35% ]]</f>
        <v>0</v>
      </c>
      <c r="X301" s="138">
        <f>SUM(Tabla1[[#This Row],[C.HORA.35]],Tabla1[[#This Row],[C.HORA.25]])</f>
        <v>0</v>
      </c>
      <c r="Y301" s="4"/>
      <c r="Z301" s="10">
        <f>Tabla1[[#This Row],[T.HORAS]]*24</f>
        <v>10.999999999999996</v>
      </c>
      <c r="AA301" s="4">
        <f>Tabla1[[#This Row],[H.NORMALES]]*24</f>
        <v>9</v>
      </c>
      <c r="AB301" s="10">
        <f>Tabla1[[#This Row],[H.EXTRAS]]*24</f>
        <v>1.9999999999999969</v>
      </c>
      <c r="AC301" s="105">
        <f t="shared" si="15"/>
        <v>57.62</v>
      </c>
      <c r="AD301" s="120">
        <f>Tabla1[[#This Row],[COS.BASE 2]]/8</f>
        <v>7.2024999999999997</v>
      </c>
      <c r="AE301" s="105">
        <f>Tabla1[[#This Row],[CST_H_E]]+Tabla1[[#This Row],[COS.BASE 2]]</f>
        <v>57.62</v>
      </c>
      <c r="AF301" s="106">
        <f>+_xlfn.IFNA(INDEX(RUBRO!$W$2:$AA$732,MATCH(Tabla1[[#This Row],[FECHA ]],RUBRO!$W$2:$W$732,0),5)," ")</f>
        <v>0</v>
      </c>
      <c r="AG301" s="10">
        <f>+_xlfn.IFNA(INDEX(RUBRO!$W$2:$AA$732,MATCH(Tabla1[[#This Row],[FECHA ]],RUBRO!$W$2:$W$732,0),2)," ")</f>
        <v>0</v>
      </c>
      <c r="AH301" s="40">
        <f>IFERROR(Tabla1[[#This Row],[F]]*Tabla1[[#This Row],[COS.B+E]]," ")</f>
        <v>0</v>
      </c>
      <c r="AI301" s="40">
        <f>IFERROR(Tabla1[[#This Row],[COS.B+E]]*Tabla1[[#This Row],[D]]," ")</f>
        <v>0</v>
      </c>
      <c r="AJ301" s="40" t="str">
        <f>IFERROR(Tabla1[[#This Row],[F]]*#REF!," ")</f>
        <v xml:space="preserve"> </v>
      </c>
      <c r="AK301" s="40" t="str">
        <f>IFERROR(#REF!*Tabla1[[#This Row],[D]]," ")</f>
        <v xml:space="preserve"> </v>
      </c>
      <c r="AL301" s="103"/>
      <c r="AM301" s="103"/>
      <c r="AN301" s="103"/>
      <c r="AO301" s="38">
        <f>+Tabla1[[#This Row],[COS.B+E]]+Tabla1[[#This Row],[COS.F1]]+Tabla1[[#This Row],[COS.D1]]+Tabla1[[#This Row],[ALIMENTACION]]+Tabla1[[#This Row],[PRESTAMO]]+AN301</f>
        <v>57.62</v>
      </c>
      <c r="AP301" s="38" t="e">
        <f>+#REF!+Tabla1[[#This Row],[COS F2]]+Tabla1[[#This Row],[COS D2]]+Tabla1[[#This Row],[ALIMENTACION]]+Tabla1[[#This Row],[PRESTAMO]]+Tabla1[[#This Row],[PASAJES]]</f>
        <v>#REF!</v>
      </c>
    </row>
    <row r="302" spans="1:42" x14ac:dyDescent="0.25">
      <c r="A302" s="2" t="str">
        <f>TEXT(Tabla1[[#This Row],[FECHA ]],"DDDDD")</f>
        <v>miércoles</v>
      </c>
      <c r="B302" s="2" t="str">
        <f>_xlfn.IFNA(VLOOKUP(Tabla1[[#This Row],[DESTINO]],RUBRO!$Q$1:$R$9996,2,FALSE)," ")</f>
        <v>PLANTA</v>
      </c>
      <c r="C302" s="104">
        <f>WEEKNUM(Tabla1[[#This Row],[FECHA ]],2)</f>
        <v>20</v>
      </c>
      <c r="D302" s="104" t="str">
        <f>TEXT(Tabla1[[#This Row],[FECHA ]],"MMM-YY")</f>
        <v>may-YY</v>
      </c>
      <c r="E302" s="104" t="str">
        <f>VLOOKUP(Tabla1[[#This Row],[DNI ]],RUBRO!$F$1:$O$9996,7,FALSE)</f>
        <v>5ta</v>
      </c>
      <c r="F302" s="104" t="str">
        <f>VLOOKUP(Tabla1[[#This Row],[DNI ]],RUBRO!$F$1:$O$88,3,FALSE)</f>
        <v>TEC-02</v>
      </c>
      <c r="G302" s="104" t="str">
        <f>VLOOKUP(Tabla1[[#This Row],[DNI ]],RUBRO!$F$1:$O$9996,5,FALSE)</f>
        <v>TECNICO MECANICO MONTAJISTA DE MAQUINARIA</v>
      </c>
      <c r="H302" s="66" t="str">
        <f>VLOOKUP(Tabla1[[#This Row],[DNI ]],RUBRO!$F$1:$O$9996,6,FALSE)</f>
        <v>CORREA TORRES NOYLER</v>
      </c>
      <c r="I302" s="94">
        <v>44328</v>
      </c>
      <c r="J302" s="10">
        <v>1</v>
      </c>
      <c r="K302" s="2">
        <v>47321409</v>
      </c>
      <c r="L302" s="4">
        <f>VLOOKUP(Tabla1[[#This Row],[DNI ]],RUBRO!$F$2:$O$9996,8,FALSE)</f>
        <v>65</v>
      </c>
      <c r="M302" s="88">
        <v>0.29166666666666669</v>
      </c>
      <c r="N302" s="28">
        <v>0.54166666666666663</v>
      </c>
      <c r="O302" s="28">
        <v>0.58333333333333337</v>
      </c>
      <c r="P302" s="28">
        <v>0.75</v>
      </c>
      <c r="Q302" s="31">
        <f>(Tabla1[[#This Row],[SALIDA]]-Tabla1[[#This Row],[FIN ]])+(Tabla1[[#This Row],[INICIO]]-Tabla1[[#This Row],[INGRESO]])</f>
        <v>0.41666666666666657</v>
      </c>
      <c r="R302" s="13">
        <f t="shared" si="13"/>
        <v>0.375</v>
      </c>
      <c r="S302" s="31">
        <f t="shared" si="14"/>
        <v>4.1666666666666574E-2</v>
      </c>
      <c r="T302" s="136"/>
      <c r="U302" s="136"/>
      <c r="V302" s="137">
        <f>(Tabla1[[#This Row],[COS.BASE 3]]*0.25+Tabla1[[#This Row],[COS.BASE 3]])*Tabla1[[#This Row],[HORAS 25 % ]]</f>
        <v>0</v>
      </c>
      <c r="W302" s="138">
        <f>(Tabla1[[#This Row],[COS.BASE 3]]*0.35+Tabla1[[#This Row],[COS.BASE 3]])*Tabla1[[#This Row],[HORAS 35% ]]</f>
        <v>0</v>
      </c>
      <c r="X302" s="138">
        <f>SUM(Tabla1[[#This Row],[C.HORA.35]],Tabla1[[#This Row],[C.HORA.25]])</f>
        <v>0</v>
      </c>
      <c r="Y302" s="4"/>
      <c r="Z302" s="10">
        <f>Tabla1[[#This Row],[T.HORAS]]*24</f>
        <v>9.9999999999999982</v>
      </c>
      <c r="AA302" s="4">
        <f>Tabla1[[#This Row],[H.NORMALES]]*24</f>
        <v>9</v>
      </c>
      <c r="AB302" s="10">
        <f>Tabla1[[#This Row],[H.EXTRAS]]*24</f>
        <v>0.99999999999999778</v>
      </c>
      <c r="AC302" s="105">
        <f t="shared" si="15"/>
        <v>65</v>
      </c>
      <c r="AD302" s="120">
        <f>Tabla1[[#This Row],[COS.BASE 2]]/8</f>
        <v>8.125</v>
      </c>
      <c r="AE302" s="105">
        <f>Tabla1[[#This Row],[CST_H_E]]+Tabla1[[#This Row],[COS.BASE 2]]</f>
        <v>65</v>
      </c>
      <c r="AF302" s="106">
        <f>+_xlfn.IFNA(INDEX(RUBRO!$W$2:$AA$732,MATCH(Tabla1[[#This Row],[FECHA ]],RUBRO!$W$2:$W$732,0),5)," ")</f>
        <v>0</v>
      </c>
      <c r="AG302" s="10">
        <f>+_xlfn.IFNA(INDEX(RUBRO!$W$2:$AA$732,MATCH(Tabla1[[#This Row],[FECHA ]],RUBRO!$W$2:$W$732,0),2)," ")</f>
        <v>0</v>
      </c>
      <c r="AH302" s="40">
        <f>IFERROR(Tabla1[[#This Row],[F]]*Tabla1[[#This Row],[COS.B+E]]," ")</f>
        <v>0</v>
      </c>
      <c r="AI302" s="40">
        <f>IFERROR(Tabla1[[#This Row],[COS.B+E]]*Tabla1[[#This Row],[D]]," ")</f>
        <v>0</v>
      </c>
      <c r="AJ302" s="40" t="str">
        <f>IFERROR(Tabla1[[#This Row],[F]]*#REF!," ")</f>
        <v xml:space="preserve"> </v>
      </c>
      <c r="AK302" s="40" t="str">
        <f>IFERROR(#REF!*Tabla1[[#This Row],[D]]," ")</f>
        <v xml:space="preserve"> </v>
      </c>
      <c r="AL302" s="103"/>
      <c r="AM302" s="103"/>
      <c r="AN302" s="103"/>
      <c r="AO302" s="38">
        <f>+Tabla1[[#This Row],[COS.B+E]]+Tabla1[[#This Row],[COS.F1]]+Tabla1[[#This Row],[COS.D1]]+Tabla1[[#This Row],[ALIMENTACION]]+Tabla1[[#This Row],[PRESTAMO]]+AN302</f>
        <v>65</v>
      </c>
      <c r="AP302" s="38" t="e">
        <f>+#REF!+Tabla1[[#This Row],[COS F2]]+Tabla1[[#This Row],[COS D2]]+Tabla1[[#This Row],[ALIMENTACION]]+Tabla1[[#This Row],[PRESTAMO]]+Tabla1[[#This Row],[PASAJES]]</f>
        <v>#REF!</v>
      </c>
    </row>
    <row r="303" spans="1:42" x14ac:dyDescent="0.25">
      <c r="A303" s="2" t="str">
        <f>TEXT(Tabla1[[#This Row],[FECHA ]],"DDDDD")</f>
        <v>miércoles</v>
      </c>
      <c r="B303" s="2" t="str">
        <f>_xlfn.IFNA(VLOOKUP(Tabla1[[#This Row],[DESTINO]],RUBRO!$Q$1:$R$9996,2,FALSE)," ")</f>
        <v>OBRA</v>
      </c>
      <c r="C303" s="104">
        <f>WEEKNUM(Tabla1[[#This Row],[FECHA ]],2)</f>
        <v>20</v>
      </c>
      <c r="D303" s="104" t="str">
        <f>TEXT(Tabla1[[#This Row],[FECHA ]],"MMM-YY")</f>
        <v>may-YY</v>
      </c>
      <c r="E303" s="104" t="str">
        <f>VLOOKUP(Tabla1[[#This Row],[DNI ]],RUBRO!$F$1:$O$9996,7,FALSE)</f>
        <v>5ta</v>
      </c>
      <c r="F303" s="104" t="str">
        <f>VLOOKUP(Tabla1[[#This Row],[DNI ]],RUBRO!$F$1:$O$88,3,FALSE)</f>
        <v>TEC-04</v>
      </c>
      <c r="G303" s="104" t="str">
        <f>VLOOKUP(Tabla1[[#This Row],[DNI ]],RUBRO!$F$1:$O$9996,5,FALSE)</f>
        <v>TECNICO MECANICO MONTAJISTA DE MAQUINARIA EXTRANJERA</v>
      </c>
      <c r="H303" s="66" t="str">
        <f>VLOOKUP(Tabla1[[#This Row],[DNI ]],RUBRO!$F$1:$O$9996,6,FALSE)</f>
        <v>CUYA CAYCHO DANIEL LORENZO</v>
      </c>
      <c r="I303" s="94">
        <v>44328</v>
      </c>
      <c r="J303" s="10">
        <v>2</v>
      </c>
      <c r="K303" s="2">
        <v>70133802</v>
      </c>
      <c r="L303" s="4">
        <f>VLOOKUP(Tabla1[[#This Row],[DNI ]],RUBRO!$F$2:$O$9996,8,FALSE)</f>
        <v>66.92</v>
      </c>
      <c r="M303" s="88">
        <v>0.29166666666666669</v>
      </c>
      <c r="N303" s="28">
        <v>0.54166666666666663</v>
      </c>
      <c r="O303" s="28">
        <v>0.58333333333333337</v>
      </c>
      <c r="P303" s="28">
        <v>0.79166666666666663</v>
      </c>
      <c r="Q303" s="31">
        <f>(Tabla1[[#This Row],[SALIDA]]-Tabla1[[#This Row],[FIN ]])+(Tabla1[[#This Row],[INICIO]]-Tabla1[[#This Row],[INGRESO]])</f>
        <v>0.4583333333333332</v>
      </c>
      <c r="R303" s="13">
        <f t="shared" si="13"/>
        <v>0.33333333333333331</v>
      </c>
      <c r="S303" s="31">
        <f t="shared" si="14"/>
        <v>0.12499999999999989</v>
      </c>
      <c r="T303" s="136"/>
      <c r="U303" s="136"/>
      <c r="V303" s="137">
        <f>(Tabla1[[#This Row],[COS.BASE 3]]*0.25+Tabla1[[#This Row],[COS.BASE 3]])*Tabla1[[#This Row],[HORAS 25 % ]]</f>
        <v>0</v>
      </c>
      <c r="W303" s="138">
        <f>(Tabla1[[#This Row],[COS.BASE 3]]*0.35+Tabla1[[#This Row],[COS.BASE 3]])*Tabla1[[#This Row],[HORAS 35% ]]</f>
        <v>0</v>
      </c>
      <c r="X303" s="138">
        <f>SUM(Tabla1[[#This Row],[C.HORA.35]],Tabla1[[#This Row],[C.HORA.25]])</f>
        <v>0</v>
      </c>
      <c r="Y303" s="4"/>
      <c r="Z303" s="10">
        <f>Tabla1[[#This Row],[T.HORAS]]*24</f>
        <v>10.999999999999996</v>
      </c>
      <c r="AA303" s="4">
        <f>Tabla1[[#This Row],[H.NORMALES]]*24</f>
        <v>8</v>
      </c>
      <c r="AB303" s="10">
        <f>Tabla1[[#This Row],[H.EXTRAS]]*24</f>
        <v>2.9999999999999973</v>
      </c>
      <c r="AC303" s="105">
        <f t="shared" si="15"/>
        <v>66.92</v>
      </c>
      <c r="AD303" s="120">
        <f>Tabla1[[#This Row],[COS.BASE 2]]/8</f>
        <v>8.3650000000000002</v>
      </c>
      <c r="AE303" s="105">
        <f>Tabla1[[#This Row],[CST_H_E]]+Tabla1[[#This Row],[COS.BASE 2]]</f>
        <v>66.92</v>
      </c>
      <c r="AF303" s="106">
        <f>+_xlfn.IFNA(INDEX(RUBRO!$W$2:$AA$732,MATCH(Tabla1[[#This Row],[FECHA ]],RUBRO!$W$2:$W$732,0),5)," ")</f>
        <v>0</v>
      </c>
      <c r="AG303" s="10">
        <f>+_xlfn.IFNA(INDEX(RUBRO!$W$2:$AA$732,MATCH(Tabla1[[#This Row],[FECHA ]],RUBRO!$W$2:$W$732,0),2)," ")</f>
        <v>0</v>
      </c>
      <c r="AH303" s="40">
        <f>IFERROR(Tabla1[[#This Row],[F]]*Tabla1[[#This Row],[COS.B+E]]," ")</f>
        <v>0</v>
      </c>
      <c r="AI303" s="40">
        <f>IFERROR(Tabla1[[#This Row],[COS.B+E]]*Tabla1[[#This Row],[D]]," ")</f>
        <v>0</v>
      </c>
      <c r="AJ303" s="40" t="str">
        <f>IFERROR(Tabla1[[#This Row],[F]]*#REF!," ")</f>
        <v xml:space="preserve"> </v>
      </c>
      <c r="AK303" s="40" t="str">
        <f>IFERROR(#REF!*Tabla1[[#This Row],[D]]," ")</f>
        <v xml:space="preserve"> </v>
      </c>
      <c r="AL303" s="103"/>
      <c r="AM303" s="103"/>
      <c r="AN303" s="103"/>
      <c r="AO303" s="38">
        <f>+Tabla1[[#This Row],[COS.B+E]]+Tabla1[[#This Row],[COS.F1]]+Tabla1[[#This Row],[COS.D1]]+Tabla1[[#This Row],[ALIMENTACION]]+Tabla1[[#This Row],[PRESTAMO]]+AN303</f>
        <v>66.92</v>
      </c>
      <c r="AP303" s="38" t="e">
        <f>+#REF!+Tabla1[[#This Row],[COS F2]]+Tabla1[[#This Row],[COS D2]]+Tabla1[[#This Row],[ALIMENTACION]]+Tabla1[[#This Row],[PRESTAMO]]+Tabla1[[#This Row],[PASAJES]]</f>
        <v>#REF!</v>
      </c>
    </row>
    <row r="304" spans="1:42" x14ac:dyDescent="0.25">
      <c r="A304" s="2" t="str">
        <f>TEXT(Tabla1[[#This Row],[FECHA ]],"DDDDD")</f>
        <v>miércoles</v>
      </c>
      <c r="B304" s="2" t="str">
        <f>_xlfn.IFNA(VLOOKUP(Tabla1[[#This Row],[DESTINO]],RUBRO!$Q$1:$R$9996,2,FALSE)," ")</f>
        <v>FALTA</v>
      </c>
      <c r="C304" s="104">
        <f>WEEKNUM(Tabla1[[#This Row],[FECHA ]],2)</f>
        <v>20</v>
      </c>
      <c r="D304" s="104" t="str">
        <f>TEXT(Tabla1[[#This Row],[FECHA ]],"MMM-YY")</f>
        <v>may-YY</v>
      </c>
      <c r="E304" s="104" t="str">
        <f>VLOOKUP(Tabla1[[#This Row],[DNI ]],RUBRO!$F$1:$O$9996,7,FALSE)</f>
        <v>4ta</v>
      </c>
      <c r="F304" s="104" t="e">
        <f>VLOOKUP(Tabla1[[#This Row],[DNI ]],RUBRO!$F$1:$O$88,3,FALSE)</f>
        <v>#N/A</v>
      </c>
      <c r="G304" s="104" t="str">
        <f>VLOOKUP(Tabla1[[#This Row],[DNI ]],RUBRO!$F$1:$O$9996,5,FALSE)</f>
        <v>TECNICO SOLDADOR</v>
      </c>
      <c r="H304" s="66" t="str">
        <f>VLOOKUP(Tabla1[[#This Row],[DNI ]],RUBRO!$F$1:$O$9996,6,FALSE)</f>
        <v>DAMIAN DAMIAN MIGUEL ANGEL</v>
      </c>
      <c r="I304" s="94">
        <v>44328</v>
      </c>
      <c r="J304" s="10">
        <v>4</v>
      </c>
      <c r="K304" s="2">
        <v>75494335</v>
      </c>
      <c r="L304" s="4">
        <f>VLOOKUP(Tabla1[[#This Row],[DNI ]],RUBRO!$F$2:$O$9996,8,FALSE)</f>
        <v>90</v>
      </c>
      <c r="M304" s="88"/>
      <c r="N304" s="28"/>
      <c r="P304" s="28"/>
      <c r="Q304" s="31">
        <f>(Tabla1[[#This Row],[SALIDA]]-Tabla1[[#This Row],[FIN ]])+(Tabla1[[#This Row],[INICIO]]-Tabla1[[#This Row],[INGRESO]])</f>
        <v>0</v>
      </c>
      <c r="R304" s="13">
        <f t="shared" si="13"/>
        <v>0</v>
      </c>
      <c r="S304" s="31">
        <f t="shared" si="14"/>
        <v>0</v>
      </c>
      <c r="T304" s="136"/>
      <c r="U304" s="136"/>
      <c r="V304" s="137">
        <f>(Tabla1[[#This Row],[COS.BASE 3]]*0.25+Tabla1[[#This Row],[COS.BASE 3]])*Tabla1[[#This Row],[HORAS 25 % ]]</f>
        <v>0</v>
      </c>
      <c r="W304" s="138">
        <f>(Tabla1[[#This Row],[COS.BASE 3]]*0.35+Tabla1[[#This Row],[COS.BASE 3]])*Tabla1[[#This Row],[HORAS 35% ]]</f>
        <v>0</v>
      </c>
      <c r="X304" s="138">
        <f>SUM(Tabla1[[#This Row],[C.HORA.35]],Tabla1[[#This Row],[C.HORA.25]])</f>
        <v>0</v>
      </c>
      <c r="Y304" s="4"/>
      <c r="Z304" s="10">
        <f>Tabla1[[#This Row],[T.HORAS]]*24</f>
        <v>0</v>
      </c>
      <c r="AA304" s="4">
        <f>Tabla1[[#This Row],[H.NORMALES]]*24</f>
        <v>0</v>
      </c>
      <c r="AB304" s="10">
        <f>Tabla1[[#This Row],[H.EXTRAS]]*24</f>
        <v>0</v>
      </c>
      <c r="AC304" s="105">
        <f t="shared" si="15"/>
        <v>0</v>
      </c>
      <c r="AD304" s="120">
        <f>Tabla1[[#This Row],[COS.BASE 2]]/8</f>
        <v>0</v>
      </c>
      <c r="AE304" s="105">
        <f>Tabla1[[#This Row],[CST_H_E]]+Tabla1[[#This Row],[COS.BASE 2]]</f>
        <v>0</v>
      </c>
      <c r="AF304" s="106">
        <f>+_xlfn.IFNA(INDEX(RUBRO!$W$2:$AA$732,MATCH(Tabla1[[#This Row],[FECHA ]],RUBRO!$W$2:$W$732,0),5)," ")</f>
        <v>0</v>
      </c>
      <c r="AG304" s="10">
        <f>+_xlfn.IFNA(INDEX(RUBRO!$W$2:$AA$732,MATCH(Tabla1[[#This Row],[FECHA ]],RUBRO!$W$2:$W$732,0),2)," ")</f>
        <v>0</v>
      </c>
      <c r="AH304" s="40">
        <f>IFERROR(Tabla1[[#This Row],[F]]*Tabla1[[#This Row],[COS.B+E]]," ")</f>
        <v>0</v>
      </c>
      <c r="AI304" s="40">
        <f>IFERROR(Tabla1[[#This Row],[COS.B+E]]*Tabla1[[#This Row],[D]]," ")</f>
        <v>0</v>
      </c>
      <c r="AJ304" s="40" t="str">
        <f>IFERROR(Tabla1[[#This Row],[F]]*#REF!," ")</f>
        <v xml:space="preserve"> </v>
      </c>
      <c r="AK304" s="40" t="str">
        <f>IFERROR(#REF!*Tabla1[[#This Row],[D]]," ")</f>
        <v xml:space="preserve"> </v>
      </c>
      <c r="AL304" s="103"/>
      <c r="AM304" s="103"/>
      <c r="AN304" s="103"/>
      <c r="AO304" s="38">
        <f>+Tabla1[[#This Row],[COS.B+E]]+Tabla1[[#This Row],[COS.F1]]+Tabla1[[#This Row],[COS.D1]]+Tabla1[[#This Row],[ALIMENTACION]]+Tabla1[[#This Row],[PRESTAMO]]+AN304</f>
        <v>0</v>
      </c>
      <c r="AP304" s="38" t="e">
        <f>+#REF!+Tabla1[[#This Row],[COS F2]]+Tabla1[[#This Row],[COS D2]]+Tabla1[[#This Row],[ALIMENTACION]]+Tabla1[[#This Row],[PRESTAMO]]+Tabla1[[#This Row],[PASAJES]]</f>
        <v>#REF!</v>
      </c>
    </row>
    <row r="305" spans="1:42" x14ac:dyDescent="0.25">
      <c r="A305" s="2" t="str">
        <f>TEXT(Tabla1[[#This Row],[FECHA ]],"DDDDD")</f>
        <v>miércoles</v>
      </c>
      <c r="B305" s="2" t="str">
        <f>_xlfn.IFNA(VLOOKUP(Tabla1[[#This Row],[DESTINO]],RUBRO!$Q$1:$R$9996,2,FALSE)," ")</f>
        <v>PLANTA</v>
      </c>
      <c r="C305" s="104">
        <f>WEEKNUM(Tabla1[[#This Row],[FECHA ]],2)</f>
        <v>20</v>
      </c>
      <c r="D305" s="104" t="str">
        <f>TEXT(Tabla1[[#This Row],[FECHA ]],"MMM-YY")</f>
        <v>may-YY</v>
      </c>
      <c r="E305" s="104" t="str">
        <f>VLOOKUP(Tabla1[[#This Row],[DNI ]],RUBRO!$F$1:$O$9996,7,FALSE)</f>
        <v>5ta</v>
      </c>
      <c r="F305" s="104" t="e">
        <f>VLOOKUP(Tabla1[[#This Row],[DNI ]],RUBRO!$F$1:$O$88,3,FALSE)</f>
        <v>#N/A</v>
      </c>
      <c r="G305" s="104" t="str">
        <f>VLOOKUP(Tabla1[[#This Row],[DNI ]],RUBRO!$F$1:$O$9996,5,FALSE)</f>
        <v>AYUDANTE DE PRODUCCION</v>
      </c>
      <c r="H305" s="66" t="str">
        <f>VLOOKUP(Tabla1[[#This Row],[DNI ]],RUBRO!$F$1:$O$9996,6,FALSE)</f>
        <v xml:space="preserve">DELGADO CORONADO ROBERTO </v>
      </c>
      <c r="I305" s="94">
        <v>44328</v>
      </c>
      <c r="J305" s="10">
        <v>1</v>
      </c>
      <c r="K305" s="2">
        <v>76288149</v>
      </c>
      <c r="L305" s="4">
        <f>VLOOKUP(Tabla1[[#This Row],[DNI ]],RUBRO!$F$2:$O$9996,8,FALSE)</f>
        <v>44.32</v>
      </c>
      <c r="M305" s="88">
        <v>0.29166666666666669</v>
      </c>
      <c r="N305" s="28">
        <v>0.54166666666666663</v>
      </c>
      <c r="O305" s="28">
        <v>0.58333333333333337</v>
      </c>
      <c r="P305" s="28">
        <v>0.75</v>
      </c>
      <c r="Q305" s="31">
        <f>(Tabla1[[#This Row],[SALIDA]]-Tabla1[[#This Row],[FIN ]])+(Tabla1[[#This Row],[INICIO]]-Tabla1[[#This Row],[INGRESO]])</f>
        <v>0.41666666666666657</v>
      </c>
      <c r="R305" s="13">
        <f t="shared" si="13"/>
        <v>0.375</v>
      </c>
      <c r="S305" s="31">
        <f t="shared" si="14"/>
        <v>4.1666666666666574E-2</v>
      </c>
      <c r="T305" s="136"/>
      <c r="U305" s="136"/>
      <c r="V305" s="137">
        <f>(Tabla1[[#This Row],[COS.BASE 3]]*0.25+Tabla1[[#This Row],[COS.BASE 3]])*Tabla1[[#This Row],[HORAS 25 % ]]</f>
        <v>0</v>
      </c>
      <c r="W305" s="138">
        <f>(Tabla1[[#This Row],[COS.BASE 3]]*0.35+Tabla1[[#This Row],[COS.BASE 3]])*Tabla1[[#This Row],[HORAS 35% ]]</f>
        <v>0</v>
      </c>
      <c r="X305" s="138">
        <f>SUM(Tabla1[[#This Row],[C.HORA.35]],Tabla1[[#This Row],[C.HORA.25]])</f>
        <v>0</v>
      </c>
      <c r="Y305" s="4"/>
      <c r="Z305" s="10">
        <f>Tabla1[[#This Row],[T.HORAS]]*24</f>
        <v>9.9999999999999982</v>
      </c>
      <c r="AA305" s="4">
        <f>Tabla1[[#This Row],[H.NORMALES]]*24</f>
        <v>9</v>
      </c>
      <c r="AB305" s="10">
        <f>Tabla1[[#This Row],[H.EXTRAS]]*24</f>
        <v>0.99999999999999778</v>
      </c>
      <c r="AC305" s="105">
        <f t="shared" si="15"/>
        <v>44.32</v>
      </c>
      <c r="AD305" s="120">
        <f>Tabla1[[#This Row],[COS.BASE 2]]/8</f>
        <v>5.54</v>
      </c>
      <c r="AE305" s="105">
        <f>Tabla1[[#This Row],[CST_H_E]]+Tabla1[[#This Row],[COS.BASE 2]]</f>
        <v>44.32</v>
      </c>
      <c r="AF305" s="106">
        <f>+_xlfn.IFNA(INDEX(RUBRO!$W$2:$AA$732,MATCH(Tabla1[[#This Row],[FECHA ]],RUBRO!$W$2:$W$732,0),5)," ")</f>
        <v>0</v>
      </c>
      <c r="AG305" s="10">
        <f>+_xlfn.IFNA(INDEX(RUBRO!$W$2:$AA$732,MATCH(Tabla1[[#This Row],[FECHA ]],RUBRO!$W$2:$W$732,0),2)," ")</f>
        <v>0</v>
      </c>
      <c r="AH305" s="40">
        <f>IFERROR(Tabla1[[#This Row],[F]]*Tabla1[[#This Row],[COS.B+E]]," ")</f>
        <v>0</v>
      </c>
      <c r="AI305" s="40">
        <f>IFERROR(Tabla1[[#This Row],[COS.B+E]]*Tabla1[[#This Row],[D]]," ")</f>
        <v>0</v>
      </c>
      <c r="AJ305" s="40" t="str">
        <f>IFERROR(Tabla1[[#This Row],[F]]*#REF!," ")</f>
        <v xml:space="preserve"> </v>
      </c>
      <c r="AK305" s="40" t="str">
        <f>IFERROR(#REF!*Tabla1[[#This Row],[D]]," ")</f>
        <v xml:space="preserve"> </v>
      </c>
      <c r="AL305" s="103"/>
      <c r="AM305" s="103"/>
      <c r="AN305" s="103"/>
      <c r="AO305" s="38">
        <f>+Tabla1[[#This Row],[COS.B+E]]+Tabla1[[#This Row],[COS.F1]]+Tabla1[[#This Row],[COS.D1]]+Tabla1[[#This Row],[ALIMENTACION]]+Tabla1[[#This Row],[PRESTAMO]]+AN305</f>
        <v>44.32</v>
      </c>
      <c r="AP305" s="38" t="e">
        <f>+#REF!+Tabla1[[#This Row],[COS F2]]+Tabla1[[#This Row],[COS D2]]+Tabla1[[#This Row],[ALIMENTACION]]+Tabla1[[#This Row],[PRESTAMO]]+Tabla1[[#This Row],[PASAJES]]</f>
        <v>#REF!</v>
      </c>
    </row>
    <row r="306" spans="1:42" x14ac:dyDescent="0.25">
      <c r="A306" s="2" t="str">
        <f>TEXT(Tabla1[[#This Row],[FECHA ]],"DDDDD")</f>
        <v>miércoles</v>
      </c>
      <c r="B306" s="2" t="str">
        <f>_xlfn.IFNA(VLOOKUP(Tabla1[[#This Row],[DESTINO]],RUBRO!$Q$1:$R$9996,2,FALSE)," ")</f>
        <v>OBRA</v>
      </c>
      <c r="C306" s="104">
        <f>WEEKNUM(Tabla1[[#This Row],[FECHA ]],2)</f>
        <v>20</v>
      </c>
      <c r="D306" s="104" t="str">
        <f>TEXT(Tabla1[[#This Row],[FECHA ]],"MMM-YY")</f>
        <v>may-YY</v>
      </c>
      <c r="E306" s="104" t="str">
        <f>VLOOKUP(Tabla1[[#This Row],[DNI ]],RUBRO!$F$1:$O$9996,7,FALSE)</f>
        <v>5ta</v>
      </c>
      <c r="F306" s="104" t="e">
        <f>VLOOKUP(Tabla1[[#This Row],[DNI ]],RUBRO!$F$1:$O$88,3,FALSE)</f>
        <v>#N/A</v>
      </c>
      <c r="G306" s="104" t="str">
        <f>VLOOKUP(Tabla1[[#This Row],[DNI ]],RUBRO!$F$1:$O$9996,5,FALSE)</f>
        <v>AYUDANTE DE PRODUCCION</v>
      </c>
      <c r="H306" s="66" t="str">
        <f>VLOOKUP(Tabla1[[#This Row],[DNI ]],RUBRO!$F$1:$O$9996,6,FALSE)</f>
        <v>DIAZ CABREJOS KELVIN</v>
      </c>
      <c r="I306" s="94">
        <v>44328</v>
      </c>
      <c r="J306" s="10">
        <v>2</v>
      </c>
      <c r="K306" s="2">
        <v>75809362</v>
      </c>
      <c r="L306" s="4">
        <f>VLOOKUP(Tabla1[[#This Row],[DNI ]],RUBRO!$F$2:$O$9996,8,FALSE)</f>
        <v>65</v>
      </c>
      <c r="M306" s="88">
        <v>0.29166666666666669</v>
      </c>
      <c r="N306" s="28">
        <v>0.54166666666666663</v>
      </c>
      <c r="O306" s="28">
        <v>0.58333333333333337</v>
      </c>
      <c r="P306" s="28">
        <v>0.79166666666666663</v>
      </c>
      <c r="Q306" s="31">
        <f>(Tabla1[[#This Row],[SALIDA]]-Tabla1[[#This Row],[FIN ]])+(Tabla1[[#This Row],[INICIO]]-Tabla1[[#This Row],[INGRESO]])</f>
        <v>0.4583333333333332</v>
      </c>
      <c r="R306" s="13">
        <f t="shared" si="13"/>
        <v>0.33333333333333331</v>
      </c>
      <c r="S306" s="31">
        <f t="shared" si="14"/>
        <v>0.12499999999999989</v>
      </c>
      <c r="T306" s="136"/>
      <c r="U306" s="136"/>
      <c r="V306" s="137">
        <f>(Tabla1[[#This Row],[COS.BASE 3]]*0.25+Tabla1[[#This Row],[COS.BASE 3]])*Tabla1[[#This Row],[HORAS 25 % ]]</f>
        <v>0</v>
      </c>
      <c r="W306" s="138">
        <f>(Tabla1[[#This Row],[COS.BASE 3]]*0.35+Tabla1[[#This Row],[COS.BASE 3]])*Tabla1[[#This Row],[HORAS 35% ]]</f>
        <v>0</v>
      </c>
      <c r="X306" s="138">
        <f>SUM(Tabla1[[#This Row],[C.HORA.35]],Tabla1[[#This Row],[C.HORA.25]])</f>
        <v>0</v>
      </c>
      <c r="Y306" s="4"/>
      <c r="Z306" s="10">
        <f>Tabla1[[#This Row],[T.HORAS]]*24</f>
        <v>10.999999999999996</v>
      </c>
      <c r="AA306" s="4">
        <f>Tabla1[[#This Row],[H.NORMALES]]*24</f>
        <v>8</v>
      </c>
      <c r="AB306" s="10">
        <f>Tabla1[[#This Row],[H.EXTRAS]]*24</f>
        <v>2.9999999999999973</v>
      </c>
      <c r="AC306" s="105">
        <f t="shared" si="15"/>
        <v>65</v>
      </c>
      <c r="AD306" s="120">
        <f>Tabla1[[#This Row],[COS.BASE 2]]/8</f>
        <v>8.125</v>
      </c>
      <c r="AE306" s="105">
        <f>Tabla1[[#This Row],[CST_H_E]]+Tabla1[[#This Row],[COS.BASE 2]]</f>
        <v>65</v>
      </c>
      <c r="AF306" s="106">
        <f>+_xlfn.IFNA(INDEX(RUBRO!$W$2:$AA$732,MATCH(Tabla1[[#This Row],[FECHA ]],RUBRO!$W$2:$W$732,0),5)," ")</f>
        <v>0</v>
      </c>
      <c r="AG306" s="10">
        <f>+_xlfn.IFNA(INDEX(RUBRO!$W$2:$AA$732,MATCH(Tabla1[[#This Row],[FECHA ]],RUBRO!$W$2:$W$732,0),2)," ")</f>
        <v>0</v>
      </c>
      <c r="AH306" s="40">
        <f>IFERROR(Tabla1[[#This Row],[F]]*Tabla1[[#This Row],[COS.B+E]]," ")</f>
        <v>0</v>
      </c>
      <c r="AI306" s="40">
        <f>IFERROR(Tabla1[[#This Row],[COS.B+E]]*Tabla1[[#This Row],[D]]," ")</f>
        <v>0</v>
      </c>
      <c r="AJ306" s="40" t="str">
        <f>IFERROR(Tabla1[[#This Row],[F]]*#REF!," ")</f>
        <v xml:space="preserve"> </v>
      </c>
      <c r="AK306" s="40" t="str">
        <f>IFERROR(#REF!*Tabla1[[#This Row],[D]]," ")</f>
        <v xml:space="preserve"> </v>
      </c>
      <c r="AL306" s="103"/>
      <c r="AM306" s="103"/>
      <c r="AN306" s="103"/>
      <c r="AO306" s="38">
        <f>+Tabla1[[#This Row],[COS.B+E]]+Tabla1[[#This Row],[COS.F1]]+Tabla1[[#This Row],[COS.D1]]+Tabla1[[#This Row],[ALIMENTACION]]+Tabla1[[#This Row],[PRESTAMO]]+AN306</f>
        <v>65</v>
      </c>
      <c r="AP306" s="38" t="e">
        <f>+#REF!+Tabla1[[#This Row],[COS F2]]+Tabla1[[#This Row],[COS D2]]+Tabla1[[#This Row],[ALIMENTACION]]+Tabla1[[#This Row],[PRESTAMO]]+Tabla1[[#This Row],[PASAJES]]</f>
        <v>#REF!</v>
      </c>
    </row>
    <row r="307" spans="1:42" x14ac:dyDescent="0.25">
      <c r="A307" s="2" t="str">
        <f>TEXT(Tabla1[[#This Row],[FECHA ]],"DDDDD")</f>
        <v>miércoles</v>
      </c>
      <c r="B307" s="2" t="str">
        <f>_xlfn.IFNA(VLOOKUP(Tabla1[[#This Row],[DESTINO]],RUBRO!$Q$1:$R$9996,2,FALSE)," ")</f>
        <v>PLANTA</v>
      </c>
      <c r="C307" s="104">
        <f>WEEKNUM(Tabla1[[#This Row],[FECHA ]],2)</f>
        <v>20</v>
      </c>
      <c r="D307" s="104" t="str">
        <f>TEXT(Tabla1[[#This Row],[FECHA ]],"MMM-YY")</f>
        <v>may-YY</v>
      </c>
      <c r="E307" s="104" t="str">
        <f>VLOOKUP(Tabla1[[#This Row],[DNI ]],RUBRO!$F$1:$O$9996,7,FALSE)</f>
        <v>4ta</v>
      </c>
      <c r="F307" s="104" t="str">
        <f>VLOOKUP(Tabla1[[#This Row],[DNI ]],RUBRO!$F$1:$O$88,3,FALSE)</f>
        <v>OPE-01</v>
      </c>
      <c r="G307" s="104" t="str">
        <f>VLOOKUP(Tabla1[[#This Row],[DNI ]],RUBRO!$F$1:$O$9996,5,FALSE)</f>
        <v>OPERARIO SOLDADOR</v>
      </c>
      <c r="H307" s="66" t="str">
        <f>VLOOKUP(Tabla1[[#This Row],[DNI ]],RUBRO!$F$1:$O$9996,6,FALSE)</f>
        <v>ENRIQUEZ GONZALES MIGUEL ANGEL</v>
      </c>
      <c r="I307" s="94">
        <v>44328</v>
      </c>
      <c r="J307" s="10">
        <v>1</v>
      </c>
      <c r="K307" s="2">
        <v>42558469</v>
      </c>
      <c r="L307" s="4">
        <f>VLOOKUP(Tabla1[[#This Row],[DNI ]],RUBRO!$F$2:$O$9996,8,FALSE)</f>
        <v>60</v>
      </c>
      <c r="M307" s="88">
        <v>0.29166666666666669</v>
      </c>
      <c r="N307" s="28">
        <v>0.54166666666666663</v>
      </c>
      <c r="O307" s="28">
        <v>0.58333333333333337</v>
      </c>
      <c r="P307" s="28">
        <v>0.75</v>
      </c>
      <c r="Q307" s="31">
        <f>(Tabla1[[#This Row],[SALIDA]]-Tabla1[[#This Row],[FIN ]])+(Tabla1[[#This Row],[INICIO]]-Tabla1[[#This Row],[INGRESO]])</f>
        <v>0.41666666666666657</v>
      </c>
      <c r="R307" s="13">
        <f t="shared" si="13"/>
        <v>0.375</v>
      </c>
      <c r="S307" s="31">
        <f t="shared" si="14"/>
        <v>4.1666666666666574E-2</v>
      </c>
      <c r="T307" s="136"/>
      <c r="U307" s="136"/>
      <c r="V307" s="137">
        <f>(Tabla1[[#This Row],[COS.BASE 3]]*0.25+Tabla1[[#This Row],[COS.BASE 3]])*Tabla1[[#This Row],[HORAS 25 % ]]</f>
        <v>0</v>
      </c>
      <c r="W307" s="138">
        <f>(Tabla1[[#This Row],[COS.BASE 3]]*0.35+Tabla1[[#This Row],[COS.BASE 3]])*Tabla1[[#This Row],[HORAS 35% ]]</f>
        <v>0</v>
      </c>
      <c r="X307" s="138">
        <f>SUM(Tabla1[[#This Row],[C.HORA.35]],Tabla1[[#This Row],[C.HORA.25]])</f>
        <v>0</v>
      </c>
      <c r="Y307" s="4"/>
      <c r="Z307" s="10">
        <f>Tabla1[[#This Row],[T.HORAS]]*24</f>
        <v>9.9999999999999982</v>
      </c>
      <c r="AA307" s="4">
        <f>Tabla1[[#This Row],[H.NORMALES]]*24</f>
        <v>9</v>
      </c>
      <c r="AB307" s="10">
        <f>Tabla1[[#This Row],[H.EXTRAS]]*24</f>
        <v>0.99999999999999778</v>
      </c>
      <c r="AC307" s="105">
        <f t="shared" si="15"/>
        <v>60</v>
      </c>
      <c r="AD307" s="120">
        <f>Tabla1[[#This Row],[COS.BASE 2]]/8</f>
        <v>7.5</v>
      </c>
      <c r="AE307" s="105">
        <f>Tabla1[[#This Row],[CST_H_E]]+Tabla1[[#This Row],[COS.BASE 2]]</f>
        <v>60</v>
      </c>
      <c r="AF307" s="106">
        <f>+_xlfn.IFNA(INDEX(RUBRO!$W$2:$AA$732,MATCH(Tabla1[[#This Row],[FECHA ]],RUBRO!$W$2:$W$732,0),5)," ")</f>
        <v>0</v>
      </c>
      <c r="AG307" s="10">
        <f>+_xlfn.IFNA(INDEX(RUBRO!$W$2:$AA$732,MATCH(Tabla1[[#This Row],[FECHA ]],RUBRO!$W$2:$W$732,0),2)," ")</f>
        <v>0</v>
      </c>
      <c r="AH307" s="40">
        <f>IFERROR(Tabla1[[#This Row],[F]]*Tabla1[[#This Row],[COS.B+E]]," ")</f>
        <v>0</v>
      </c>
      <c r="AI307" s="40">
        <f>IFERROR(Tabla1[[#This Row],[COS.B+E]]*Tabla1[[#This Row],[D]]," ")</f>
        <v>0</v>
      </c>
      <c r="AJ307" s="40" t="str">
        <f>IFERROR(Tabla1[[#This Row],[F]]*#REF!," ")</f>
        <v xml:space="preserve"> </v>
      </c>
      <c r="AK307" s="40" t="str">
        <f>IFERROR(#REF!*Tabla1[[#This Row],[D]]," ")</f>
        <v xml:space="preserve"> </v>
      </c>
      <c r="AL307" s="103"/>
      <c r="AM307" s="103"/>
      <c r="AN307" s="103"/>
      <c r="AO307" s="38">
        <f>+Tabla1[[#This Row],[COS.B+E]]+Tabla1[[#This Row],[COS.F1]]+Tabla1[[#This Row],[COS.D1]]+Tabla1[[#This Row],[ALIMENTACION]]+Tabla1[[#This Row],[PRESTAMO]]+AN307</f>
        <v>60</v>
      </c>
      <c r="AP307" s="38" t="e">
        <f>+#REF!+Tabla1[[#This Row],[COS F2]]+Tabla1[[#This Row],[COS D2]]+Tabla1[[#This Row],[ALIMENTACION]]+Tabla1[[#This Row],[PRESTAMO]]+Tabla1[[#This Row],[PASAJES]]</f>
        <v>#REF!</v>
      </c>
    </row>
    <row r="308" spans="1:42" x14ac:dyDescent="0.25">
      <c r="A308" s="2" t="str">
        <f>TEXT(Tabla1[[#This Row],[FECHA ]],"DDDDD")</f>
        <v>miércoles</v>
      </c>
      <c r="B308" s="2" t="str">
        <f>_xlfn.IFNA(VLOOKUP(Tabla1[[#This Row],[DESTINO]],RUBRO!$Q$1:$R$9996,2,FALSE)," ")</f>
        <v>PLANTA</v>
      </c>
      <c r="C308" s="104">
        <f>WEEKNUM(Tabla1[[#This Row],[FECHA ]],2)</f>
        <v>20</v>
      </c>
      <c r="D308" s="104" t="str">
        <f>TEXT(Tabla1[[#This Row],[FECHA ]],"MMM-YY")</f>
        <v>may-YY</v>
      </c>
      <c r="E308" s="104" t="str">
        <f>VLOOKUP(Tabla1[[#This Row],[DNI ]],RUBRO!$F$1:$O$9996,7,FALSE)</f>
        <v>5ta</v>
      </c>
      <c r="F308" s="104" t="str">
        <f>VLOOKUP(Tabla1[[#This Row],[DNI ]],RUBRO!$F$1:$O$88,3,FALSE)</f>
        <v>MAE-02</v>
      </c>
      <c r="G308" s="104" t="str">
        <f>VLOOKUP(Tabla1[[#This Row],[DNI ]],RUBRO!$F$1:$O$9996,5,FALSE)</f>
        <v>MAESTRO MECANICO MONTAJISTA DE MAQUINARIA</v>
      </c>
      <c r="H308" s="66" t="str">
        <f>VLOOKUP(Tabla1[[#This Row],[DNI ]],RUBRO!$F$1:$O$9996,6,FALSE)</f>
        <v>GRAUS JUAREZ MIGUEL RICARDO</v>
      </c>
      <c r="I308" s="94">
        <v>44328</v>
      </c>
      <c r="J308" s="10">
        <v>1</v>
      </c>
      <c r="K308" s="2">
        <v>48046568</v>
      </c>
      <c r="L308" s="4">
        <f>VLOOKUP(Tabla1[[#This Row],[DNI ]],RUBRO!$F$2:$O$9996,8,FALSE)</f>
        <v>68.150000000000006</v>
      </c>
      <c r="M308" s="88">
        <v>0.29166666666666669</v>
      </c>
      <c r="N308" s="28">
        <v>0.54166666666666663</v>
      </c>
      <c r="O308" s="28">
        <v>0.58333333333333337</v>
      </c>
      <c r="P308" s="28">
        <v>0.75</v>
      </c>
      <c r="Q308" s="31">
        <f>(Tabla1[[#This Row],[SALIDA]]-Tabla1[[#This Row],[FIN ]])+(Tabla1[[#This Row],[INICIO]]-Tabla1[[#This Row],[INGRESO]])</f>
        <v>0.41666666666666657</v>
      </c>
      <c r="R308" s="13">
        <f t="shared" si="13"/>
        <v>0.375</v>
      </c>
      <c r="S308" s="31">
        <f t="shared" si="14"/>
        <v>4.1666666666666574E-2</v>
      </c>
      <c r="T308" s="136"/>
      <c r="U308" s="136"/>
      <c r="V308" s="137">
        <f>(Tabla1[[#This Row],[COS.BASE 3]]*0.25+Tabla1[[#This Row],[COS.BASE 3]])*Tabla1[[#This Row],[HORAS 25 % ]]</f>
        <v>0</v>
      </c>
      <c r="W308" s="138">
        <f>(Tabla1[[#This Row],[COS.BASE 3]]*0.35+Tabla1[[#This Row],[COS.BASE 3]])*Tabla1[[#This Row],[HORAS 35% ]]</f>
        <v>0</v>
      </c>
      <c r="X308" s="138">
        <f>SUM(Tabla1[[#This Row],[C.HORA.35]],Tabla1[[#This Row],[C.HORA.25]])</f>
        <v>0</v>
      </c>
      <c r="Y308" s="4"/>
      <c r="Z308" s="10">
        <f>Tabla1[[#This Row],[T.HORAS]]*24</f>
        <v>9.9999999999999982</v>
      </c>
      <c r="AA308" s="4">
        <f>Tabla1[[#This Row],[H.NORMALES]]*24</f>
        <v>9</v>
      </c>
      <c r="AB308" s="10">
        <f>Tabla1[[#This Row],[H.EXTRAS]]*24</f>
        <v>0.99999999999999778</v>
      </c>
      <c r="AC308" s="105">
        <f t="shared" si="15"/>
        <v>68.150000000000006</v>
      </c>
      <c r="AD308" s="120">
        <f>Tabla1[[#This Row],[COS.BASE 2]]/8</f>
        <v>8.5187500000000007</v>
      </c>
      <c r="AE308" s="105">
        <f>Tabla1[[#This Row],[CST_H_E]]+Tabla1[[#This Row],[COS.BASE 2]]</f>
        <v>68.150000000000006</v>
      </c>
      <c r="AF308" s="106">
        <f>+_xlfn.IFNA(INDEX(RUBRO!$W$2:$AA$732,MATCH(Tabla1[[#This Row],[FECHA ]],RUBRO!$W$2:$W$732,0),5)," ")</f>
        <v>0</v>
      </c>
      <c r="AG308" s="10">
        <f>+_xlfn.IFNA(INDEX(RUBRO!$W$2:$AA$732,MATCH(Tabla1[[#This Row],[FECHA ]],RUBRO!$W$2:$W$732,0),2)," ")</f>
        <v>0</v>
      </c>
      <c r="AH308" s="40">
        <f>IFERROR(Tabla1[[#This Row],[F]]*Tabla1[[#This Row],[COS.B+E]]," ")</f>
        <v>0</v>
      </c>
      <c r="AI308" s="40">
        <f>IFERROR(Tabla1[[#This Row],[COS.B+E]]*Tabla1[[#This Row],[D]]," ")</f>
        <v>0</v>
      </c>
      <c r="AJ308" s="40" t="str">
        <f>IFERROR(Tabla1[[#This Row],[F]]*#REF!," ")</f>
        <v xml:space="preserve"> </v>
      </c>
      <c r="AK308" s="40" t="str">
        <f>IFERROR(#REF!*Tabla1[[#This Row],[D]]," ")</f>
        <v xml:space="preserve"> </v>
      </c>
      <c r="AL308" s="103"/>
      <c r="AM308" s="103"/>
      <c r="AN308" s="103"/>
      <c r="AO308" s="38">
        <f>+Tabla1[[#This Row],[COS.B+E]]+Tabla1[[#This Row],[COS.F1]]+Tabla1[[#This Row],[COS.D1]]+Tabla1[[#This Row],[ALIMENTACION]]+Tabla1[[#This Row],[PRESTAMO]]+AN308</f>
        <v>68.150000000000006</v>
      </c>
      <c r="AP308" s="38" t="e">
        <f>+#REF!+Tabla1[[#This Row],[COS F2]]+Tabla1[[#This Row],[COS D2]]+Tabla1[[#This Row],[ALIMENTACION]]+Tabla1[[#This Row],[PRESTAMO]]+Tabla1[[#This Row],[PASAJES]]</f>
        <v>#REF!</v>
      </c>
    </row>
    <row r="309" spans="1:42" x14ac:dyDescent="0.25">
      <c r="A309" s="2" t="str">
        <f>TEXT(Tabla1[[#This Row],[FECHA ]],"DDDDD")</f>
        <v>miércoles</v>
      </c>
      <c r="B309" s="2" t="str">
        <f>_xlfn.IFNA(VLOOKUP(Tabla1[[#This Row],[DESTINO]],RUBRO!$Q$1:$R$9996,2,FALSE)," ")</f>
        <v>PLANTA</v>
      </c>
      <c r="C309" s="104">
        <f>WEEKNUM(Tabla1[[#This Row],[FECHA ]],2)</f>
        <v>20</v>
      </c>
      <c r="D309" s="104" t="str">
        <f>TEXT(Tabla1[[#This Row],[FECHA ]],"MMM-YY")</f>
        <v>may-YY</v>
      </c>
      <c r="E309" s="104" t="str">
        <f>VLOOKUP(Tabla1[[#This Row],[DNI ]],RUBRO!$F$1:$O$9996,7,FALSE)</f>
        <v>5ta</v>
      </c>
      <c r="F309" s="104" t="e">
        <f>VLOOKUP(Tabla1[[#This Row],[DNI ]],RUBRO!$F$1:$O$88,3,FALSE)</f>
        <v>#N/A</v>
      </c>
      <c r="G309" s="104" t="str">
        <f>VLOOKUP(Tabla1[[#This Row],[DNI ]],RUBRO!$F$1:$O$9996,5,FALSE)</f>
        <v>AYUDANTE DE PRODUCCION</v>
      </c>
      <c r="H309" s="66" t="str">
        <f>VLOOKUP(Tabla1[[#This Row],[DNI ]],RUBRO!$F$1:$O$9996,6,FALSE)</f>
        <v>GUERRERO CORDOVA ISMAEL</v>
      </c>
      <c r="I309" s="94">
        <v>44328</v>
      </c>
      <c r="J309" s="10">
        <v>1</v>
      </c>
      <c r="K309" s="2">
        <v>75790434</v>
      </c>
      <c r="L309" s="4">
        <f>VLOOKUP(Tabla1[[#This Row],[DNI ]],RUBRO!$F$2:$O$9996,8,FALSE)</f>
        <v>35.81</v>
      </c>
      <c r="M309" s="88">
        <v>0.29166666666666669</v>
      </c>
      <c r="N309" s="28">
        <v>0.54166666666666663</v>
      </c>
      <c r="O309" s="28">
        <v>0.58333333333333337</v>
      </c>
      <c r="P309" s="28">
        <v>0.75</v>
      </c>
      <c r="Q309" s="31">
        <f>(Tabla1[[#This Row],[SALIDA]]-Tabla1[[#This Row],[FIN ]])+(Tabla1[[#This Row],[INICIO]]-Tabla1[[#This Row],[INGRESO]])</f>
        <v>0.41666666666666657</v>
      </c>
      <c r="R309" s="13">
        <f t="shared" si="13"/>
        <v>0.375</v>
      </c>
      <c r="S309" s="31">
        <f t="shared" si="14"/>
        <v>4.1666666666666574E-2</v>
      </c>
      <c r="T309" s="136"/>
      <c r="U309" s="136"/>
      <c r="V309" s="137">
        <f>(Tabla1[[#This Row],[COS.BASE 3]]*0.25+Tabla1[[#This Row],[COS.BASE 3]])*Tabla1[[#This Row],[HORAS 25 % ]]</f>
        <v>0</v>
      </c>
      <c r="W309" s="138">
        <f>(Tabla1[[#This Row],[COS.BASE 3]]*0.35+Tabla1[[#This Row],[COS.BASE 3]])*Tabla1[[#This Row],[HORAS 35% ]]</f>
        <v>0</v>
      </c>
      <c r="X309" s="138">
        <f>SUM(Tabla1[[#This Row],[C.HORA.35]],Tabla1[[#This Row],[C.HORA.25]])</f>
        <v>0</v>
      </c>
      <c r="Y309" s="4"/>
      <c r="Z309" s="10">
        <f>Tabla1[[#This Row],[T.HORAS]]*24</f>
        <v>9.9999999999999982</v>
      </c>
      <c r="AA309" s="4">
        <f>Tabla1[[#This Row],[H.NORMALES]]*24</f>
        <v>9</v>
      </c>
      <c r="AB309" s="10">
        <f>Tabla1[[#This Row],[H.EXTRAS]]*24</f>
        <v>0.99999999999999778</v>
      </c>
      <c r="AC309" s="105">
        <f t="shared" si="15"/>
        <v>35.81</v>
      </c>
      <c r="AD309" s="120">
        <f>Tabla1[[#This Row],[COS.BASE 2]]/8</f>
        <v>4.4762500000000003</v>
      </c>
      <c r="AE309" s="105">
        <f>Tabla1[[#This Row],[CST_H_E]]+Tabla1[[#This Row],[COS.BASE 2]]</f>
        <v>35.81</v>
      </c>
      <c r="AF309" s="106">
        <f>+_xlfn.IFNA(INDEX(RUBRO!$W$2:$AA$732,MATCH(Tabla1[[#This Row],[FECHA ]],RUBRO!$W$2:$W$732,0),5)," ")</f>
        <v>0</v>
      </c>
      <c r="AG309" s="10">
        <f>+_xlfn.IFNA(INDEX(RUBRO!$W$2:$AA$732,MATCH(Tabla1[[#This Row],[FECHA ]],RUBRO!$W$2:$W$732,0),2)," ")</f>
        <v>0</v>
      </c>
      <c r="AH309" s="40">
        <f>IFERROR(Tabla1[[#This Row],[F]]*Tabla1[[#This Row],[COS.B+E]]," ")</f>
        <v>0</v>
      </c>
      <c r="AI309" s="40">
        <f>IFERROR(Tabla1[[#This Row],[COS.B+E]]*Tabla1[[#This Row],[D]]," ")</f>
        <v>0</v>
      </c>
      <c r="AJ309" s="40" t="str">
        <f>IFERROR(Tabla1[[#This Row],[F]]*#REF!," ")</f>
        <v xml:space="preserve"> </v>
      </c>
      <c r="AK309" s="40" t="str">
        <f>IFERROR(#REF!*Tabla1[[#This Row],[D]]," ")</f>
        <v xml:space="preserve"> </v>
      </c>
      <c r="AL309" s="103"/>
      <c r="AM309" s="103"/>
      <c r="AN309" s="103"/>
      <c r="AO309" s="38">
        <f>+Tabla1[[#This Row],[COS.B+E]]+Tabla1[[#This Row],[COS.F1]]+Tabla1[[#This Row],[COS.D1]]+Tabla1[[#This Row],[ALIMENTACION]]+Tabla1[[#This Row],[PRESTAMO]]+AN309</f>
        <v>35.81</v>
      </c>
      <c r="AP309" s="38" t="e">
        <f>+#REF!+Tabla1[[#This Row],[COS F2]]+Tabla1[[#This Row],[COS D2]]+Tabla1[[#This Row],[ALIMENTACION]]+Tabla1[[#This Row],[PRESTAMO]]+Tabla1[[#This Row],[PASAJES]]</f>
        <v>#REF!</v>
      </c>
    </row>
    <row r="310" spans="1:42" x14ac:dyDescent="0.25">
      <c r="A310" s="2" t="str">
        <f>TEXT(Tabla1[[#This Row],[FECHA ]],"DDDDD")</f>
        <v>miércoles</v>
      </c>
      <c r="B310" s="2" t="str">
        <f>_xlfn.IFNA(VLOOKUP(Tabla1[[#This Row],[DESTINO]],RUBRO!$Q$1:$R$9996,2,FALSE)," ")</f>
        <v>PLANTA</v>
      </c>
      <c r="C310" s="104">
        <f>WEEKNUM(Tabla1[[#This Row],[FECHA ]],2)</f>
        <v>20</v>
      </c>
      <c r="D310" s="104" t="str">
        <f>TEXT(Tabla1[[#This Row],[FECHA ]],"MMM-YY")</f>
        <v>may-YY</v>
      </c>
      <c r="E310" s="104" t="str">
        <f>VLOOKUP(Tabla1[[#This Row],[DNI ]],RUBRO!$F$1:$O$9996,7,FALSE)</f>
        <v>4ta</v>
      </c>
      <c r="F310" s="104" t="str">
        <f>VLOOKUP(Tabla1[[#This Row],[DNI ]],RUBRO!$F$1:$O$88,3,FALSE)</f>
        <v>TEC-01</v>
      </c>
      <c r="G310" s="104" t="str">
        <f>VLOOKUP(Tabla1[[#This Row],[DNI ]],RUBRO!$F$1:$O$9996,5,FALSE)</f>
        <v>TECNICO SOLDADOR</v>
      </c>
      <c r="H310" s="66" t="str">
        <f>VLOOKUP(Tabla1[[#This Row],[DNI ]],RUBRO!$F$1:$O$9996,6,FALSE)</f>
        <v>GUEVARA PACHERREZ ERICK DANIEL</v>
      </c>
      <c r="I310" s="94">
        <v>44328</v>
      </c>
      <c r="J310" s="10">
        <v>1</v>
      </c>
      <c r="K310" s="2">
        <v>45545014</v>
      </c>
      <c r="L310" s="4">
        <f>VLOOKUP(Tabla1[[#This Row],[DNI ]],RUBRO!$F$2:$O$9996,8,FALSE)</f>
        <v>60</v>
      </c>
      <c r="M310" s="88">
        <v>0.29166666666666669</v>
      </c>
      <c r="N310" s="28">
        <v>0.54166666666666663</v>
      </c>
      <c r="O310" s="28">
        <v>0.58333333333333337</v>
      </c>
      <c r="P310" s="28">
        <v>0.75</v>
      </c>
      <c r="Q310" s="31">
        <f>(Tabla1[[#This Row],[SALIDA]]-Tabla1[[#This Row],[FIN ]])+(Tabla1[[#This Row],[INICIO]]-Tabla1[[#This Row],[INGRESO]])</f>
        <v>0.41666666666666657</v>
      </c>
      <c r="R310" s="13">
        <f t="shared" si="13"/>
        <v>0.375</v>
      </c>
      <c r="S310" s="31">
        <f t="shared" si="14"/>
        <v>4.1666666666666574E-2</v>
      </c>
      <c r="T310" s="136"/>
      <c r="U310" s="136"/>
      <c r="V310" s="137">
        <f>(Tabla1[[#This Row],[COS.BASE 3]]*0.25+Tabla1[[#This Row],[COS.BASE 3]])*Tabla1[[#This Row],[HORAS 25 % ]]</f>
        <v>0</v>
      </c>
      <c r="W310" s="138">
        <f>(Tabla1[[#This Row],[COS.BASE 3]]*0.35+Tabla1[[#This Row],[COS.BASE 3]])*Tabla1[[#This Row],[HORAS 35% ]]</f>
        <v>0</v>
      </c>
      <c r="X310" s="138">
        <f>SUM(Tabla1[[#This Row],[C.HORA.35]],Tabla1[[#This Row],[C.HORA.25]])</f>
        <v>0</v>
      </c>
      <c r="Y310" s="4"/>
      <c r="Z310" s="10">
        <f>Tabla1[[#This Row],[T.HORAS]]*24</f>
        <v>9.9999999999999982</v>
      </c>
      <c r="AA310" s="4">
        <f>Tabla1[[#This Row],[H.NORMALES]]*24</f>
        <v>9</v>
      </c>
      <c r="AB310" s="10">
        <f>Tabla1[[#This Row],[H.EXTRAS]]*24</f>
        <v>0.99999999999999778</v>
      </c>
      <c r="AC310" s="105">
        <f t="shared" si="15"/>
        <v>60</v>
      </c>
      <c r="AD310" s="120">
        <f>Tabla1[[#This Row],[COS.BASE 2]]/8</f>
        <v>7.5</v>
      </c>
      <c r="AE310" s="105">
        <f>Tabla1[[#This Row],[CST_H_E]]+Tabla1[[#This Row],[COS.BASE 2]]</f>
        <v>60</v>
      </c>
      <c r="AF310" s="106">
        <f>+_xlfn.IFNA(INDEX(RUBRO!$W$2:$AA$732,MATCH(Tabla1[[#This Row],[FECHA ]],RUBRO!$W$2:$W$732,0),5)," ")</f>
        <v>0</v>
      </c>
      <c r="AG310" s="10">
        <f>+_xlfn.IFNA(INDEX(RUBRO!$W$2:$AA$732,MATCH(Tabla1[[#This Row],[FECHA ]],RUBRO!$W$2:$W$732,0),2)," ")</f>
        <v>0</v>
      </c>
      <c r="AH310" s="40">
        <f>IFERROR(Tabla1[[#This Row],[F]]*Tabla1[[#This Row],[COS.B+E]]," ")</f>
        <v>0</v>
      </c>
      <c r="AI310" s="40">
        <f>IFERROR(Tabla1[[#This Row],[COS.B+E]]*Tabla1[[#This Row],[D]]," ")</f>
        <v>0</v>
      </c>
      <c r="AJ310" s="40" t="str">
        <f>IFERROR(Tabla1[[#This Row],[F]]*#REF!," ")</f>
        <v xml:space="preserve"> </v>
      </c>
      <c r="AK310" s="40" t="str">
        <f>IFERROR(#REF!*Tabla1[[#This Row],[D]]," ")</f>
        <v xml:space="preserve"> </v>
      </c>
      <c r="AL310" s="103"/>
      <c r="AM310" s="103"/>
      <c r="AN310" s="103"/>
      <c r="AO310" s="38">
        <f>+Tabla1[[#This Row],[COS.B+E]]+Tabla1[[#This Row],[COS.F1]]+Tabla1[[#This Row],[COS.D1]]+Tabla1[[#This Row],[ALIMENTACION]]+Tabla1[[#This Row],[PRESTAMO]]+AN310</f>
        <v>60</v>
      </c>
      <c r="AP310" s="38" t="e">
        <f>+#REF!+Tabla1[[#This Row],[COS F2]]+Tabla1[[#This Row],[COS D2]]+Tabla1[[#This Row],[ALIMENTACION]]+Tabla1[[#This Row],[PRESTAMO]]+Tabla1[[#This Row],[PASAJES]]</f>
        <v>#REF!</v>
      </c>
    </row>
    <row r="311" spans="1:42" x14ac:dyDescent="0.25">
      <c r="A311" s="2" t="str">
        <f>TEXT(Tabla1[[#This Row],[FECHA ]],"DDDDD")</f>
        <v>miércoles</v>
      </c>
      <c r="B311" s="2" t="str">
        <f>_xlfn.IFNA(VLOOKUP(Tabla1[[#This Row],[DESTINO]],RUBRO!$Q$1:$R$9996,2,FALSE)," ")</f>
        <v>OBRA</v>
      </c>
      <c r="C311" s="104">
        <f>WEEKNUM(Tabla1[[#This Row],[FECHA ]],2)</f>
        <v>20</v>
      </c>
      <c r="D311" s="104" t="str">
        <f>TEXT(Tabla1[[#This Row],[FECHA ]],"MMM-YY")</f>
        <v>may-YY</v>
      </c>
      <c r="E311" s="104" t="str">
        <f>VLOOKUP(Tabla1[[#This Row],[DNI ]],RUBRO!$F$1:$O$9996,7,FALSE)</f>
        <v>5ta</v>
      </c>
      <c r="F311" s="104" t="str">
        <f>VLOOKUP(Tabla1[[#This Row],[DNI ]],RUBRO!$F$1:$O$88,3,FALSE)</f>
        <v>X6</v>
      </c>
      <c r="G311" s="104" t="str">
        <f>VLOOKUP(Tabla1[[#This Row],[DNI ]],RUBRO!$F$1:$O$9996,5,FALSE)</f>
        <v>SUPERVISOR DE MONTAJE Y DESMONTAJE</v>
      </c>
      <c r="H311" s="66" t="str">
        <f>VLOOKUP(Tabla1[[#This Row],[DNI ]],RUBRO!$F$1:$O$9996,6,FALSE)</f>
        <v>HERRERA NAVARRO OSMER</v>
      </c>
      <c r="I311" s="94">
        <v>44328</v>
      </c>
      <c r="J311" s="10">
        <v>2</v>
      </c>
      <c r="K311" s="2">
        <v>45327555</v>
      </c>
      <c r="L311" s="4">
        <f>VLOOKUP(Tabla1[[#This Row],[DNI ]],RUBRO!$F$2:$O$9996,8,FALSE)</f>
        <v>62.31</v>
      </c>
      <c r="M311" s="88">
        <v>0.29166666666666669</v>
      </c>
      <c r="N311" s="28">
        <v>0.54166666666666663</v>
      </c>
      <c r="O311" s="28">
        <v>0.58333333333333337</v>
      </c>
      <c r="P311" s="28">
        <v>0.75</v>
      </c>
      <c r="Q311" s="31">
        <f>(Tabla1[[#This Row],[SALIDA]]-Tabla1[[#This Row],[FIN ]])+(Tabla1[[#This Row],[INICIO]]-Tabla1[[#This Row],[INGRESO]])</f>
        <v>0.41666666666666657</v>
      </c>
      <c r="R311" s="13">
        <f t="shared" si="13"/>
        <v>0.33333333333333331</v>
      </c>
      <c r="S311" s="31">
        <f t="shared" si="14"/>
        <v>8.3333333333333259E-2</v>
      </c>
      <c r="T311" s="136"/>
      <c r="U311" s="136"/>
      <c r="V311" s="137">
        <f>(Tabla1[[#This Row],[COS.BASE 3]]*0.25+Tabla1[[#This Row],[COS.BASE 3]])*Tabla1[[#This Row],[HORAS 25 % ]]</f>
        <v>0</v>
      </c>
      <c r="W311" s="138">
        <f>(Tabla1[[#This Row],[COS.BASE 3]]*0.35+Tabla1[[#This Row],[COS.BASE 3]])*Tabla1[[#This Row],[HORAS 35% ]]</f>
        <v>0</v>
      </c>
      <c r="X311" s="138">
        <f>SUM(Tabla1[[#This Row],[C.HORA.35]],Tabla1[[#This Row],[C.HORA.25]])</f>
        <v>0</v>
      </c>
      <c r="Y311" s="4"/>
      <c r="Z311" s="10">
        <f>Tabla1[[#This Row],[T.HORAS]]*24</f>
        <v>9.9999999999999982</v>
      </c>
      <c r="AA311" s="4">
        <f>Tabla1[[#This Row],[H.NORMALES]]*24</f>
        <v>8</v>
      </c>
      <c r="AB311" s="10">
        <f>Tabla1[[#This Row],[H.EXTRAS]]*24</f>
        <v>1.9999999999999982</v>
      </c>
      <c r="AC311" s="105">
        <f t="shared" si="15"/>
        <v>62.31</v>
      </c>
      <c r="AD311" s="120">
        <f>Tabla1[[#This Row],[COS.BASE 2]]/8</f>
        <v>7.7887500000000003</v>
      </c>
      <c r="AE311" s="105">
        <f>Tabla1[[#This Row],[CST_H_E]]+Tabla1[[#This Row],[COS.BASE 2]]</f>
        <v>62.31</v>
      </c>
      <c r="AF311" s="106">
        <f>+_xlfn.IFNA(INDEX(RUBRO!$W$2:$AA$732,MATCH(Tabla1[[#This Row],[FECHA ]],RUBRO!$W$2:$W$732,0),5)," ")</f>
        <v>0</v>
      </c>
      <c r="AG311" s="10">
        <f>+_xlfn.IFNA(INDEX(RUBRO!$W$2:$AA$732,MATCH(Tabla1[[#This Row],[FECHA ]],RUBRO!$W$2:$W$732,0),2)," ")</f>
        <v>0</v>
      </c>
      <c r="AH311" s="40">
        <f>IFERROR(Tabla1[[#This Row],[F]]*Tabla1[[#This Row],[COS.B+E]]," ")</f>
        <v>0</v>
      </c>
      <c r="AI311" s="40">
        <f>IFERROR(Tabla1[[#This Row],[COS.B+E]]*Tabla1[[#This Row],[D]]," ")</f>
        <v>0</v>
      </c>
      <c r="AJ311" s="40" t="str">
        <f>IFERROR(Tabla1[[#This Row],[F]]*#REF!," ")</f>
        <v xml:space="preserve"> </v>
      </c>
      <c r="AK311" s="40" t="str">
        <f>IFERROR(#REF!*Tabla1[[#This Row],[D]]," ")</f>
        <v xml:space="preserve"> </v>
      </c>
      <c r="AL311" s="103"/>
      <c r="AM311" s="103"/>
      <c r="AN311" s="103"/>
      <c r="AO311" s="38">
        <f>+Tabla1[[#This Row],[COS.B+E]]+Tabla1[[#This Row],[COS.F1]]+Tabla1[[#This Row],[COS.D1]]+Tabla1[[#This Row],[ALIMENTACION]]+Tabla1[[#This Row],[PRESTAMO]]+AN311</f>
        <v>62.31</v>
      </c>
      <c r="AP311" s="38" t="e">
        <f>+#REF!+Tabla1[[#This Row],[COS F2]]+Tabla1[[#This Row],[COS D2]]+Tabla1[[#This Row],[ALIMENTACION]]+Tabla1[[#This Row],[PRESTAMO]]+Tabla1[[#This Row],[PASAJES]]</f>
        <v>#REF!</v>
      </c>
    </row>
    <row r="312" spans="1:42" x14ac:dyDescent="0.25">
      <c r="A312" s="2" t="str">
        <f>TEXT(Tabla1[[#This Row],[FECHA ]],"DDDDD")</f>
        <v>miércoles</v>
      </c>
      <c r="B312" s="2" t="str">
        <f>_xlfn.IFNA(VLOOKUP(Tabla1[[#This Row],[DESTINO]],RUBRO!$Q$1:$R$9996,2,FALSE)," ")</f>
        <v>PLANTA</v>
      </c>
      <c r="C312" s="104">
        <f>WEEKNUM(Tabla1[[#This Row],[FECHA ]],2)</f>
        <v>20</v>
      </c>
      <c r="D312" s="104" t="str">
        <f>TEXT(Tabla1[[#This Row],[FECHA ]],"MMM-YY")</f>
        <v>may-YY</v>
      </c>
      <c r="E312" s="104" t="str">
        <f>VLOOKUP(Tabla1[[#This Row],[DNI ]],RUBRO!$F$1:$O$9996,7,FALSE)</f>
        <v>5ta</v>
      </c>
      <c r="F312" s="104" t="str">
        <f>VLOOKUP(Tabla1[[#This Row],[DNI ]],RUBRO!$F$1:$O$88,3,FALSE)</f>
        <v>TEC-04</v>
      </c>
      <c r="G312" s="104" t="str">
        <f>VLOOKUP(Tabla1[[#This Row],[DNI ]],RUBRO!$F$1:$O$9996,5,FALSE)</f>
        <v>TECNICO MECANICO MONTAJISTA DE MAQUINARIA EXTRANJERA</v>
      </c>
      <c r="H312" s="66" t="str">
        <f>VLOOKUP(Tabla1[[#This Row],[DNI ]],RUBRO!$F$1:$O$9996,6,FALSE)</f>
        <v>IDROGO CHAVEZ EMANUEL</v>
      </c>
      <c r="I312" s="94">
        <v>44328</v>
      </c>
      <c r="J312" s="10">
        <v>1</v>
      </c>
      <c r="K312" s="2">
        <v>46228460</v>
      </c>
      <c r="L312" s="4">
        <f>VLOOKUP(Tabla1[[#This Row],[DNI ]],RUBRO!$F$2:$O$9996,8,FALSE)</f>
        <v>67.66</v>
      </c>
      <c r="M312" s="88">
        <v>0.29166666666666669</v>
      </c>
      <c r="N312" s="28">
        <v>0.54166666666666663</v>
      </c>
      <c r="O312" s="28">
        <v>0.58333333333333337</v>
      </c>
      <c r="P312" s="28">
        <v>0.75</v>
      </c>
      <c r="Q312" s="31">
        <f>(Tabla1[[#This Row],[SALIDA]]-Tabla1[[#This Row],[FIN ]])+(Tabla1[[#This Row],[INICIO]]-Tabla1[[#This Row],[INGRESO]])</f>
        <v>0.41666666666666657</v>
      </c>
      <c r="R312" s="13">
        <f t="shared" si="13"/>
        <v>0.375</v>
      </c>
      <c r="S312" s="31">
        <f t="shared" si="14"/>
        <v>4.1666666666666574E-2</v>
      </c>
      <c r="T312" s="136"/>
      <c r="U312" s="136"/>
      <c r="V312" s="137">
        <f>(Tabla1[[#This Row],[COS.BASE 3]]*0.25+Tabla1[[#This Row],[COS.BASE 3]])*Tabla1[[#This Row],[HORAS 25 % ]]</f>
        <v>0</v>
      </c>
      <c r="W312" s="138">
        <f>(Tabla1[[#This Row],[COS.BASE 3]]*0.35+Tabla1[[#This Row],[COS.BASE 3]])*Tabla1[[#This Row],[HORAS 35% ]]</f>
        <v>0</v>
      </c>
      <c r="X312" s="138">
        <f>SUM(Tabla1[[#This Row],[C.HORA.35]],Tabla1[[#This Row],[C.HORA.25]])</f>
        <v>0</v>
      </c>
      <c r="Y312" s="4"/>
      <c r="Z312" s="10">
        <f>Tabla1[[#This Row],[T.HORAS]]*24</f>
        <v>9.9999999999999982</v>
      </c>
      <c r="AA312" s="4">
        <f>Tabla1[[#This Row],[H.NORMALES]]*24</f>
        <v>9</v>
      </c>
      <c r="AB312" s="10">
        <f>Tabla1[[#This Row],[H.EXTRAS]]*24</f>
        <v>0.99999999999999778</v>
      </c>
      <c r="AC312" s="105">
        <f t="shared" si="15"/>
        <v>67.66</v>
      </c>
      <c r="AD312" s="120">
        <f>Tabla1[[#This Row],[COS.BASE 2]]/8</f>
        <v>8.4574999999999996</v>
      </c>
      <c r="AE312" s="105">
        <f>Tabla1[[#This Row],[CST_H_E]]+Tabla1[[#This Row],[COS.BASE 2]]</f>
        <v>67.66</v>
      </c>
      <c r="AF312" s="106">
        <f>+_xlfn.IFNA(INDEX(RUBRO!$W$2:$AA$732,MATCH(Tabla1[[#This Row],[FECHA ]],RUBRO!$W$2:$W$732,0),5)," ")</f>
        <v>0</v>
      </c>
      <c r="AG312" s="10">
        <f>+_xlfn.IFNA(INDEX(RUBRO!$W$2:$AA$732,MATCH(Tabla1[[#This Row],[FECHA ]],RUBRO!$W$2:$W$732,0),2)," ")</f>
        <v>0</v>
      </c>
      <c r="AH312" s="40">
        <f>IFERROR(Tabla1[[#This Row],[F]]*Tabla1[[#This Row],[COS.B+E]]," ")</f>
        <v>0</v>
      </c>
      <c r="AI312" s="40">
        <f>IFERROR(Tabla1[[#This Row],[COS.B+E]]*Tabla1[[#This Row],[D]]," ")</f>
        <v>0</v>
      </c>
      <c r="AJ312" s="40" t="str">
        <f>IFERROR(Tabla1[[#This Row],[F]]*#REF!," ")</f>
        <v xml:space="preserve"> </v>
      </c>
      <c r="AK312" s="40" t="str">
        <f>IFERROR(#REF!*Tabla1[[#This Row],[D]]," ")</f>
        <v xml:space="preserve"> </v>
      </c>
      <c r="AL312" s="103"/>
      <c r="AM312" s="103"/>
      <c r="AN312" s="103"/>
      <c r="AO312" s="38">
        <f>+Tabla1[[#This Row],[COS.B+E]]+Tabla1[[#This Row],[COS.F1]]+Tabla1[[#This Row],[COS.D1]]+Tabla1[[#This Row],[ALIMENTACION]]+Tabla1[[#This Row],[PRESTAMO]]+AN312</f>
        <v>67.66</v>
      </c>
      <c r="AP312" s="38" t="e">
        <f>+#REF!+Tabla1[[#This Row],[COS F2]]+Tabla1[[#This Row],[COS D2]]+Tabla1[[#This Row],[ALIMENTACION]]+Tabla1[[#This Row],[PRESTAMO]]+Tabla1[[#This Row],[PASAJES]]</f>
        <v>#REF!</v>
      </c>
    </row>
    <row r="313" spans="1:42" x14ac:dyDescent="0.25">
      <c r="A313" s="2" t="str">
        <f>TEXT(Tabla1[[#This Row],[FECHA ]],"DDDDD")</f>
        <v>miércoles</v>
      </c>
      <c r="B313" s="2" t="str">
        <f>_xlfn.IFNA(VLOOKUP(Tabla1[[#This Row],[DESTINO]],RUBRO!$Q$1:$R$9996,2,FALSE)," ")</f>
        <v>OBRA</v>
      </c>
      <c r="C313" s="104">
        <f>WEEKNUM(Tabla1[[#This Row],[FECHA ]],2)</f>
        <v>20</v>
      </c>
      <c r="D313" s="104" t="str">
        <f>TEXT(Tabla1[[#This Row],[FECHA ]],"MMM-YY")</f>
        <v>may-YY</v>
      </c>
      <c r="E313" s="104" t="str">
        <f>VLOOKUP(Tabla1[[#This Row],[DNI ]],RUBRO!$F$1:$O$9996,7,FALSE)</f>
        <v>5ta</v>
      </c>
      <c r="F313" s="104" t="e">
        <f>VLOOKUP(Tabla1[[#This Row],[DNI ]],RUBRO!$F$1:$O$88,3,FALSE)</f>
        <v>#N/A</v>
      </c>
      <c r="G313" s="104" t="str">
        <f>VLOOKUP(Tabla1[[#This Row],[DNI ]],RUBRO!$F$1:$O$9996,5,FALSE)</f>
        <v>AYUDANTE DE PRODUCCION</v>
      </c>
      <c r="H313" s="66" t="str">
        <f>VLOOKUP(Tabla1[[#This Row],[DNI ]],RUBRO!$F$1:$O$9996,6,FALSE)</f>
        <v>JUNCO ORDOÑEZ SAMUEL</v>
      </c>
      <c r="I313" s="94">
        <v>44328</v>
      </c>
      <c r="J313" s="10">
        <v>2</v>
      </c>
      <c r="K313" s="2">
        <v>75913657</v>
      </c>
      <c r="L313" s="4">
        <f>VLOOKUP(Tabla1[[#This Row],[DNI ]],RUBRO!$F$2:$O$9996,8,FALSE)</f>
        <v>60</v>
      </c>
      <c r="M313" s="88">
        <v>0.29166666666666669</v>
      </c>
      <c r="N313" s="28">
        <v>0.54166666666666663</v>
      </c>
      <c r="O313" s="28">
        <v>0.58333333333333337</v>
      </c>
      <c r="P313" s="28">
        <v>0.75</v>
      </c>
      <c r="Q313" s="31">
        <f>(Tabla1[[#This Row],[SALIDA]]-Tabla1[[#This Row],[FIN ]])+(Tabla1[[#This Row],[INICIO]]-Tabla1[[#This Row],[INGRESO]])</f>
        <v>0.41666666666666657</v>
      </c>
      <c r="R313" s="13">
        <f t="shared" si="13"/>
        <v>0.33333333333333331</v>
      </c>
      <c r="S313" s="31">
        <f t="shared" si="14"/>
        <v>8.3333333333333259E-2</v>
      </c>
      <c r="T313" s="136"/>
      <c r="U313" s="136"/>
      <c r="V313" s="137">
        <f>(Tabla1[[#This Row],[COS.BASE 3]]*0.25+Tabla1[[#This Row],[COS.BASE 3]])*Tabla1[[#This Row],[HORAS 25 % ]]</f>
        <v>0</v>
      </c>
      <c r="W313" s="138">
        <f>(Tabla1[[#This Row],[COS.BASE 3]]*0.35+Tabla1[[#This Row],[COS.BASE 3]])*Tabla1[[#This Row],[HORAS 35% ]]</f>
        <v>0</v>
      </c>
      <c r="X313" s="138">
        <f>SUM(Tabla1[[#This Row],[C.HORA.35]],Tabla1[[#This Row],[C.HORA.25]])</f>
        <v>0</v>
      </c>
      <c r="Y313" s="4"/>
      <c r="Z313" s="10">
        <f>Tabla1[[#This Row],[T.HORAS]]*24</f>
        <v>9.9999999999999982</v>
      </c>
      <c r="AA313" s="4">
        <f>Tabla1[[#This Row],[H.NORMALES]]*24</f>
        <v>8</v>
      </c>
      <c r="AB313" s="10">
        <f>Tabla1[[#This Row],[H.EXTRAS]]*24</f>
        <v>1.9999999999999982</v>
      </c>
      <c r="AC313" s="105">
        <f t="shared" si="15"/>
        <v>60</v>
      </c>
      <c r="AD313" s="120">
        <f>Tabla1[[#This Row],[COS.BASE 2]]/8</f>
        <v>7.5</v>
      </c>
      <c r="AE313" s="105">
        <f>Tabla1[[#This Row],[CST_H_E]]+Tabla1[[#This Row],[COS.BASE 2]]</f>
        <v>60</v>
      </c>
      <c r="AF313" s="106">
        <f>+_xlfn.IFNA(INDEX(RUBRO!$W$2:$AA$732,MATCH(Tabla1[[#This Row],[FECHA ]],RUBRO!$W$2:$W$732,0),5)," ")</f>
        <v>0</v>
      </c>
      <c r="AG313" s="10">
        <f>+_xlfn.IFNA(INDEX(RUBRO!$W$2:$AA$732,MATCH(Tabla1[[#This Row],[FECHA ]],RUBRO!$W$2:$W$732,0),2)," ")</f>
        <v>0</v>
      </c>
      <c r="AH313" s="40">
        <f>IFERROR(Tabla1[[#This Row],[F]]*Tabla1[[#This Row],[COS.B+E]]," ")</f>
        <v>0</v>
      </c>
      <c r="AI313" s="40">
        <f>IFERROR(Tabla1[[#This Row],[COS.B+E]]*Tabla1[[#This Row],[D]]," ")</f>
        <v>0</v>
      </c>
      <c r="AJ313" s="40" t="str">
        <f>IFERROR(Tabla1[[#This Row],[F]]*#REF!," ")</f>
        <v xml:space="preserve"> </v>
      </c>
      <c r="AK313" s="40" t="str">
        <f>IFERROR(#REF!*Tabla1[[#This Row],[D]]," ")</f>
        <v xml:space="preserve"> </v>
      </c>
      <c r="AL313" s="103"/>
      <c r="AM313" s="103"/>
      <c r="AN313" s="103"/>
      <c r="AO313" s="38">
        <f>+Tabla1[[#This Row],[COS.B+E]]+Tabla1[[#This Row],[COS.F1]]+Tabla1[[#This Row],[COS.D1]]+Tabla1[[#This Row],[ALIMENTACION]]+Tabla1[[#This Row],[PRESTAMO]]+AN313</f>
        <v>60</v>
      </c>
      <c r="AP313" s="38" t="e">
        <f>+#REF!+Tabla1[[#This Row],[COS F2]]+Tabla1[[#This Row],[COS D2]]+Tabla1[[#This Row],[ALIMENTACION]]+Tabla1[[#This Row],[PRESTAMO]]+Tabla1[[#This Row],[PASAJES]]</f>
        <v>#REF!</v>
      </c>
    </row>
    <row r="314" spans="1:42" x14ac:dyDescent="0.25">
      <c r="A314" s="2" t="str">
        <f>TEXT(Tabla1[[#This Row],[FECHA ]],"DDDDD")</f>
        <v>miércoles</v>
      </c>
      <c r="B314" s="2" t="str">
        <f>_xlfn.IFNA(VLOOKUP(Tabla1[[#This Row],[DESTINO]],RUBRO!$Q$1:$R$9996,2,FALSE)," ")</f>
        <v>PLANTA</v>
      </c>
      <c r="C314" s="104">
        <f>WEEKNUM(Tabla1[[#This Row],[FECHA ]],2)</f>
        <v>20</v>
      </c>
      <c r="D314" s="104" t="str">
        <f>TEXT(Tabla1[[#This Row],[FECHA ]],"MMM-YY")</f>
        <v>may-YY</v>
      </c>
      <c r="E314" s="104" t="str">
        <f>VLOOKUP(Tabla1[[#This Row],[DNI ]],RUBRO!$F$1:$O$9996,7,FALSE)</f>
        <v>5ta</v>
      </c>
      <c r="F314" s="104" t="str">
        <f>VLOOKUP(Tabla1[[#This Row],[DNI ]],RUBRO!$F$1:$O$88,3,FALSE)</f>
        <v>MAE3G-01</v>
      </c>
      <c r="G314" s="104" t="str">
        <f>VLOOKUP(Tabla1[[#This Row],[DNI ]],RUBRO!$F$1:$O$9996,5,FALSE)</f>
        <v>MAESTRO SOLDADOR 3G</v>
      </c>
      <c r="H314" s="66" t="str">
        <f>VLOOKUP(Tabla1[[#This Row],[DNI ]],RUBRO!$F$1:$O$9996,6,FALSE)</f>
        <v>LABAN SEVERINO EDWIN DENIS</v>
      </c>
      <c r="I314" s="94">
        <v>44328</v>
      </c>
      <c r="J314" s="10">
        <v>1</v>
      </c>
      <c r="K314" s="2">
        <v>47466045</v>
      </c>
      <c r="L314" s="4">
        <f>VLOOKUP(Tabla1[[#This Row],[DNI ]],RUBRO!$F$2:$O$9996,8,FALSE)</f>
        <v>70.38</v>
      </c>
      <c r="M314" s="88">
        <v>0.29166666666666669</v>
      </c>
      <c r="N314" s="28">
        <v>0.54166666666666663</v>
      </c>
      <c r="O314" s="28">
        <v>0.58333333333333337</v>
      </c>
      <c r="P314" s="28">
        <v>0.79166666666666663</v>
      </c>
      <c r="Q314" s="31">
        <f>(Tabla1[[#This Row],[SALIDA]]-Tabla1[[#This Row],[FIN ]])+(Tabla1[[#This Row],[INICIO]]-Tabla1[[#This Row],[INGRESO]])</f>
        <v>0.4583333333333332</v>
      </c>
      <c r="R314" s="13">
        <f t="shared" si="13"/>
        <v>0.375</v>
      </c>
      <c r="S314" s="31">
        <f t="shared" si="14"/>
        <v>8.3333333333333204E-2</v>
      </c>
      <c r="T314" s="136"/>
      <c r="U314" s="136"/>
      <c r="V314" s="137">
        <f>(Tabla1[[#This Row],[COS.BASE 3]]*0.25+Tabla1[[#This Row],[COS.BASE 3]])*Tabla1[[#This Row],[HORAS 25 % ]]</f>
        <v>0</v>
      </c>
      <c r="W314" s="138">
        <f>(Tabla1[[#This Row],[COS.BASE 3]]*0.35+Tabla1[[#This Row],[COS.BASE 3]])*Tabla1[[#This Row],[HORAS 35% ]]</f>
        <v>0</v>
      </c>
      <c r="X314" s="138">
        <f>SUM(Tabla1[[#This Row],[C.HORA.35]],Tabla1[[#This Row],[C.HORA.25]])</f>
        <v>0</v>
      </c>
      <c r="Y314" s="4"/>
      <c r="Z314" s="10">
        <f>Tabla1[[#This Row],[T.HORAS]]*24</f>
        <v>10.999999999999996</v>
      </c>
      <c r="AA314" s="4">
        <f>Tabla1[[#This Row],[H.NORMALES]]*24</f>
        <v>9</v>
      </c>
      <c r="AB314" s="10">
        <f>Tabla1[[#This Row],[H.EXTRAS]]*24</f>
        <v>1.9999999999999969</v>
      </c>
      <c r="AC314" s="105">
        <f t="shared" si="15"/>
        <v>70.38</v>
      </c>
      <c r="AD314" s="120">
        <f>Tabla1[[#This Row],[COS.BASE 2]]/8</f>
        <v>8.7974999999999994</v>
      </c>
      <c r="AE314" s="105">
        <f>Tabla1[[#This Row],[CST_H_E]]+Tabla1[[#This Row],[COS.BASE 2]]</f>
        <v>70.38</v>
      </c>
      <c r="AF314" s="106">
        <f>+_xlfn.IFNA(INDEX(RUBRO!$W$2:$AA$732,MATCH(Tabla1[[#This Row],[FECHA ]],RUBRO!$W$2:$W$732,0),5)," ")</f>
        <v>0</v>
      </c>
      <c r="AG314" s="10">
        <f>+_xlfn.IFNA(INDEX(RUBRO!$W$2:$AA$732,MATCH(Tabla1[[#This Row],[FECHA ]],RUBRO!$W$2:$W$732,0),2)," ")</f>
        <v>0</v>
      </c>
      <c r="AH314" s="40">
        <f>IFERROR(Tabla1[[#This Row],[F]]*Tabla1[[#This Row],[COS.B+E]]," ")</f>
        <v>0</v>
      </c>
      <c r="AI314" s="40">
        <f>IFERROR(Tabla1[[#This Row],[COS.B+E]]*Tabla1[[#This Row],[D]]," ")</f>
        <v>0</v>
      </c>
      <c r="AJ314" s="40" t="str">
        <f>IFERROR(Tabla1[[#This Row],[F]]*#REF!," ")</f>
        <v xml:space="preserve"> </v>
      </c>
      <c r="AK314" s="40" t="str">
        <f>IFERROR(#REF!*Tabla1[[#This Row],[D]]," ")</f>
        <v xml:space="preserve"> </v>
      </c>
      <c r="AL314" s="103"/>
      <c r="AM314" s="103"/>
      <c r="AN314" s="103"/>
      <c r="AO314" s="38">
        <f>+Tabla1[[#This Row],[COS.B+E]]+Tabla1[[#This Row],[COS.F1]]+Tabla1[[#This Row],[COS.D1]]+Tabla1[[#This Row],[ALIMENTACION]]+Tabla1[[#This Row],[PRESTAMO]]+AN314</f>
        <v>70.38</v>
      </c>
      <c r="AP314" s="38" t="e">
        <f>+#REF!+Tabla1[[#This Row],[COS F2]]+Tabla1[[#This Row],[COS D2]]+Tabla1[[#This Row],[ALIMENTACION]]+Tabla1[[#This Row],[PRESTAMO]]+Tabla1[[#This Row],[PASAJES]]</f>
        <v>#REF!</v>
      </c>
    </row>
    <row r="315" spans="1:42" x14ac:dyDescent="0.25">
      <c r="A315" s="2" t="str">
        <f>TEXT(Tabla1[[#This Row],[FECHA ]],"DDDDD")</f>
        <v>miércoles</v>
      </c>
      <c r="B315" s="2" t="str">
        <f>_xlfn.IFNA(VLOOKUP(Tabla1[[#This Row],[DESTINO]],RUBRO!$Q$1:$R$9996,2,FALSE)," ")</f>
        <v>OBRA</v>
      </c>
      <c r="C315" s="104">
        <f>WEEKNUM(Tabla1[[#This Row],[FECHA ]],2)</f>
        <v>20</v>
      </c>
      <c r="D315" s="104" t="str">
        <f>TEXT(Tabla1[[#This Row],[FECHA ]],"MMM-YY")</f>
        <v>may-YY</v>
      </c>
      <c r="E315" s="104" t="str">
        <f>VLOOKUP(Tabla1[[#This Row],[DNI ]],RUBRO!$F$1:$O$9996,7,FALSE)</f>
        <v>5ta</v>
      </c>
      <c r="F315" s="104" t="str">
        <f>VLOOKUP(Tabla1[[#This Row],[DNI ]],RUBRO!$F$1:$O$88,3,FALSE)</f>
        <v>AYU-VA</v>
      </c>
      <c r="G315" s="104" t="str">
        <f>VLOOKUP(Tabla1[[#This Row],[DNI ]],RUBRO!$F$1:$O$9996,5,FALSE)</f>
        <v>AYUDANTE DE PRODUCCION</v>
      </c>
      <c r="H315" s="66" t="str">
        <f>VLOOKUP(Tabla1[[#This Row],[DNI ]],RUBRO!$F$1:$O$9996,6,FALSE)</f>
        <v xml:space="preserve">LOPEZ TANTARICO ELY </v>
      </c>
      <c r="I315" s="94">
        <v>44328</v>
      </c>
      <c r="J315" s="10">
        <v>2</v>
      </c>
      <c r="K315" s="2">
        <v>62188868</v>
      </c>
      <c r="L315" s="4">
        <f>VLOOKUP(Tabla1[[#This Row],[DNI ]],RUBRO!$F$2:$O$9996,8,FALSE)</f>
        <v>39.15</v>
      </c>
      <c r="M315" s="88">
        <v>0.29166666666666669</v>
      </c>
      <c r="N315" s="28">
        <v>0.54166666666666663</v>
      </c>
      <c r="O315" s="28">
        <v>0.58333333333333337</v>
      </c>
      <c r="P315" s="28">
        <v>0.79166666666666663</v>
      </c>
      <c r="Q315" s="31">
        <f>(Tabla1[[#This Row],[SALIDA]]-Tabla1[[#This Row],[FIN ]])+(Tabla1[[#This Row],[INICIO]]-Tabla1[[#This Row],[INGRESO]])</f>
        <v>0.4583333333333332</v>
      </c>
      <c r="R315" s="13">
        <f t="shared" si="13"/>
        <v>0.33333333333333331</v>
      </c>
      <c r="S315" s="31">
        <f t="shared" si="14"/>
        <v>0.12499999999999989</v>
      </c>
      <c r="T315" s="136"/>
      <c r="U315" s="136"/>
      <c r="V315" s="137">
        <f>(Tabla1[[#This Row],[COS.BASE 3]]*0.25+Tabla1[[#This Row],[COS.BASE 3]])*Tabla1[[#This Row],[HORAS 25 % ]]</f>
        <v>0</v>
      </c>
      <c r="W315" s="138">
        <f>(Tabla1[[#This Row],[COS.BASE 3]]*0.35+Tabla1[[#This Row],[COS.BASE 3]])*Tabla1[[#This Row],[HORAS 35% ]]</f>
        <v>0</v>
      </c>
      <c r="X315" s="138">
        <f>SUM(Tabla1[[#This Row],[C.HORA.35]],Tabla1[[#This Row],[C.HORA.25]])</f>
        <v>0</v>
      </c>
      <c r="Y315" s="4"/>
      <c r="Z315" s="10">
        <f>Tabla1[[#This Row],[T.HORAS]]*24</f>
        <v>10.999999999999996</v>
      </c>
      <c r="AA315" s="4">
        <f>Tabla1[[#This Row],[H.NORMALES]]*24</f>
        <v>8</v>
      </c>
      <c r="AB315" s="10">
        <f>Tabla1[[#This Row],[H.EXTRAS]]*24</f>
        <v>2.9999999999999973</v>
      </c>
      <c r="AC315" s="105">
        <f t="shared" si="15"/>
        <v>39.15</v>
      </c>
      <c r="AD315" s="120">
        <f>Tabla1[[#This Row],[COS.BASE 2]]/8</f>
        <v>4.8937499999999998</v>
      </c>
      <c r="AE315" s="105">
        <f>Tabla1[[#This Row],[CST_H_E]]+Tabla1[[#This Row],[COS.BASE 2]]</f>
        <v>39.15</v>
      </c>
      <c r="AF315" s="106">
        <f>+_xlfn.IFNA(INDEX(RUBRO!$W$2:$AA$732,MATCH(Tabla1[[#This Row],[FECHA ]],RUBRO!$W$2:$W$732,0),5)," ")</f>
        <v>0</v>
      </c>
      <c r="AG315" s="10">
        <f>+_xlfn.IFNA(INDEX(RUBRO!$W$2:$AA$732,MATCH(Tabla1[[#This Row],[FECHA ]],RUBRO!$W$2:$W$732,0),2)," ")</f>
        <v>0</v>
      </c>
      <c r="AH315" s="40">
        <f>IFERROR(Tabla1[[#This Row],[F]]*Tabla1[[#This Row],[COS.B+E]]," ")</f>
        <v>0</v>
      </c>
      <c r="AI315" s="40">
        <f>IFERROR(Tabla1[[#This Row],[COS.B+E]]*Tabla1[[#This Row],[D]]," ")</f>
        <v>0</v>
      </c>
      <c r="AJ315" s="40" t="str">
        <f>IFERROR(Tabla1[[#This Row],[F]]*#REF!," ")</f>
        <v xml:space="preserve"> </v>
      </c>
      <c r="AK315" s="40" t="str">
        <f>IFERROR(#REF!*Tabla1[[#This Row],[D]]," ")</f>
        <v xml:space="preserve"> </v>
      </c>
      <c r="AL315" s="103"/>
      <c r="AM315" s="103"/>
      <c r="AN315" s="103"/>
      <c r="AO315" s="38">
        <f>+Tabla1[[#This Row],[COS.B+E]]+Tabla1[[#This Row],[COS.F1]]+Tabla1[[#This Row],[COS.D1]]+Tabla1[[#This Row],[ALIMENTACION]]+Tabla1[[#This Row],[PRESTAMO]]+AN315</f>
        <v>39.15</v>
      </c>
      <c r="AP315" s="38" t="e">
        <f>+#REF!+Tabla1[[#This Row],[COS F2]]+Tabla1[[#This Row],[COS D2]]+Tabla1[[#This Row],[ALIMENTACION]]+Tabla1[[#This Row],[PRESTAMO]]+Tabla1[[#This Row],[PASAJES]]</f>
        <v>#REF!</v>
      </c>
    </row>
    <row r="316" spans="1:42" x14ac:dyDescent="0.25">
      <c r="A316" s="2" t="str">
        <f>TEXT(Tabla1[[#This Row],[FECHA ]],"DDDDD")</f>
        <v>miércoles</v>
      </c>
      <c r="B316" s="2" t="str">
        <f>_xlfn.IFNA(VLOOKUP(Tabla1[[#This Row],[DESTINO]],RUBRO!$Q$1:$R$9996,2,FALSE)," ")</f>
        <v>OBRA</v>
      </c>
      <c r="C316" s="104">
        <f>WEEKNUM(Tabla1[[#This Row],[FECHA ]],2)</f>
        <v>20</v>
      </c>
      <c r="D316" s="104" t="str">
        <f>TEXT(Tabla1[[#This Row],[FECHA ]],"MMM-YY")</f>
        <v>may-YY</v>
      </c>
      <c r="E316" s="104" t="str">
        <f>VLOOKUP(Tabla1[[#This Row],[DNI ]],RUBRO!$F$1:$O$9996,7,FALSE)</f>
        <v>5ta</v>
      </c>
      <c r="F316" s="104" t="str">
        <f>VLOOKUP(Tabla1[[#This Row],[DNI ]],RUBRO!$F$1:$O$88,3,FALSE)</f>
        <v>TEC-02</v>
      </c>
      <c r="G316" s="104" t="str">
        <f>VLOOKUP(Tabla1[[#This Row],[DNI ]],RUBRO!$F$1:$O$9996,5,FALSE)</f>
        <v>TECNICO MECANICO MONTAJISTA DE MAQUINARIA</v>
      </c>
      <c r="H316" s="66" t="str">
        <f>VLOOKUP(Tabla1[[#This Row],[DNI ]],RUBRO!$F$1:$O$9996,6,FALSE)</f>
        <v>MEJIA AYALA LUIS MANUEL</v>
      </c>
      <c r="I316" s="94">
        <v>44328</v>
      </c>
      <c r="J316" s="10">
        <v>2</v>
      </c>
      <c r="K316" s="2">
        <v>73541627</v>
      </c>
      <c r="L316" s="4">
        <f>VLOOKUP(Tabla1[[#This Row],[DNI ]],RUBRO!$F$2:$O$9996,8,FALSE)</f>
        <v>55</v>
      </c>
      <c r="M316" s="88">
        <v>0.29166666666666669</v>
      </c>
      <c r="N316" s="28">
        <v>0.54166666666666663</v>
      </c>
      <c r="O316" s="28">
        <v>0.58333333333333337</v>
      </c>
      <c r="P316" s="28">
        <v>0.79166666666666663</v>
      </c>
      <c r="Q316" s="31">
        <f>(Tabla1[[#This Row],[SALIDA]]-Tabla1[[#This Row],[FIN ]])+(Tabla1[[#This Row],[INICIO]]-Tabla1[[#This Row],[INGRESO]])</f>
        <v>0.4583333333333332</v>
      </c>
      <c r="R316" s="13">
        <f t="shared" si="13"/>
        <v>0.33333333333333331</v>
      </c>
      <c r="S316" s="31">
        <f t="shared" si="14"/>
        <v>0.12499999999999989</v>
      </c>
      <c r="T316" s="136"/>
      <c r="U316" s="136"/>
      <c r="V316" s="137">
        <f>(Tabla1[[#This Row],[COS.BASE 3]]*0.25+Tabla1[[#This Row],[COS.BASE 3]])*Tabla1[[#This Row],[HORAS 25 % ]]</f>
        <v>0</v>
      </c>
      <c r="W316" s="138">
        <f>(Tabla1[[#This Row],[COS.BASE 3]]*0.35+Tabla1[[#This Row],[COS.BASE 3]])*Tabla1[[#This Row],[HORAS 35% ]]</f>
        <v>0</v>
      </c>
      <c r="X316" s="138">
        <f>SUM(Tabla1[[#This Row],[C.HORA.35]],Tabla1[[#This Row],[C.HORA.25]])</f>
        <v>0</v>
      </c>
      <c r="Y316" s="4"/>
      <c r="Z316" s="10">
        <f>Tabla1[[#This Row],[T.HORAS]]*24</f>
        <v>10.999999999999996</v>
      </c>
      <c r="AA316" s="4">
        <f>Tabla1[[#This Row],[H.NORMALES]]*24</f>
        <v>8</v>
      </c>
      <c r="AB316" s="10">
        <f>Tabla1[[#This Row],[H.EXTRAS]]*24</f>
        <v>2.9999999999999973</v>
      </c>
      <c r="AC316" s="105">
        <f t="shared" si="15"/>
        <v>55</v>
      </c>
      <c r="AD316" s="120">
        <f>Tabla1[[#This Row],[COS.BASE 2]]/8</f>
        <v>6.875</v>
      </c>
      <c r="AE316" s="105">
        <f>Tabla1[[#This Row],[CST_H_E]]+Tabla1[[#This Row],[COS.BASE 2]]</f>
        <v>55</v>
      </c>
      <c r="AF316" s="106">
        <f>+_xlfn.IFNA(INDEX(RUBRO!$W$2:$AA$732,MATCH(Tabla1[[#This Row],[FECHA ]],RUBRO!$W$2:$W$732,0),5)," ")</f>
        <v>0</v>
      </c>
      <c r="AG316" s="10">
        <f>+_xlfn.IFNA(INDEX(RUBRO!$W$2:$AA$732,MATCH(Tabla1[[#This Row],[FECHA ]],RUBRO!$W$2:$W$732,0),2)," ")</f>
        <v>0</v>
      </c>
      <c r="AH316" s="40">
        <f>IFERROR(Tabla1[[#This Row],[F]]*Tabla1[[#This Row],[COS.B+E]]," ")</f>
        <v>0</v>
      </c>
      <c r="AI316" s="40">
        <f>IFERROR(Tabla1[[#This Row],[COS.B+E]]*Tabla1[[#This Row],[D]]," ")</f>
        <v>0</v>
      </c>
      <c r="AJ316" s="40" t="str">
        <f>IFERROR(Tabla1[[#This Row],[F]]*#REF!," ")</f>
        <v xml:space="preserve"> </v>
      </c>
      <c r="AK316" s="40" t="str">
        <f>IFERROR(#REF!*Tabla1[[#This Row],[D]]," ")</f>
        <v xml:space="preserve"> </v>
      </c>
      <c r="AL316" s="103"/>
      <c r="AM316" s="103"/>
      <c r="AN316" s="103"/>
      <c r="AO316" s="38">
        <f>+Tabla1[[#This Row],[COS.B+E]]+Tabla1[[#This Row],[COS.F1]]+Tabla1[[#This Row],[COS.D1]]+Tabla1[[#This Row],[ALIMENTACION]]+Tabla1[[#This Row],[PRESTAMO]]+AN316</f>
        <v>55</v>
      </c>
      <c r="AP316" s="38" t="e">
        <f>+#REF!+Tabla1[[#This Row],[COS F2]]+Tabla1[[#This Row],[COS D2]]+Tabla1[[#This Row],[ALIMENTACION]]+Tabla1[[#This Row],[PRESTAMO]]+Tabla1[[#This Row],[PASAJES]]</f>
        <v>#REF!</v>
      </c>
    </row>
    <row r="317" spans="1:42" x14ac:dyDescent="0.25">
      <c r="A317" s="2" t="str">
        <f>TEXT(Tabla1[[#This Row],[FECHA ]],"DDDDD")</f>
        <v>miércoles</v>
      </c>
      <c r="B317" s="2" t="str">
        <f>_xlfn.IFNA(VLOOKUP(Tabla1[[#This Row],[DESTINO]],RUBRO!$Q$1:$R$9996,2,FALSE)," ")</f>
        <v>OBRA</v>
      </c>
      <c r="C317" s="104">
        <f>WEEKNUM(Tabla1[[#This Row],[FECHA ]],2)</f>
        <v>20</v>
      </c>
      <c r="D317" s="104" t="str">
        <f>TEXT(Tabla1[[#This Row],[FECHA ]],"MMM-YY")</f>
        <v>may-YY</v>
      </c>
      <c r="E317" s="104" t="str">
        <f>VLOOKUP(Tabla1[[#This Row],[DNI ]],RUBRO!$F$1:$O$9996,7,FALSE)</f>
        <v>5ta</v>
      </c>
      <c r="F317" s="104" t="str">
        <f>VLOOKUP(Tabla1[[#This Row],[DNI ]],RUBRO!$F$1:$O$88,3,FALSE)</f>
        <v>TEC-04</v>
      </c>
      <c r="G317" s="104" t="str">
        <f>VLOOKUP(Tabla1[[#This Row],[DNI ]],RUBRO!$F$1:$O$9996,5,FALSE)</f>
        <v>TECNICO MECANICO MONTAJISTA DE MAQUINARIA EXTRANJERA</v>
      </c>
      <c r="H317" s="66" t="str">
        <f>VLOOKUP(Tabla1[[#This Row],[DNI ]],RUBRO!$F$1:$O$9996,6,FALSE)</f>
        <v>MEREGILDO CABRERA RICARDO JOEL</v>
      </c>
      <c r="I317" s="94">
        <v>44328</v>
      </c>
      <c r="J317" s="10">
        <v>2</v>
      </c>
      <c r="K317" s="2">
        <v>76811302</v>
      </c>
      <c r="L317" s="4">
        <f>VLOOKUP(Tabla1[[#This Row],[DNI ]],RUBRO!$F$2:$O$9996,8,FALSE)</f>
        <v>60</v>
      </c>
      <c r="M317" s="88">
        <v>0</v>
      </c>
      <c r="N317" s="28">
        <v>0.33333333333333331</v>
      </c>
      <c r="O317" s="28">
        <v>0.35416666666666669</v>
      </c>
      <c r="P317" s="28">
        <v>0.875</v>
      </c>
      <c r="Q317" s="31">
        <f>(Tabla1[[#This Row],[SALIDA]]-Tabla1[[#This Row],[FIN ]])+(Tabla1[[#This Row],[INICIO]]-Tabla1[[#This Row],[INGRESO]])</f>
        <v>0.85416666666666652</v>
      </c>
      <c r="R317" s="13">
        <f t="shared" si="13"/>
        <v>0.33333333333333331</v>
      </c>
      <c r="S317" s="31">
        <f t="shared" si="14"/>
        <v>0.52083333333333326</v>
      </c>
      <c r="T317" s="136"/>
      <c r="U317" s="136"/>
      <c r="V317" s="137">
        <f>(Tabla1[[#This Row],[COS.BASE 3]]*0.25+Tabla1[[#This Row],[COS.BASE 3]])*Tabla1[[#This Row],[HORAS 25 % ]]</f>
        <v>0</v>
      </c>
      <c r="W317" s="138">
        <f>(Tabla1[[#This Row],[COS.BASE 3]]*0.35+Tabla1[[#This Row],[COS.BASE 3]])*Tabla1[[#This Row],[HORAS 35% ]]</f>
        <v>0</v>
      </c>
      <c r="X317" s="138">
        <f>SUM(Tabla1[[#This Row],[C.HORA.35]],Tabla1[[#This Row],[C.HORA.25]])</f>
        <v>0</v>
      </c>
      <c r="Y317" s="4"/>
      <c r="Z317" s="10">
        <f>Tabla1[[#This Row],[T.HORAS]]*24</f>
        <v>20.499999999999996</v>
      </c>
      <c r="AA317" s="4">
        <f>Tabla1[[#This Row],[H.NORMALES]]*24</f>
        <v>8</v>
      </c>
      <c r="AB317" s="10">
        <f>Tabla1[[#This Row],[H.EXTRAS]]*24</f>
        <v>12.499999999999998</v>
      </c>
      <c r="AC317" s="105">
        <f t="shared" si="15"/>
        <v>60</v>
      </c>
      <c r="AD317" s="120">
        <f>Tabla1[[#This Row],[COS.BASE 2]]/8</f>
        <v>7.5</v>
      </c>
      <c r="AE317" s="105">
        <f>Tabla1[[#This Row],[CST_H_E]]+Tabla1[[#This Row],[COS.BASE 2]]</f>
        <v>60</v>
      </c>
      <c r="AF317" s="106">
        <f>+_xlfn.IFNA(INDEX(RUBRO!$W$2:$AA$732,MATCH(Tabla1[[#This Row],[FECHA ]],RUBRO!$W$2:$W$732,0),5)," ")</f>
        <v>0</v>
      </c>
      <c r="AG317" s="10">
        <f>+_xlfn.IFNA(INDEX(RUBRO!$W$2:$AA$732,MATCH(Tabla1[[#This Row],[FECHA ]],RUBRO!$W$2:$W$732,0),2)," ")</f>
        <v>0</v>
      </c>
      <c r="AH317" s="40">
        <f>IFERROR(Tabla1[[#This Row],[F]]*Tabla1[[#This Row],[COS.B+E]]," ")</f>
        <v>0</v>
      </c>
      <c r="AI317" s="40">
        <f>IFERROR(Tabla1[[#This Row],[COS.B+E]]*Tabla1[[#This Row],[D]]," ")</f>
        <v>0</v>
      </c>
      <c r="AJ317" s="40" t="str">
        <f>IFERROR(Tabla1[[#This Row],[F]]*#REF!," ")</f>
        <v xml:space="preserve"> </v>
      </c>
      <c r="AK317" s="40" t="str">
        <f>IFERROR(#REF!*Tabla1[[#This Row],[D]]," ")</f>
        <v xml:space="preserve"> </v>
      </c>
      <c r="AL317" s="103"/>
      <c r="AM317" s="103"/>
      <c r="AN317" s="103"/>
      <c r="AO317" s="38">
        <f>+Tabla1[[#This Row],[COS.B+E]]+Tabla1[[#This Row],[COS.F1]]+Tabla1[[#This Row],[COS.D1]]+Tabla1[[#This Row],[ALIMENTACION]]+Tabla1[[#This Row],[PRESTAMO]]+AN317</f>
        <v>60</v>
      </c>
      <c r="AP317" s="38" t="e">
        <f>+#REF!+Tabla1[[#This Row],[COS F2]]+Tabla1[[#This Row],[COS D2]]+Tabla1[[#This Row],[ALIMENTACION]]+Tabla1[[#This Row],[PRESTAMO]]+Tabla1[[#This Row],[PASAJES]]</f>
        <v>#REF!</v>
      </c>
    </row>
    <row r="318" spans="1:42" x14ac:dyDescent="0.25">
      <c r="A318" s="2" t="str">
        <f>TEXT(Tabla1[[#This Row],[FECHA ]],"DDDDD")</f>
        <v>miércoles</v>
      </c>
      <c r="B318" s="2" t="str">
        <f>_xlfn.IFNA(VLOOKUP(Tabla1[[#This Row],[DESTINO]],RUBRO!$Q$1:$R$9996,2,FALSE)," ")</f>
        <v>OBRA</v>
      </c>
      <c r="C318" s="104">
        <f>WEEKNUM(Tabla1[[#This Row],[FECHA ]],2)</f>
        <v>20</v>
      </c>
      <c r="D318" s="104" t="str">
        <f>TEXT(Tabla1[[#This Row],[FECHA ]],"MMM-YY")</f>
        <v>may-YY</v>
      </c>
      <c r="E318" s="104" t="str">
        <f>VLOOKUP(Tabla1[[#This Row],[DNI ]],RUBRO!$F$1:$O$9996,7,FALSE)</f>
        <v xml:space="preserve">5ta </v>
      </c>
      <c r="F318" s="104" t="str">
        <f>VLOOKUP(Tabla1[[#This Row],[DNI ]],RUBRO!$F$1:$O$88,3,FALSE)</f>
        <v>AYU-VA</v>
      </c>
      <c r="G318" s="104" t="str">
        <f>VLOOKUP(Tabla1[[#This Row],[DNI ]],RUBRO!$F$1:$O$9996,5,FALSE)</f>
        <v>AYUDANTE DE PRODUCCION</v>
      </c>
      <c r="H318" s="66" t="str">
        <f>VLOOKUP(Tabla1[[#This Row],[DNI ]],RUBRO!$F$1:$O$9996,6,FALSE)</f>
        <v>MIO QUIÑONES ALEXIS</v>
      </c>
      <c r="I318" s="94">
        <v>44328</v>
      </c>
      <c r="J318" s="10">
        <v>2</v>
      </c>
      <c r="K318" s="2">
        <v>76457697</v>
      </c>
      <c r="L318" s="4">
        <f>VLOOKUP(Tabla1[[#This Row],[DNI ]],RUBRO!$F$2:$O$9996,8,FALSE)</f>
        <v>45</v>
      </c>
      <c r="M318" s="88">
        <v>0.125</v>
      </c>
      <c r="N318" s="28">
        <v>0.54166666666666663</v>
      </c>
      <c r="O318" s="28">
        <v>0.58333333333333337</v>
      </c>
      <c r="P318" s="28">
        <v>0.79166666666666663</v>
      </c>
      <c r="Q318" s="31">
        <f>(Tabla1[[#This Row],[SALIDA]]-Tabla1[[#This Row],[FIN ]])+(Tabla1[[#This Row],[INICIO]]-Tabla1[[#This Row],[INGRESO]])</f>
        <v>0.62499999999999989</v>
      </c>
      <c r="R318" s="13">
        <f t="shared" si="13"/>
        <v>0.33333333333333331</v>
      </c>
      <c r="S318" s="31">
        <f t="shared" si="14"/>
        <v>0.29166666666666657</v>
      </c>
      <c r="T318" s="136"/>
      <c r="U318" s="136"/>
      <c r="V318" s="137">
        <f>(Tabla1[[#This Row],[COS.BASE 3]]*0.25+Tabla1[[#This Row],[COS.BASE 3]])*Tabla1[[#This Row],[HORAS 25 % ]]</f>
        <v>0</v>
      </c>
      <c r="W318" s="138">
        <f>(Tabla1[[#This Row],[COS.BASE 3]]*0.35+Tabla1[[#This Row],[COS.BASE 3]])*Tabla1[[#This Row],[HORAS 35% ]]</f>
        <v>0</v>
      </c>
      <c r="X318" s="138">
        <f>SUM(Tabla1[[#This Row],[C.HORA.35]],Tabla1[[#This Row],[C.HORA.25]])</f>
        <v>0</v>
      </c>
      <c r="Y318" s="4"/>
      <c r="Z318" s="10">
        <f>Tabla1[[#This Row],[T.HORAS]]*24</f>
        <v>14.999999999999996</v>
      </c>
      <c r="AA318" s="4">
        <f>Tabla1[[#This Row],[H.NORMALES]]*24</f>
        <v>8</v>
      </c>
      <c r="AB318" s="10">
        <f>Tabla1[[#This Row],[H.EXTRAS]]*24</f>
        <v>6.9999999999999982</v>
      </c>
      <c r="AC318" s="105">
        <f t="shared" si="15"/>
        <v>45</v>
      </c>
      <c r="AD318" s="120">
        <f>Tabla1[[#This Row],[COS.BASE 2]]/8</f>
        <v>5.625</v>
      </c>
      <c r="AE318" s="105">
        <f>Tabla1[[#This Row],[CST_H_E]]+Tabla1[[#This Row],[COS.BASE 2]]</f>
        <v>45</v>
      </c>
      <c r="AF318" s="106">
        <f>+_xlfn.IFNA(INDEX(RUBRO!$W$2:$AA$732,MATCH(Tabla1[[#This Row],[FECHA ]],RUBRO!$W$2:$W$732,0),5)," ")</f>
        <v>0</v>
      </c>
      <c r="AG318" s="10">
        <f>+_xlfn.IFNA(INDEX(RUBRO!$W$2:$AA$732,MATCH(Tabla1[[#This Row],[FECHA ]],RUBRO!$W$2:$W$732,0),2)," ")</f>
        <v>0</v>
      </c>
      <c r="AH318" s="40">
        <f>IFERROR(Tabla1[[#This Row],[F]]*Tabla1[[#This Row],[COS.B+E]]," ")</f>
        <v>0</v>
      </c>
      <c r="AI318" s="40">
        <f>IFERROR(Tabla1[[#This Row],[COS.B+E]]*Tabla1[[#This Row],[D]]," ")</f>
        <v>0</v>
      </c>
      <c r="AJ318" s="40" t="str">
        <f>IFERROR(Tabla1[[#This Row],[F]]*#REF!," ")</f>
        <v xml:space="preserve"> </v>
      </c>
      <c r="AK318" s="40" t="str">
        <f>IFERROR(#REF!*Tabla1[[#This Row],[D]]," ")</f>
        <v xml:space="preserve"> </v>
      </c>
      <c r="AL318" s="103"/>
      <c r="AM318" s="103"/>
      <c r="AN318" s="103"/>
      <c r="AO318" s="38">
        <f>+Tabla1[[#This Row],[COS.B+E]]+Tabla1[[#This Row],[COS.F1]]+Tabla1[[#This Row],[COS.D1]]+Tabla1[[#This Row],[ALIMENTACION]]+Tabla1[[#This Row],[PRESTAMO]]+AN318</f>
        <v>45</v>
      </c>
      <c r="AP318" s="38" t="e">
        <f>+#REF!+Tabla1[[#This Row],[COS F2]]+Tabla1[[#This Row],[COS D2]]+Tabla1[[#This Row],[ALIMENTACION]]+Tabla1[[#This Row],[PRESTAMO]]+Tabla1[[#This Row],[PASAJES]]</f>
        <v>#REF!</v>
      </c>
    </row>
    <row r="319" spans="1:42" x14ac:dyDescent="0.25">
      <c r="A319" s="2" t="str">
        <f>TEXT(Tabla1[[#This Row],[FECHA ]],"DDDDD")</f>
        <v>miércoles</v>
      </c>
      <c r="B319" s="2" t="str">
        <f>_xlfn.IFNA(VLOOKUP(Tabla1[[#This Row],[DESTINO]],RUBRO!$Q$1:$R$9996,2,FALSE)," ")</f>
        <v>OBRA</v>
      </c>
      <c r="C319" s="104">
        <f>WEEKNUM(Tabla1[[#This Row],[FECHA ]],2)</f>
        <v>20</v>
      </c>
      <c r="D319" s="104" t="str">
        <f>TEXT(Tabla1[[#This Row],[FECHA ]],"MMM-YY")</f>
        <v>may-YY</v>
      </c>
      <c r="E319" s="104">
        <f>VLOOKUP(Tabla1[[#This Row],[DNI ]],RUBRO!$F$1:$O$9996,7,FALSE)</f>
        <v>0</v>
      </c>
      <c r="F319" s="104" t="e">
        <f>VLOOKUP(Tabla1[[#This Row],[DNI ]],RUBRO!$F$1:$O$88,3,FALSE)</f>
        <v>#N/A</v>
      </c>
      <c r="G319" s="104">
        <f>VLOOKUP(Tabla1[[#This Row],[DNI ]],RUBRO!$F$1:$O$9996,5,FALSE)</f>
        <v>0</v>
      </c>
      <c r="H319" s="66" t="str">
        <f>VLOOKUP(Tabla1[[#This Row],[DNI ]],RUBRO!$F$1:$O$9996,6,FALSE)</f>
        <v>MONJA ACOSTA RONALD</v>
      </c>
      <c r="I319" s="94">
        <v>44328</v>
      </c>
      <c r="J319" s="10">
        <v>2</v>
      </c>
      <c r="K319" s="2">
        <v>75561146</v>
      </c>
      <c r="L319" s="4">
        <f>VLOOKUP(Tabla1[[#This Row],[DNI ]],RUBRO!$F$2:$O$9996,8,FALSE)</f>
        <v>0</v>
      </c>
      <c r="M319" s="88">
        <v>0.29166666666666669</v>
      </c>
      <c r="N319" s="28">
        <v>0.54166666666666663</v>
      </c>
      <c r="O319" s="28">
        <v>0.58333333333333337</v>
      </c>
      <c r="P319" s="28">
        <v>0.75</v>
      </c>
      <c r="Q319" s="31">
        <f>(Tabla1[[#This Row],[SALIDA]]-Tabla1[[#This Row],[FIN ]])+(Tabla1[[#This Row],[INICIO]]-Tabla1[[#This Row],[INGRESO]])</f>
        <v>0.41666666666666657</v>
      </c>
      <c r="R319" s="13">
        <f t="shared" si="13"/>
        <v>0.33333333333333331</v>
      </c>
      <c r="S319" s="31">
        <f t="shared" si="14"/>
        <v>8.3333333333333259E-2</v>
      </c>
      <c r="T319" s="136"/>
      <c r="U319" s="136"/>
      <c r="V319" s="137">
        <f>(Tabla1[[#This Row],[COS.BASE 3]]*0.25+Tabla1[[#This Row],[COS.BASE 3]])*Tabla1[[#This Row],[HORAS 25 % ]]</f>
        <v>0</v>
      </c>
      <c r="W319" s="138">
        <f>(Tabla1[[#This Row],[COS.BASE 3]]*0.35+Tabla1[[#This Row],[COS.BASE 3]])*Tabla1[[#This Row],[HORAS 35% ]]</f>
        <v>0</v>
      </c>
      <c r="X319" s="138">
        <f>SUM(Tabla1[[#This Row],[C.HORA.35]],Tabla1[[#This Row],[C.HORA.25]])</f>
        <v>0</v>
      </c>
      <c r="Y319" s="4"/>
      <c r="Z319" s="10">
        <f>Tabla1[[#This Row],[T.HORAS]]*24</f>
        <v>9.9999999999999982</v>
      </c>
      <c r="AA319" s="4">
        <f>Tabla1[[#This Row],[H.NORMALES]]*24</f>
        <v>8</v>
      </c>
      <c r="AB319" s="10">
        <f>Tabla1[[#This Row],[H.EXTRAS]]*24</f>
        <v>1.9999999999999982</v>
      </c>
      <c r="AC319" s="105">
        <f t="shared" si="15"/>
        <v>0</v>
      </c>
      <c r="AD319" s="120">
        <f>Tabla1[[#This Row],[COS.BASE 2]]/8</f>
        <v>0</v>
      </c>
      <c r="AE319" s="105">
        <f>Tabla1[[#This Row],[CST_H_E]]+Tabla1[[#This Row],[COS.BASE 2]]</f>
        <v>0</v>
      </c>
      <c r="AF319" s="106">
        <f>+_xlfn.IFNA(INDEX(RUBRO!$W$2:$AA$732,MATCH(Tabla1[[#This Row],[FECHA ]],RUBRO!$W$2:$W$732,0),5)," ")</f>
        <v>0</v>
      </c>
      <c r="AG319" s="10">
        <f>+_xlfn.IFNA(INDEX(RUBRO!$W$2:$AA$732,MATCH(Tabla1[[#This Row],[FECHA ]],RUBRO!$W$2:$W$732,0),2)," ")</f>
        <v>0</v>
      </c>
      <c r="AH319" s="40">
        <f>IFERROR(Tabla1[[#This Row],[F]]*Tabla1[[#This Row],[COS.B+E]]," ")</f>
        <v>0</v>
      </c>
      <c r="AI319" s="40">
        <f>IFERROR(Tabla1[[#This Row],[COS.B+E]]*Tabla1[[#This Row],[D]]," ")</f>
        <v>0</v>
      </c>
      <c r="AJ319" s="40" t="str">
        <f>IFERROR(Tabla1[[#This Row],[F]]*#REF!," ")</f>
        <v xml:space="preserve"> </v>
      </c>
      <c r="AK319" s="40" t="str">
        <f>IFERROR(#REF!*Tabla1[[#This Row],[D]]," ")</f>
        <v xml:space="preserve"> </v>
      </c>
      <c r="AL319" s="103"/>
      <c r="AM319" s="103"/>
      <c r="AN319" s="103"/>
      <c r="AO319" s="38">
        <f>+Tabla1[[#This Row],[COS.B+E]]+Tabla1[[#This Row],[COS.F1]]+Tabla1[[#This Row],[COS.D1]]+Tabla1[[#This Row],[ALIMENTACION]]+Tabla1[[#This Row],[PRESTAMO]]+AN319</f>
        <v>0</v>
      </c>
      <c r="AP319" s="38" t="e">
        <f>+#REF!+Tabla1[[#This Row],[COS F2]]+Tabla1[[#This Row],[COS D2]]+Tabla1[[#This Row],[ALIMENTACION]]+Tabla1[[#This Row],[PRESTAMO]]+Tabla1[[#This Row],[PASAJES]]</f>
        <v>#REF!</v>
      </c>
    </row>
    <row r="320" spans="1:42" x14ac:dyDescent="0.25">
      <c r="A320" s="2" t="str">
        <f>TEXT(Tabla1[[#This Row],[FECHA ]],"DDDDD")</f>
        <v>miércoles</v>
      </c>
      <c r="B320" s="2" t="str">
        <f>_xlfn.IFNA(VLOOKUP(Tabla1[[#This Row],[DESTINO]],RUBRO!$Q$1:$R$9996,2,FALSE)," ")</f>
        <v>PLANTA</v>
      </c>
      <c r="C320" s="104">
        <f>WEEKNUM(Tabla1[[#This Row],[FECHA ]],2)</f>
        <v>20</v>
      </c>
      <c r="D320" s="104" t="str">
        <f>TEXT(Tabla1[[#This Row],[FECHA ]],"MMM-YY")</f>
        <v>may-YY</v>
      </c>
      <c r="E320" s="104">
        <f>VLOOKUP(Tabla1[[#This Row],[DNI ]],RUBRO!$F$1:$O$9996,7,FALSE)</f>
        <v>0</v>
      </c>
      <c r="F320" s="104" t="e">
        <f>VLOOKUP(Tabla1[[#This Row],[DNI ]],RUBRO!$F$1:$O$88,3,FALSE)</f>
        <v>#N/A</v>
      </c>
      <c r="G320" s="104">
        <f>VLOOKUP(Tabla1[[#This Row],[DNI ]],RUBRO!$F$1:$O$9996,5,FALSE)</f>
        <v>0</v>
      </c>
      <c r="H320" s="66" t="str">
        <f>VLOOKUP(Tabla1[[#This Row],[DNI ]],RUBRO!$F$1:$O$9996,6,FALSE)</f>
        <v>MONTENEGRO DAVILA EVER</v>
      </c>
      <c r="I320" s="94">
        <v>44328</v>
      </c>
      <c r="J320" s="10">
        <v>1</v>
      </c>
      <c r="K320" s="2">
        <v>76847602</v>
      </c>
      <c r="L320" s="4">
        <f>VLOOKUP(Tabla1[[#This Row],[DNI ]],RUBRO!$F$2:$O$9996,8,FALSE)</f>
        <v>0</v>
      </c>
      <c r="M320" s="88">
        <v>0.29166666666666669</v>
      </c>
      <c r="N320" s="28">
        <v>0.54166666666666663</v>
      </c>
      <c r="O320" s="28">
        <v>0.58333333333333337</v>
      </c>
      <c r="P320" s="28">
        <v>0.79166666666666663</v>
      </c>
      <c r="Q320" s="31">
        <f>(Tabla1[[#This Row],[SALIDA]]-Tabla1[[#This Row],[FIN ]])+(Tabla1[[#This Row],[INICIO]]-Tabla1[[#This Row],[INGRESO]])</f>
        <v>0.4583333333333332</v>
      </c>
      <c r="R320" s="13">
        <f t="shared" si="13"/>
        <v>0.375</v>
      </c>
      <c r="S320" s="31">
        <f t="shared" si="14"/>
        <v>8.3333333333333204E-2</v>
      </c>
      <c r="T320" s="136"/>
      <c r="U320" s="136"/>
      <c r="V320" s="137">
        <f>(Tabla1[[#This Row],[COS.BASE 3]]*0.25+Tabla1[[#This Row],[COS.BASE 3]])*Tabla1[[#This Row],[HORAS 25 % ]]</f>
        <v>0</v>
      </c>
      <c r="W320" s="138">
        <f>(Tabla1[[#This Row],[COS.BASE 3]]*0.35+Tabla1[[#This Row],[COS.BASE 3]])*Tabla1[[#This Row],[HORAS 35% ]]</f>
        <v>0</v>
      </c>
      <c r="X320" s="138">
        <f>SUM(Tabla1[[#This Row],[C.HORA.35]],Tabla1[[#This Row],[C.HORA.25]])</f>
        <v>0</v>
      </c>
      <c r="Y320" s="4"/>
      <c r="Z320" s="10">
        <f>Tabla1[[#This Row],[T.HORAS]]*24</f>
        <v>10.999999999999996</v>
      </c>
      <c r="AA320" s="4">
        <f>Tabla1[[#This Row],[H.NORMALES]]*24</f>
        <v>9</v>
      </c>
      <c r="AB320" s="10">
        <f>Tabla1[[#This Row],[H.EXTRAS]]*24</f>
        <v>1.9999999999999969</v>
      </c>
      <c r="AC320" s="105">
        <f t="shared" si="15"/>
        <v>0</v>
      </c>
      <c r="AD320" s="120">
        <f>Tabla1[[#This Row],[COS.BASE 2]]/8</f>
        <v>0</v>
      </c>
      <c r="AE320" s="105">
        <f>Tabla1[[#This Row],[CST_H_E]]+Tabla1[[#This Row],[COS.BASE 2]]</f>
        <v>0</v>
      </c>
      <c r="AF320" s="106">
        <f>+_xlfn.IFNA(INDEX(RUBRO!$W$2:$AA$732,MATCH(Tabla1[[#This Row],[FECHA ]],RUBRO!$W$2:$W$732,0),5)," ")</f>
        <v>0</v>
      </c>
      <c r="AG320" s="10">
        <f>+_xlfn.IFNA(INDEX(RUBRO!$W$2:$AA$732,MATCH(Tabla1[[#This Row],[FECHA ]],RUBRO!$W$2:$W$732,0),2)," ")</f>
        <v>0</v>
      </c>
      <c r="AH320" s="40">
        <f>IFERROR(Tabla1[[#This Row],[F]]*Tabla1[[#This Row],[COS.B+E]]," ")</f>
        <v>0</v>
      </c>
      <c r="AI320" s="40">
        <f>IFERROR(Tabla1[[#This Row],[COS.B+E]]*Tabla1[[#This Row],[D]]," ")</f>
        <v>0</v>
      </c>
      <c r="AJ320" s="40" t="str">
        <f>IFERROR(Tabla1[[#This Row],[F]]*#REF!," ")</f>
        <v xml:space="preserve"> </v>
      </c>
      <c r="AK320" s="40" t="str">
        <f>IFERROR(#REF!*Tabla1[[#This Row],[D]]," ")</f>
        <v xml:space="preserve"> </v>
      </c>
      <c r="AL320" s="103"/>
      <c r="AM320" s="103"/>
      <c r="AN320" s="103"/>
      <c r="AO320" s="38">
        <f>+Tabla1[[#This Row],[COS.B+E]]+Tabla1[[#This Row],[COS.F1]]+Tabla1[[#This Row],[COS.D1]]+Tabla1[[#This Row],[ALIMENTACION]]+Tabla1[[#This Row],[PRESTAMO]]+AN320</f>
        <v>0</v>
      </c>
      <c r="AP320" s="38" t="e">
        <f>+#REF!+Tabla1[[#This Row],[COS F2]]+Tabla1[[#This Row],[COS D2]]+Tabla1[[#This Row],[ALIMENTACION]]+Tabla1[[#This Row],[PRESTAMO]]+Tabla1[[#This Row],[PASAJES]]</f>
        <v>#REF!</v>
      </c>
    </row>
    <row r="321" spans="1:42" x14ac:dyDescent="0.25">
      <c r="A321" s="2" t="str">
        <f>TEXT(Tabla1[[#This Row],[FECHA ]],"DDDDD")</f>
        <v>miércoles</v>
      </c>
      <c r="B321" s="2" t="str">
        <f>_xlfn.IFNA(VLOOKUP(Tabla1[[#This Row],[DESTINO]],RUBRO!$Q$1:$R$9996,2,FALSE)," ")</f>
        <v>OBRA</v>
      </c>
      <c r="C321" s="104">
        <f>WEEKNUM(Tabla1[[#This Row],[FECHA ]],2)</f>
        <v>20</v>
      </c>
      <c r="D321" s="104" t="str">
        <f>TEXT(Tabla1[[#This Row],[FECHA ]],"MMM-YY")</f>
        <v>may-YY</v>
      </c>
      <c r="E321" s="104" t="str">
        <f>VLOOKUP(Tabla1[[#This Row],[DNI ]],RUBRO!$F$1:$O$9996,7,FALSE)</f>
        <v>5ta</v>
      </c>
      <c r="F321" s="104" t="str">
        <f>VLOOKUP(Tabla1[[#This Row],[DNI ]],RUBRO!$F$1:$O$88,3,FALSE)</f>
        <v>TEC-01</v>
      </c>
      <c r="G321" s="104" t="str">
        <f>VLOOKUP(Tabla1[[#This Row],[DNI ]],RUBRO!$F$1:$O$9996,5,FALSE)</f>
        <v>TECNICO SOLDADOR</v>
      </c>
      <c r="H321" s="66" t="str">
        <f>VLOOKUP(Tabla1[[#This Row],[DNI ]],RUBRO!$F$1:$O$9996,6,FALSE)</f>
        <v>MUÑOZ EXEBIO IRWIS MANUEL</v>
      </c>
      <c r="I321" s="94">
        <v>44328</v>
      </c>
      <c r="J321" s="10">
        <v>2</v>
      </c>
      <c r="K321" s="2">
        <v>46933574</v>
      </c>
      <c r="L321" s="4">
        <f>VLOOKUP(Tabla1[[#This Row],[DNI ]],RUBRO!$F$2:$O$9996,8,FALSE)</f>
        <v>65</v>
      </c>
      <c r="M321" s="88">
        <v>0.29166666666666669</v>
      </c>
      <c r="N321" s="28">
        <v>0.54166666666666663</v>
      </c>
      <c r="O321" s="28">
        <v>0.58333333333333337</v>
      </c>
      <c r="P321" s="28">
        <v>0.75</v>
      </c>
      <c r="Q321" s="31">
        <f>(Tabla1[[#This Row],[SALIDA]]-Tabla1[[#This Row],[FIN ]])+(Tabla1[[#This Row],[INICIO]]-Tabla1[[#This Row],[INGRESO]])</f>
        <v>0.41666666666666657</v>
      </c>
      <c r="R321" s="13">
        <f t="shared" si="13"/>
        <v>0.33333333333333331</v>
      </c>
      <c r="S321" s="31">
        <f t="shared" si="14"/>
        <v>8.3333333333333259E-2</v>
      </c>
      <c r="T321" s="136"/>
      <c r="U321" s="136"/>
      <c r="V321" s="137">
        <f>(Tabla1[[#This Row],[COS.BASE 3]]*0.25+Tabla1[[#This Row],[COS.BASE 3]])*Tabla1[[#This Row],[HORAS 25 % ]]</f>
        <v>0</v>
      </c>
      <c r="W321" s="138">
        <f>(Tabla1[[#This Row],[COS.BASE 3]]*0.35+Tabla1[[#This Row],[COS.BASE 3]])*Tabla1[[#This Row],[HORAS 35% ]]</f>
        <v>0</v>
      </c>
      <c r="X321" s="138">
        <f>SUM(Tabla1[[#This Row],[C.HORA.35]],Tabla1[[#This Row],[C.HORA.25]])</f>
        <v>0</v>
      </c>
      <c r="Y321" s="4"/>
      <c r="Z321" s="10">
        <f>Tabla1[[#This Row],[T.HORAS]]*24</f>
        <v>9.9999999999999982</v>
      </c>
      <c r="AA321" s="4">
        <f>Tabla1[[#This Row],[H.NORMALES]]*24</f>
        <v>8</v>
      </c>
      <c r="AB321" s="10">
        <f>Tabla1[[#This Row],[H.EXTRAS]]*24</f>
        <v>1.9999999999999982</v>
      </c>
      <c r="AC321" s="105">
        <f t="shared" si="15"/>
        <v>65</v>
      </c>
      <c r="AD321" s="120">
        <f>Tabla1[[#This Row],[COS.BASE 2]]/8</f>
        <v>8.125</v>
      </c>
      <c r="AE321" s="105">
        <f>Tabla1[[#This Row],[CST_H_E]]+Tabla1[[#This Row],[COS.BASE 2]]</f>
        <v>65</v>
      </c>
      <c r="AF321" s="106">
        <f>+_xlfn.IFNA(INDEX(RUBRO!$W$2:$AA$732,MATCH(Tabla1[[#This Row],[FECHA ]],RUBRO!$W$2:$W$732,0),5)," ")</f>
        <v>0</v>
      </c>
      <c r="AG321" s="10">
        <f>+_xlfn.IFNA(INDEX(RUBRO!$W$2:$AA$732,MATCH(Tabla1[[#This Row],[FECHA ]],RUBRO!$W$2:$W$732,0),2)," ")</f>
        <v>0</v>
      </c>
      <c r="AH321" s="40">
        <f>IFERROR(Tabla1[[#This Row],[F]]*Tabla1[[#This Row],[COS.B+E]]," ")</f>
        <v>0</v>
      </c>
      <c r="AI321" s="40">
        <f>IFERROR(Tabla1[[#This Row],[COS.B+E]]*Tabla1[[#This Row],[D]]," ")</f>
        <v>0</v>
      </c>
      <c r="AJ321" s="40" t="str">
        <f>IFERROR(Tabla1[[#This Row],[F]]*#REF!," ")</f>
        <v xml:space="preserve"> </v>
      </c>
      <c r="AK321" s="40" t="str">
        <f>IFERROR(#REF!*Tabla1[[#This Row],[D]]," ")</f>
        <v xml:space="preserve"> </v>
      </c>
      <c r="AL321" s="103"/>
      <c r="AM321" s="103"/>
      <c r="AN321" s="103"/>
      <c r="AO321" s="38">
        <f>+Tabla1[[#This Row],[COS.B+E]]+Tabla1[[#This Row],[COS.F1]]+Tabla1[[#This Row],[COS.D1]]+Tabla1[[#This Row],[ALIMENTACION]]+Tabla1[[#This Row],[PRESTAMO]]+AN321</f>
        <v>65</v>
      </c>
      <c r="AP321" s="38" t="e">
        <f>+#REF!+Tabla1[[#This Row],[COS F2]]+Tabla1[[#This Row],[COS D2]]+Tabla1[[#This Row],[ALIMENTACION]]+Tabla1[[#This Row],[PRESTAMO]]+Tabla1[[#This Row],[PASAJES]]</f>
        <v>#REF!</v>
      </c>
    </row>
    <row r="322" spans="1:42" x14ac:dyDescent="0.25">
      <c r="A322" s="2" t="str">
        <f>TEXT(Tabla1[[#This Row],[FECHA ]],"DDDDD")</f>
        <v>miércoles</v>
      </c>
      <c r="B322" s="2" t="str">
        <f>_xlfn.IFNA(VLOOKUP(Tabla1[[#This Row],[DESTINO]],RUBRO!$Q$1:$R$9996,2,FALSE)," ")</f>
        <v>PLANTA</v>
      </c>
      <c r="C322" s="104">
        <f>WEEKNUM(Tabla1[[#This Row],[FECHA ]],2)</f>
        <v>20</v>
      </c>
      <c r="D322" s="104" t="str">
        <f>TEXT(Tabla1[[#This Row],[FECHA ]],"MMM-YY")</f>
        <v>may-YY</v>
      </c>
      <c r="E322" s="104" t="str">
        <f>VLOOKUP(Tabla1[[#This Row],[DNI ]],RUBRO!$F$1:$O$9996,7,FALSE)</f>
        <v>5ta</v>
      </c>
      <c r="F322" s="104" t="e">
        <f>VLOOKUP(Tabla1[[#This Row],[DNI ]],RUBRO!$F$1:$O$88,3,FALSE)</f>
        <v>#N/A</v>
      </c>
      <c r="G322" s="104">
        <f>VLOOKUP(Tabla1[[#This Row],[DNI ]],RUBRO!$F$1:$O$9996,5,FALSE)</f>
        <v>0</v>
      </c>
      <c r="H322" s="66" t="str">
        <f>VLOOKUP(Tabla1[[#This Row],[DNI ]],RUBRO!$F$1:$O$9996,6,FALSE)</f>
        <v>OLANO GARCIA</v>
      </c>
      <c r="I322" s="94">
        <v>44328</v>
      </c>
      <c r="J322" s="10">
        <v>1</v>
      </c>
      <c r="K322" s="2">
        <v>41234982</v>
      </c>
      <c r="L322" s="4">
        <f>VLOOKUP(Tabla1[[#This Row],[DNI ]],RUBRO!$F$2:$O$9996,8,FALSE)</f>
        <v>0</v>
      </c>
      <c r="M322" s="88">
        <v>0.29166666666666669</v>
      </c>
      <c r="N322" s="28">
        <v>0.54166666666666663</v>
      </c>
      <c r="O322" s="28">
        <v>0.58333333333333337</v>
      </c>
      <c r="P322" s="28">
        <v>0.75</v>
      </c>
      <c r="Q322" s="31">
        <f>(Tabla1[[#This Row],[SALIDA]]-Tabla1[[#This Row],[FIN ]])+(Tabla1[[#This Row],[INICIO]]-Tabla1[[#This Row],[INGRESO]])</f>
        <v>0.41666666666666657</v>
      </c>
      <c r="R322" s="13">
        <f t="shared" si="13"/>
        <v>0.375</v>
      </c>
      <c r="S322" s="31">
        <f t="shared" si="14"/>
        <v>4.1666666666666574E-2</v>
      </c>
      <c r="T322" s="136"/>
      <c r="U322" s="136"/>
      <c r="V322" s="137">
        <f>(Tabla1[[#This Row],[COS.BASE 3]]*0.25+Tabla1[[#This Row],[COS.BASE 3]])*Tabla1[[#This Row],[HORAS 25 % ]]</f>
        <v>0</v>
      </c>
      <c r="W322" s="138">
        <f>(Tabla1[[#This Row],[COS.BASE 3]]*0.35+Tabla1[[#This Row],[COS.BASE 3]])*Tabla1[[#This Row],[HORAS 35% ]]</f>
        <v>0</v>
      </c>
      <c r="X322" s="138">
        <f>SUM(Tabla1[[#This Row],[C.HORA.35]],Tabla1[[#This Row],[C.HORA.25]])</f>
        <v>0</v>
      </c>
      <c r="Y322" s="4"/>
      <c r="Z322" s="10">
        <f>Tabla1[[#This Row],[T.HORAS]]*24</f>
        <v>9.9999999999999982</v>
      </c>
      <c r="AA322" s="4">
        <f>Tabla1[[#This Row],[H.NORMALES]]*24</f>
        <v>9</v>
      </c>
      <c r="AB322" s="10">
        <f>Tabla1[[#This Row],[H.EXTRAS]]*24</f>
        <v>0.99999999999999778</v>
      </c>
      <c r="AC322" s="105">
        <f t="shared" si="15"/>
        <v>0</v>
      </c>
      <c r="AD322" s="120">
        <f>Tabla1[[#This Row],[COS.BASE 2]]/8</f>
        <v>0</v>
      </c>
      <c r="AE322" s="105">
        <f>Tabla1[[#This Row],[CST_H_E]]+Tabla1[[#This Row],[COS.BASE 2]]</f>
        <v>0</v>
      </c>
      <c r="AF322" s="106">
        <f>+_xlfn.IFNA(INDEX(RUBRO!$W$2:$AA$732,MATCH(Tabla1[[#This Row],[FECHA ]],RUBRO!$W$2:$W$732,0),5)," ")</f>
        <v>0</v>
      </c>
      <c r="AG322" s="10">
        <f>+_xlfn.IFNA(INDEX(RUBRO!$W$2:$AA$732,MATCH(Tabla1[[#This Row],[FECHA ]],RUBRO!$W$2:$W$732,0),2)," ")</f>
        <v>0</v>
      </c>
      <c r="AH322" s="40">
        <f>IFERROR(Tabla1[[#This Row],[F]]*Tabla1[[#This Row],[COS.B+E]]," ")</f>
        <v>0</v>
      </c>
      <c r="AI322" s="40">
        <f>IFERROR(Tabla1[[#This Row],[COS.B+E]]*Tabla1[[#This Row],[D]]," ")</f>
        <v>0</v>
      </c>
      <c r="AJ322" s="40" t="str">
        <f>IFERROR(Tabla1[[#This Row],[F]]*#REF!," ")</f>
        <v xml:space="preserve"> </v>
      </c>
      <c r="AK322" s="40" t="str">
        <f>IFERROR(#REF!*Tabla1[[#This Row],[D]]," ")</f>
        <v xml:space="preserve"> </v>
      </c>
      <c r="AL322" s="103"/>
      <c r="AM322" s="103"/>
      <c r="AN322" s="103"/>
      <c r="AO322" s="38">
        <f>+Tabla1[[#This Row],[COS.B+E]]+Tabla1[[#This Row],[COS.F1]]+Tabla1[[#This Row],[COS.D1]]+Tabla1[[#This Row],[ALIMENTACION]]+Tabla1[[#This Row],[PRESTAMO]]+AN322</f>
        <v>0</v>
      </c>
      <c r="AP322" s="38" t="e">
        <f>+#REF!+Tabla1[[#This Row],[COS F2]]+Tabla1[[#This Row],[COS D2]]+Tabla1[[#This Row],[ALIMENTACION]]+Tabla1[[#This Row],[PRESTAMO]]+Tabla1[[#This Row],[PASAJES]]</f>
        <v>#REF!</v>
      </c>
    </row>
    <row r="323" spans="1:42" x14ac:dyDescent="0.25">
      <c r="A323" s="2" t="str">
        <f>TEXT(Tabla1[[#This Row],[FECHA ]],"DDDDD")</f>
        <v>miércoles</v>
      </c>
      <c r="B323" s="2" t="str">
        <f>_xlfn.IFNA(VLOOKUP(Tabla1[[#This Row],[DESTINO]],RUBRO!$Q$1:$R$9996,2,FALSE)," ")</f>
        <v>PLANTA</v>
      </c>
      <c r="C323" s="104">
        <f>WEEKNUM(Tabla1[[#This Row],[FECHA ]],2)</f>
        <v>20</v>
      </c>
      <c r="D323" s="104" t="str">
        <f>TEXT(Tabla1[[#This Row],[FECHA ]],"MMM-YY")</f>
        <v>may-YY</v>
      </c>
      <c r="E323" s="104" t="str">
        <f>VLOOKUP(Tabla1[[#This Row],[DNI ]],RUBRO!$F$1:$O$9996,7,FALSE)</f>
        <v>5ta</v>
      </c>
      <c r="F323" s="104" t="str">
        <f>VLOOKUP(Tabla1[[#This Row],[DNI ]],RUBRO!$F$1:$O$88,3,FALSE)</f>
        <v>TEC-05</v>
      </c>
      <c r="G323" s="104" t="str">
        <f>VLOOKUP(Tabla1[[#This Row],[DNI ]],RUBRO!$F$1:$O$9996,5,FALSE)</f>
        <v>TECNICO MECANICO MONTAJISTA DE NAVE INDUSTRIAL</v>
      </c>
      <c r="H323" s="66" t="str">
        <f>VLOOKUP(Tabla1[[#This Row],[DNI ]],RUBRO!$F$1:$O$9996,6,FALSE)</f>
        <v>ORTIZ PANTALEON POLH MANIX</v>
      </c>
      <c r="I323" s="94">
        <v>44328</v>
      </c>
      <c r="J323" s="10">
        <v>1</v>
      </c>
      <c r="K323" s="2">
        <v>45821420</v>
      </c>
      <c r="L323" s="4">
        <f>VLOOKUP(Tabla1[[#This Row],[DNI ]],RUBRO!$F$2:$O$9996,8,FALSE)</f>
        <v>56.55</v>
      </c>
      <c r="M323" s="88">
        <v>0.29166666666666669</v>
      </c>
      <c r="N323" s="28">
        <v>0.54166666666666663</v>
      </c>
      <c r="O323" s="28">
        <v>0.58333333333333337</v>
      </c>
      <c r="P323" s="28">
        <v>0.75</v>
      </c>
      <c r="Q323" s="31">
        <f>(Tabla1[[#This Row],[SALIDA]]-Tabla1[[#This Row],[FIN ]])+(Tabla1[[#This Row],[INICIO]]-Tabla1[[#This Row],[INGRESO]])</f>
        <v>0.41666666666666657</v>
      </c>
      <c r="R323" s="13">
        <f t="shared" si="13"/>
        <v>0.375</v>
      </c>
      <c r="S323" s="31">
        <f t="shared" si="14"/>
        <v>4.1666666666666574E-2</v>
      </c>
      <c r="T323" s="136"/>
      <c r="U323" s="136"/>
      <c r="V323" s="137">
        <f>(Tabla1[[#This Row],[COS.BASE 3]]*0.25+Tabla1[[#This Row],[COS.BASE 3]])*Tabla1[[#This Row],[HORAS 25 % ]]</f>
        <v>0</v>
      </c>
      <c r="W323" s="138">
        <f>(Tabla1[[#This Row],[COS.BASE 3]]*0.35+Tabla1[[#This Row],[COS.BASE 3]])*Tabla1[[#This Row],[HORAS 35% ]]</f>
        <v>0</v>
      </c>
      <c r="X323" s="138">
        <f>SUM(Tabla1[[#This Row],[C.HORA.35]],Tabla1[[#This Row],[C.HORA.25]])</f>
        <v>0</v>
      </c>
      <c r="Y323" s="4"/>
      <c r="Z323" s="10">
        <f>Tabla1[[#This Row],[T.HORAS]]*24</f>
        <v>9.9999999999999982</v>
      </c>
      <c r="AA323" s="4">
        <f>Tabla1[[#This Row],[H.NORMALES]]*24</f>
        <v>9</v>
      </c>
      <c r="AB323" s="10">
        <f>Tabla1[[#This Row],[H.EXTRAS]]*24</f>
        <v>0.99999999999999778</v>
      </c>
      <c r="AC323" s="105">
        <f t="shared" si="15"/>
        <v>56.55</v>
      </c>
      <c r="AD323" s="120">
        <f>Tabla1[[#This Row],[COS.BASE 2]]/8</f>
        <v>7.0687499999999996</v>
      </c>
      <c r="AE323" s="105">
        <f>Tabla1[[#This Row],[CST_H_E]]+Tabla1[[#This Row],[COS.BASE 2]]</f>
        <v>56.55</v>
      </c>
      <c r="AF323" s="106">
        <f>+_xlfn.IFNA(INDEX(RUBRO!$W$2:$AA$732,MATCH(Tabla1[[#This Row],[FECHA ]],RUBRO!$W$2:$W$732,0),5)," ")</f>
        <v>0</v>
      </c>
      <c r="AG323" s="10">
        <f>+_xlfn.IFNA(INDEX(RUBRO!$W$2:$AA$732,MATCH(Tabla1[[#This Row],[FECHA ]],RUBRO!$W$2:$W$732,0),2)," ")</f>
        <v>0</v>
      </c>
      <c r="AH323" s="40">
        <f>IFERROR(Tabla1[[#This Row],[F]]*Tabla1[[#This Row],[COS.B+E]]," ")</f>
        <v>0</v>
      </c>
      <c r="AI323" s="40">
        <f>IFERROR(Tabla1[[#This Row],[COS.B+E]]*Tabla1[[#This Row],[D]]," ")</f>
        <v>0</v>
      </c>
      <c r="AJ323" s="40" t="str">
        <f>IFERROR(Tabla1[[#This Row],[F]]*#REF!," ")</f>
        <v xml:space="preserve"> </v>
      </c>
      <c r="AK323" s="40" t="str">
        <f>IFERROR(#REF!*Tabla1[[#This Row],[D]]," ")</f>
        <v xml:space="preserve"> </v>
      </c>
      <c r="AL323" s="103"/>
      <c r="AM323" s="103"/>
      <c r="AN323" s="103"/>
      <c r="AO323" s="38">
        <f>+Tabla1[[#This Row],[COS.B+E]]+Tabla1[[#This Row],[COS.F1]]+Tabla1[[#This Row],[COS.D1]]+Tabla1[[#This Row],[ALIMENTACION]]+Tabla1[[#This Row],[PRESTAMO]]+AN323</f>
        <v>56.55</v>
      </c>
      <c r="AP323" s="38" t="e">
        <f>+#REF!+Tabla1[[#This Row],[COS F2]]+Tabla1[[#This Row],[COS D2]]+Tabla1[[#This Row],[ALIMENTACION]]+Tabla1[[#This Row],[PRESTAMO]]+Tabla1[[#This Row],[PASAJES]]</f>
        <v>#REF!</v>
      </c>
    </row>
    <row r="324" spans="1:42" x14ac:dyDescent="0.25">
      <c r="A324" s="2" t="str">
        <f>TEXT(Tabla1[[#This Row],[FECHA ]],"DDDDD")</f>
        <v>miércoles</v>
      </c>
      <c r="B324" s="2" t="str">
        <f>_xlfn.IFNA(VLOOKUP(Tabla1[[#This Row],[DESTINO]],RUBRO!$Q$1:$R$9996,2,FALSE)," ")</f>
        <v>PLANTA</v>
      </c>
      <c r="C324" s="104">
        <f>WEEKNUM(Tabla1[[#This Row],[FECHA ]],2)</f>
        <v>20</v>
      </c>
      <c r="D324" s="104" t="str">
        <f>TEXT(Tabla1[[#This Row],[FECHA ]],"MMM-YY")</f>
        <v>may-YY</v>
      </c>
      <c r="E324" s="104" t="str">
        <f>VLOOKUP(Tabla1[[#This Row],[DNI ]],RUBRO!$F$1:$O$9996,7,FALSE)</f>
        <v>5ta</v>
      </c>
      <c r="F324" s="104" t="str">
        <f>VLOOKUP(Tabla1[[#This Row],[DNI ]],RUBRO!$F$1:$O$88,3,FALSE)</f>
        <v>TEC-01</v>
      </c>
      <c r="G324" s="104" t="str">
        <f>VLOOKUP(Tabla1[[#This Row],[DNI ]],RUBRO!$F$1:$O$9996,5,FALSE)</f>
        <v>TECNICO SOLDADOR</v>
      </c>
      <c r="H324" s="66" t="str">
        <f>VLOOKUP(Tabla1[[#This Row],[DNI ]],RUBRO!$F$1:$O$9996,6,FALSE)</f>
        <v>PANDO SALAZAR LUIS BRYAN</v>
      </c>
      <c r="I324" s="94">
        <v>44328</v>
      </c>
      <c r="J324" s="10">
        <v>1</v>
      </c>
      <c r="K324" s="2">
        <v>47887505</v>
      </c>
      <c r="L324" s="4">
        <f>VLOOKUP(Tabla1[[#This Row],[DNI ]],RUBRO!$F$2:$O$9996,8,FALSE)</f>
        <v>66.48</v>
      </c>
      <c r="M324" s="88">
        <v>0.29166666666666669</v>
      </c>
      <c r="N324" s="28">
        <v>0.54166666666666663</v>
      </c>
      <c r="O324" s="28">
        <v>0.58333333333333337</v>
      </c>
      <c r="P324" s="28">
        <v>0.79166666666666663</v>
      </c>
      <c r="Q324" s="31">
        <f>(Tabla1[[#This Row],[SALIDA]]-Tabla1[[#This Row],[FIN ]])+(Tabla1[[#This Row],[INICIO]]-Tabla1[[#This Row],[INGRESO]])</f>
        <v>0.4583333333333332</v>
      </c>
      <c r="R324" s="13">
        <f t="shared" si="13"/>
        <v>0.375</v>
      </c>
      <c r="S324" s="31">
        <f t="shared" si="14"/>
        <v>8.3333333333333204E-2</v>
      </c>
      <c r="T324" s="136"/>
      <c r="U324" s="136"/>
      <c r="V324" s="137">
        <f>(Tabla1[[#This Row],[COS.BASE 3]]*0.25+Tabla1[[#This Row],[COS.BASE 3]])*Tabla1[[#This Row],[HORAS 25 % ]]</f>
        <v>0</v>
      </c>
      <c r="W324" s="138">
        <f>(Tabla1[[#This Row],[COS.BASE 3]]*0.35+Tabla1[[#This Row],[COS.BASE 3]])*Tabla1[[#This Row],[HORAS 35% ]]</f>
        <v>0</v>
      </c>
      <c r="X324" s="138">
        <f>SUM(Tabla1[[#This Row],[C.HORA.35]],Tabla1[[#This Row],[C.HORA.25]])</f>
        <v>0</v>
      </c>
      <c r="Y324" s="4"/>
      <c r="Z324" s="10">
        <f>Tabla1[[#This Row],[T.HORAS]]*24</f>
        <v>10.999999999999996</v>
      </c>
      <c r="AA324" s="4">
        <f>Tabla1[[#This Row],[H.NORMALES]]*24</f>
        <v>9</v>
      </c>
      <c r="AB324" s="10">
        <f>Tabla1[[#This Row],[H.EXTRAS]]*24</f>
        <v>1.9999999999999969</v>
      </c>
      <c r="AC324" s="105">
        <f t="shared" si="15"/>
        <v>66.48</v>
      </c>
      <c r="AD324" s="120">
        <f>Tabla1[[#This Row],[COS.BASE 2]]/8</f>
        <v>8.31</v>
      </c>
      <c r="AE324" s="105">
        <f>Tabla1[[#This Row],[CST_H_E]]+Tabla1[[#This Row],[COS.BASE 2]]</f>
        <v>66.48</v>
      </c>
      <c r="AF324" s="106">
        <f>+_xlfn.IFNA(INDEX(RUBRO!$W$2:$AA$732,MATCH(Tabla1[[#This Row],[FECHA ]],RUBRO!$W$2:$W$732,0),5)," ")</f>
        <v>0</v>
      </c>
      <c r="AG324" s="10">
        <f>+_xlfn.IFNA(INDEX(RUBRO!$W$2:$AA$732,MATCH(Tabla1[[#This Row],[FECHA ]],RUBRO!$W$2:$W$732,0),2)," ")</f>
        <v>0</v>
      </c>
      <c r="AH324" s="40">
        <f>IFERROR(Tabla1[[#This Row],[F]]*Tabla1[[#This Row],[COS.B+E]]," ")</f>
        <v>0</v>
      </c>
      <c r="AI324" s="40">
        <f>IFERROR(Tabla1[[#This Row],[COS.B+E]]*Tabla1[[#This Row],[D]]," ")</f>
        <v>0</v>
      </c>
      <c r="AJ324" s="40" t="str">
        <f>IFERROR(Tabla1[[#This Row],[F]]*#REF!," ")</f>
        <v xml:space="preserve"> </v>
      </c>
      <c r="AK324" s="40" t="str">
        <f>IFERROR(#REF!*Tabla1[[#This Row],[D]]," ")</f>
        <v xml:space="preserve"> </v>
      </c>
      <c r="AL324" s="103"/>
      <c r="AM324" s="103"/>
      <c r="AN324" s="103"/>
      <c r="AO324" s="38">
        <f>+Tabla1[[#This Row],[COS.B+E]]+Tabla1[[#This Row],[COS.F1]]+Tabla1[[#This Row],[COS.D1]]+Tabla1[[#This Row],[ALIMENTACION]]+Tabla1[[#This Row],[PRESTAMO]]+AN324</f>
        <v>66.48</v>
      </c>
      <c r="AP324" s="38" t="e">
        <f>+#REF!+Tabla1[[#This Row],[COS F2]]+Tabla1[[#This Row],[COS D2]]+Tabla1[[#This Row],[ALIMENTACION]]+Tabla1[[#This Row],[PRESTAMO]]+Tabla1[[#This Row],[PASAJES]]</f>
        <v>#REF!</v>
      </c>
    </row>
    <row r="325" spans="1:42" x14ac:dyDescent="0.25">
      <c r="A325" s="2" t="str">
        <f>TEXT(Tabla1[[#This Row],[FECHA ]],"DDDDD")</f>
        <v>miércoles</v>
      </c>
      <c r="B325" s="2" t="str">
        <f>_xlfn.IFNA(VLOOKUP(Tabla1[[#This Row],[DESTINO]],RUBRO!$Q$1:$R$9996,2,FALSE)," ")</f>
        <v>FALTA</v>
      </c>
      <c r="C325" s="104">
        <f>WEEKNUM(Tabla1[[#This Row],[FECHA ]],2)</f>
        <v>20</v>
      </c>
      <c r="D325" s="104" t="str">
        <f>TEXT(Tabla1[[#This Row],[FECHA ]],"MMM-YY")</f>
        <v>may-YY</v>
      </c>
      <c r="E325" s="104" t="str">
        <f>VLOOKUP(Tabla1[[#This Row],[DNI ]],RUBRO!$F$1:$O$9996,7,FALSE)</f>
        <v>5ta</v>
      </c>
      <c r="F325" s="104" t="e">
        <f>VLOOKUP(Tabla1[[#This Row],[DNI ]],RUBRO!$F$1:$O$88,3,FALSE)</f>
        <v>#N/A</v>
      </c>
      <c r="G325" s="104">
        <f>VLOOKUP(Tabla1[[#This Row],[DNI ]],RUBRO!$F$1:$O$9996,5,FALSE)</f>
        <v>0</v>
      </c>
      <c r="H325" s="66" t="str">
        <f>VLOOKUP(Tabla1[[#This Row],[DNI ]],RUBRO!$F$1:$O$9996,6,FALSE)</f>
        <v xml:space="preserve">PECHE CHAPOÑAN ALBERTO </v>
      </c>
      <c r="I325" s="94">
        <v>44328</v>
      </c>
      <c r="J325" s="10">
        <v>4</v>
      </c>
      <c r="K325" s="2">
        <v>77226886</v>
      </c>
      <c r="L325" s="4">
        <f>VLOOKUP(Tabla1[[#This Row],[DNI ]],RUBRO!$F$2:$O$9996,8,FALSE)</f>
        <v>80</v>
      </c>
      <c r="M325" s="88"/>
      <c r="N325" s="28"/>
      <c r="P325" s="28"/>
      <c r="Q325" s="31">
        <f>(Tabla1[[#This Row],[SALIDA]]-Tabla1[[#This Row],[FIN ]])+(Tabla1[[#This Row],[INICIO]]-Tabla1[[#This Row],[INGRESO]])</f>
        <v>0</v>
      </c>
      <c r="R325" s="13">
        <f t="shared" si="13"/>
        <v>0</v>
      </c>
      <c r="S325" s="31">
        <f t="shared" si="14"/>
        <v>0</v>
      </c>
      <c r="T325" s="136"/>
      <c r="U325" s="136"/>
      <c r="V325" s="137">
        <f>(Tabla1[[#This Row],[COS.BASE 3]]*0.25+Tabla1[[#This Row],[COS.BASE 3]])*Tabla1[[#This Row],[HORAS 25 % ]]</f>
        <v>0</v>
      </c>
      <c r="W325" s="138">
        <f>(Tabla1[[#This Row],[COS.BASE 3]]*0.35+Tabla1[[#This Row],[COS.BASE 3]])*Tabla1[[#This Row],[HORAS 35% ]]</f>
        <v>0</v>
      </c>
      <c r="X325" s="138">
        <f>SUM(Tabla1[[#This Row],[C.HORA.35]],Tabla1[[#This Row],[C.HORA.25]])</f>
        <v>0</v>
      </c>
      <c r="Y325" s="4"/>
      <c r="Z325" s="10">
        <f>Tabla1[[#This Row],[T.HORAS]]*24</f>
        <v>0</v>
      </c>
      <c r="AA325" s="4">
        <f>Tabla1[[#This Row],[H.NORMALES]]*24</f>
        <v>0</v>
      </c>
      <c r="AB325" s="10">
        <f>Tabla1[[#This Row],[H.EXTRAS]]*24</f>
        <v>0</v>
      </c>
      <c r="AC325" s="105">
        <f t="shared" si="15"/>
        <v>0</v>
      </c>
      <c r="AD325" s="120">
        <f>Tabla1[[#This Row],[COS.BASE 2]]/8</f>
        <v>0</v>
      </c>
      <c r="AE325" s="105">
        <f>Tabla1[[#This Row],[CST_H_E]]+Tabla1[[#This Row],[COS.BASE 2]]</f>
        <v>0</v>
      </c>
      <c r="AF325" s="106">
        <f>+_xlfn.IFNA(INDEX(RUBRO!$W$2:$AA$732,MATCH(Tabla1[[#This Row],[FECHA ]],RUBRO!$W$2:$W$732,0),5)," ")</f>
        <v>0</v>
      </c>
      <c r="AG325" s="10">
        <f>+_xlfn.IFNA(INDEX(RUBRO!$W$2:$AA$732,MATCH(Tabla1[[#This Row],[FECHA ]],RUBRO!$W$2:$W$732,0),2)," ")</f>
        <v>0</v>
      </c>
      <c r="AH325" s="40">
        <f>IFERROR(Tabla1[[#This Row],[F]]*Tabla1[[#This Row],[COS.B+E]]," ")</f>
        <v>0</v>
      </c>
      <c r="AI325" s="40">
        <f>IFERROR(Tabla1[[#This Row],[COS.B+E]]*Tabla1[[#This Row],[D]]," ")</f>
        <v>0</v>
      </c>
      <c r="AJ325" s="40" t="str">
        <f>IFERROR(Tabla1[[#This Row],[F]]*#REF!," ")</f>
        <v xml:space="preserve"> </v>
      </c>
      <c r="AK325" s="40" t="str">
        <f>IFERROR(#REF!*Tabla1[[#This Row],[D]]," ")</f>
        <v xml:space="preserve"> </v>
      </c>
      <c r="AL325" s="103"/>
      <c r="AM325" s="103"/>
      <c r="AN325" s="103"/>
      <c r="AO325" s="38">
        <f>+Tabla1[[#This Row],[COS.B+E]]+Tabla1[[#This Row],[COS.F1]]+Tabla1[[#This Row],[COS.D1]]+Tabla1[[#This Row],[ALIMENTACION]]+Tabla1[[#This Row],[PRESTAMO]]+AN325</f>
        <v>0</v>
      </c>
      <c r="AP325" s="38" t="e">
        <f>+#REF!+Tabla1[[#This Row],[COS F2]]+Tabla1[[#This Row],[COS D2]]+Tabla1[[#This Row],[ALIMENTACION]]+Tabla1[[#This Row],[PRESTAMO]]+Tabla1[[#This Row],[PASAJES]]</f>
        <v>#REF!</v>
      </c>
    </row>
    <row r="326" spans="1:42" x14ac:dyDescent="0.25">
      <c r="A326" s="2" t="str">
        <f>TEXT(Tabla1[[#This Row],[FECHA ]],"DDDDD")</f>
        <v>miércoles</v>
      </c>
      <c r="B326" s="2" t="str">
        <f>_xlfn.IFNA(VLOOKUP(Tabla1[[#This Row],[DESTINO]],RUBRO!$Q$1:$R$9996,2,FALSE)," ")</f>
        <v xml:space="preserve"> </v>
      </c>
      <c r="C326" s="104">
        <f>WEEKNUM(Tabla1[[#This Row],[FECHA ]],2)</f>
        <v>20</v>
      </c>
      <c r="D326" s="104" t="str">
        <f>TEXT(Tabla1[[#This Row],[FECHA ]],"MMM-YY")</f>
        <v>may-YY</v>
      </c>
      <c r="E326" s="104" t="str">
        <f>VLOOKUP(Tabla1[[#This Row],[DNI ]],RUBRO!$F$1:$O$9996,7,FALSE)</f>
        <v>5ta</v>
      </c>
      <c r="F326" s="104" t="str">
        <f>VLOOKUP(Tabla1[[#This Row],[DNI ]],RUBRO!$F$1:$O$88,3,FALSE)</f>
        <v>MEC-02</v>
      </c>
      <c r="G326" s="104" t="str">
        <f>VLOOKUP(Tabla1[[#This Row],[DNI ]],RUBRO!$F$1:$O$9996,5,FALSE)</f>
        <v>MECANICO MONTAJISTA DE MAQUINARIA</v>
      </c>
      <c r="H326" s="66" t="str">
        <f>VLOOKUP(Tabla1[[#This Row],[DNI ]],RUBRO!$F$1:$O$9996,6,FALSE)</f>
        <v>PEREZ VASQUEZ RONAL</v>
      </c>
      <c r="I326" s="94">
        <v>44328</v>
      </c>
      <c r="K326" s="2">
        <v>47942907</v>
      </c>
      <c r="L326" s="4">
        <f>VLOOKUP(Tabla1[[#This Row],[DNI ]],RUBRO!$F$2:$O$9996,8,FALSE)</f>
        <v>75</v>
      </c>
      <c r="M326" s="88"/>
      <c r="N326" s="28"/>
      <c r="P326" s="28"/>
      <c r="Q326" s="31">
        <f>(Tabla1[[#This Row],[SALIDA]]-Tabla1[[#This Row],[FIN ]])+(Tabla1[[#This Row],[INICIO]]-Tabla1[[#This Row],[INGRESO]])</f>
        <v>0</v>
      </c>
      <c r="R326" s="13">
        <f t="shared" ref="R326:R389" si="16">IF(J326=1,IF(Q326&gt;$AU$1,$AU$1,Q326),0)+IF(J326=2,IF(Q326&gt;$AU$3,$AU$3,Q326),0)+IF(J326=8,IF(Q326&gt;$AU$5,$AU$5,Q326),0)</f>
        <v>0</v>
      </c>
      <c r="S326" s="31">
        <f t="shared" ref="S326:S389" si="17">IF(J326=1,IF(Q326&gt;$AU$1,(Q326-R326),0),0)+IF(J326=2,IF(Q326&gt;$AU$3,(Q326-R326),0),0)+IF(J326=8,IF(Q326&gt;$AU$5,(Q326-R326),0),0)</f>
        <v>0</v>
      </c>
      <c r="T326" s="136"/>
      <c r="U326" s="136"/>
      <c r="V326" s="137">
        <f>(Tabla1[[#This Row],[COS.BASE 3]]*0.25+Tabla1[[#This Row],[COS.BASE 3]])*Tabla1[[#This Row],[HORAS 25 % ]]</f>
        <v>0</v>
      </c>
      <c r="W326" s="138">
        <f>(Tabla1[[#This Row],[COS.BASE 3]]*0.35+Tabla1[[#This Row],[COS.BASE 3]])*Tabla1[[#This Row],[HORAS 35% ]]</f>
        <v>0</v>
      </c>
      <c r="X326" s="138">
        <f>SUM(Tabla1[[#This Row],[C.HORA.35]],Tabla1[[#This Row],[C.HORA.25]])</f>
        <v>0</v>
      </c>
      <c r="Y326" s="4"/>
      <c r="Z326" s="10">
        <f>Tabla1[[#This Row],[T.HORAS]]*24</f>
        <v>0</v>
      </c>
      <c r="AA326" s="4">
        <f>Tabla1[[#This Row],[H.NORMALES]]*24</f>
        <v>0</v>
      </c>
      <c r="AB326" s="10">
        <f>Tabla1[[#This Row],[H.EXTRAS]]*24</f>
        <v>0</v>
      </c>
      <c r="AC326" s="105">
        <f t="shared" ref="AC326:AC389" si="18">IF(J326=1,(((R326*24)*(L326/9))),0)+IF(J326=2,(((R326*24)*(L326/8))),0)+IF(J326=8,(((R326*24)*(L326/8))),0)</f>
        <v>0</v>
      </c>
      <c r="AD326" s="120">
        <f>Tabla1[[#This Row],[COS.BASE 2]]/8</f>
        <v>0</v>
      </c>
      <c r="AE326" s="105">
        <f>Tabla1[[#This Row],[CST_H_E]]+Tabla1[[#This Row],[COS.BASE 2]]</f>
        <v>0</v>
      </c>
      <c r="AF326" s="106">
        <f>+_xlfn.IFNA(INDEX(RUBRO!$W$2:$AA$732,MATCH(Tabla1[[#This Row],[FECHA ]],RUBRO!$W$2:$W$732,0),5)," ")</f>
        <v>0</v>
      </c>
      <c r="AG326" s="10">
        <f>+_xlfn.IFNA(INDEX(RUBRO!$W$2:$AA$732,MATCH(Tabla1[[#This Row],[FECHA ]],RUBRO!$W$2:$W$732,0),2)," ")</f>
        <v>0</v>
      </c>
      <c r="AH326" s="40">
        <f>IFERROR(Tabla1[[#This Row],[F]]*Tabla1[[#This Row],[COS.B+E]]," ")</f>
        <v>0</v>
      </c>
      <c r="AI326" s="40">
        <f>IFERROR(Tabla1[[#This Row],[COS.B+E]]*Tabla1[[#This Row],[D]]," ")</f>
        <v>0</v>
      </c>
      <c r="AJ326" s="40" t="str">
        <f>IFERROR(Tabla1[[#This Row],[F]]*#REF!," ")</f>
        <v xml:space="preserve"> </v>
      </c>
      <c r="AK326" s="40" t="str">
        <f>IFERROR(#REF!*Tabla1[[#This Row],[D]]," ")</f>
        <v xml:space="preserve"> </v>
      </c>
      <c r="AL326" s="103"/>
      <c r="AM326" s="103"/>
      <c r="AN326" s="103"/>
      <c r="AO326" s="38">
        <f>+Tabla1[[#This Row],[COS.B+E]]+Tabla1[[#This Row],[COS.F1]]+Tabla1[[#This Row],[COS.D1]]+Tabla1[[#This Row],[ALIMENTACION]]+Tabla1[[#This Row],[PRESTAMO]]+AN326</f>
        <v>0</v>
      </c>
      <c r="AP326" s="38" t="e">
        <f>+#REF!+Tabla1[[#This Row],[COS F2]]+Tabla1[[#This Row],[COS D2]]+Tabla1[[#This Row],[ALIMENTACION]]+Tabla1[[#This Row],[PRESTAMO]]+Tabla1[[#This Row],[PASAJES]]</f>
        <v>#REF!</v>
      </c>
    </row>
    <row r="327" spans="1:42" x14ac:dyDescent="0.25">
      <c r="A327" s="2" t="str">
        <f>TEXT(Tabla1[[#This Row],[FECHA ]],"DDDDD")</f>
        <v>miércoles</v>
      </c>
      <c r="B327" s="2" t="str">
        <f>_xlfn.IFNA(VLOOKUP(Tabla1[[#This Row],[DESTINO]],RUBRO!$Q$1:$R$9996,2,FALSE)," ")</f>
        <v>PLANTA</v>
      </c>
      <c r="C327" s="104">
        <f>WEEKNUM(Tabla1[[#This Row],[FECHA ]],2)</f>
        <v>20</v>
      </c>
      <c r="D327" s="104" t="str">
        <f>TEXT(Tabla1[[#This Row],[FECHA ]],"MMM-YY")</f>
        <v>may-YY</v>
      </c>
      <c r="E327" s="104" t="str">
        <f>VLOOKUP(Tabla1[[#This Row],[DNI ]],RUBRO!$F$1:$O$9996,7,FALSE)</f>
        <v>5ta</v>
      </c>
      <c r="F327" s="104" t="str">
        <f>VLOOKUP(Tabla1[[#This Row],[DNI ]],RUBRO!$F$1:$O$88,3,FALSE)</f>
        <v>TEC-02</v>
      </c>
      <c r="G327" s="104" t="str">
        <f>VLOOKUP(Tabla1[[#This Row],[DNI ]],RUBRO!$F$1:$O$9996,5,FALSE)</f>
        <v>TECNICO MECANICO MONTAJISTA DE MAQUINARIA</v>
      </c>
      <c r="H327" s="66" t="str">
        <f>VLOOKUP(Tabla1[[#This Row],[DNI ]],RUBRO!$F$1:$O$9996,6,FALSE)</f>
        <v>PURIZACA CHUÑE JHON ANDERSON</v>
      </c>
      <c r="I327" s="94">
        <v>44328</v>
      </c>
      <c r="J327" s="10">
        <v>1</v>
      </c>
      <c r="K327" s="2">
        <v>48372384</v>
      </c>
      <c r="L327" s="4">
        <f>VLOOKUP(Tabla1[[#This Row],[DNI ]],RUBRO!$F$2:$O$9996,8,FALSE)</f>
        <v>57.62</v>
      </c>
      <c r="M327" s="88">
        <v>0.29166666666666669</v>
      </c>
      <c r="N327" s="28">
        <v>0.54166666666666663</v>
      </c>
      <c r="O327" s="28">
        <v>0.58333333333333337</v>
      </c>
      <c r="P327" s="28">
        <v>0.75</v>
      </c>
      <c r="Q327" s="31">
        <f>(Tabla1[[#This Row],[SALIDA]]-Tabla1[[#This Row],[FIN ]])+(Tabla1[[#This Row],[INICIO]]-Tabla1[[#This Row],[INGRESO]])</f>
        <v>0.41666666666666657</v>
      </c>
      <c r="R327" s="13">
        <f t="shared" si="16"/>
        <v>0.375</v>
      </c>
      <c r="S327" s="31">
        <f t="shared" si="17"/>
        <v>4.1666666666666574E-2</v>
      </c>
      <c r="T327" s="136"/>
      <c r="U327" s="136"/>
      <c r="V327" s="137">
        <f>(Tabla1[[#This Row],[COS.BASE 3]]*0.25+Tabla1[[#This Row],[COS.BASE 3]])*Tabla1[[#This Row],[HORAS 25 % ]]</f>
        <v>0</v>
      </c>
      <c r="W327" s="138">
        <f>(Tabla1[[#This Row],[COS.BASE 3]]*0.35+Tabla1[[#This Row],[COS.BASE 3]])*Tabla1[[#This Row],[HORAS 35% ]]</f>
        <v>0</v>
      </c>
      <c r="X327" s="138">
        <f>SUM(Tabla1[[#This Row],[C.HORA.35]],Tabla1[[#This Row],[C.HORA.25]])</f>
        <v>0</v>
      </c>
      <c r="Y327" s="4"/>
      <c r="Z327" s="10">
        <f>Tabla1[[#This Row],[T.HORAS]]*24</f>
        <v>9.9999999999999982</v>
      </c>
      <c r="AA327" s="4">
        <f>Tabla1[[#This Row],[H.NORMALES]]*24</f>
        <v>9</v>
      </c>
      <c r="AB327" s="10">
        <f>Tabla1[[#This Row],[H.EXTRAS]]*24</f>
        <v>0.99999999999999778</v>
      </c>
      <c r="AC327" s="105">
        <f t="shared" si="18"/>
        <v>57.62</v>
      </c>
      <c r="AD327" s="120">
        <f>Tabla1[[#This Row],[COS.BASE 2]]/8</f>
        <v>7.2024999999999997</v>
      </c>
      <c r="AE327" s="105">
        <f>Tabla1[[#This Row],[CST_H_E]]+Tabla1[[#This Row],[COS.BASE 2]]</f>
        <v>57.62</v>
      </c>
      <c r="AF327" s="106">
        <f>+_xlfn.IFNA(INDEX(RUBRO!$W$2:$AA$732,MATCH(Tabla1[[#This Row],[FECHA ]],RUBRO!$W$2:$W$732,0),5)," ")</f>
        <v>0</v>
      </c>
      <c r="AG327" s="10">
        <f>+_xlfn.IFNA(INDEX(RUBRO!$W$2:$AA$732,MATCH(Tabla1[[#This Row],[FECHA ]],RUBRO!$W$2:$W$732,0),2)," ")</f>
        <v>0</v>
      </c>
      <c r="AH327" s="40">
        <f>IFERROR(Tabla1[[#This Row],[F]]*Tabla1[[#This Row],[COS.B+E]]," ")</f>
        <v>0</v>
      </c>
      <c r="AI327" s="40">
        <f>IFERROR(Tabla1[[#This Row],[COS.B+E]]*Tabla1[[#This Row],[D]]," ")</f>
        <v>0</v>
      </c>
      <c r="AJ327" s="40" t="str">
        <f>IFERROR(Tabla1[[#This Row],[F]]*#REF!," ")</f>
        <v xml:space="preserve"> </v>
      </c>
      <c r="AK327" s="40" t="str">
        <f>IFERROR(#REF!*Tabla1[[#This Row],[D]]," ")</f>
        <v xml:space="preserve"> </v>
      </c>
      <c r="AL327" s="103"/>
      <c r="AM327" s="103"/>
      <c r="AN327" s="103"/>
      <c r="AO327" s="38">
        <f>+Tabla1[[#This Row],[COS.B+E]]+Tabla1[[#This Row],[COS.F1]]+Tabla1[[#This Row],[COS.D1]]+Tabla1[[#This Row],[ALIMENTACION]]+Tabla1[[#This Row],[PRESTAMO]]+AN327</f>
        <v>57.62</v>
      </c>
      <c r="AP327" s="38" t="e">
        <f>+#REF!+Tabla1[[#This Row],[COS F2]]+Tabla1[[#This Row],[COS D2]]+Tabla1[[#This Row],[ALIMENTACION]]+Tabla1[[#This Row],[PRESTAMO]]+Tabla1[[#This Row],[PASAJES]]</f>
        <v>#REF!</v>
      </c>
    </row>
    <row r="328" spans="1:42" x14ac:dyDescent="0.25">
      <c r="A328" s="2" t="str">
        <f>TEXT(Tabla1[[#This Row],[FECHA ]],"DDDDD")</f>
        <v>miércoles</v>
      </c>
      <c r="B328" s="2" t="str">
        <f>_xlfn.IFNA(VLOOKUP(Tabla1[[#This Row],[DESTINO]],RUBRO!$Q$1:$R$9996,2,FALSE)," ")</f>
        <v>PLANTA</v>
      </c>
      <c r="C328" s="104">
        <f>WEEKNUM(Tabla1[[#This Row],[FECHA ]],2)</f>
        <v>20</v>
      </c>
      <c r="D328" s="104" t="str">
        <f>TEXT(Tabla1[[#This Row],[FECHA ]],"MMM-YY")</f>
        <v>may-YY</v>
      </c>
      <c r="E328" s="104" t="str">
        <f>VLOOKUP(Tabla1[[#This Row],[DNI ]],RUBRO!$F$1:$O$9996,7,FALSE)</f>
        <v>5ta</v>
      </c>
      <c r="F328" s="104" t="str">
        <f>VLOOKUP(Tabla1[[#This Row],[DNI ]],RUBRO!$F$1:$O$88,3,FALSE)</f>
        <v>MAE-02</v>
      </c>
      <c r="G328" s="104" t="str">
        <f>VLOOKUP(Tabla1[[#This Row],[DNI ]],RUBRO!$F$1:$O$9996,5,FALSE)</f>
        <v>MAESTRO MECANICO MONTAJISTA DE MAQUINARIA</v>
      </c>
      <c r="H328" s="66" t="str">
        <f>VLOOKUP(Tabla1[[#This Row],[DNI ]],RUBRO!$F$1:$O$9996,6,FALSE)</f>
        <v>PURIZACA SEVERINO DANIEL FERNANDO</v>
      </c>
      <c r="I328" s="94">
        <v>44328</v>
      </c>
      <c r="J328" s="10">
        <v>1</v>
      </c>
      <c r="K328" s="2">
        <v>42308744</v>
      </c>
      <c r="L328" s="4">
        <f>VLOOKUP(Tabla1[[#This Row],[DNI ]],RUBRO!$F$2:$O$9996,8,FALSE)</f>
        <v>87.1</v>
      </c>
      <c r="M328" s="88">
        <v>0.29166666666666669</v>
      </c>
      <c r="N328" s="28">
        <v>0.54166666666666663</v>
      </c>
      <c r="O328" s="28">
        <v>0.58333333333333337</v>
      </c>
      <c r="P328" s="28">
        <v>0.75</v>
      </c>
      <c r="Q328" s="31">
        <f>(Tabla1[[#This Row],[SALIDA]]-Tabla1[[#This Row],[FIN ]])+(Tabla1[[#This Row],[INICIO]]-Tabla1[[#This Row],[INGRESO]])</f>
        <v>0.41666666666666657</v>
      </c>
      <c r="R328" s="13">
        <f t="shared" si="16"/>
        <v>0.375</v>
      </c>
      <c r="S328" s="31">
        <f t="shared" si="17"/>
        <v>4.1666666666666574E-2</v>
      </c>
      <c r="T328" s="136"/>
      <c r="U328" s="136"/>
      <c r="V328" s="137">
        <f>(Tabla1[[#This Row],[COS.BASE 3]]*0.25+Tabla1[[#This Row],[COS.BASE 3]])*Tabla1[[#This Row],[HORAS 25 % ]]</f>
        <v>0</v>
      </c>
      <c r="W328" s="138">
        <f>(Tabla1[[#This Row],[COS.BASE 3]]*0.35+Tabla1[[#This Row],[COS.BASE 3]])*Tabla1[[#This Row],[HORAS 35% ]]</f>
        <v>0</v>
      </c>
      <c r="X328" s="138">
        <f>SUM(Tabla1[[#This Row],[C.HORA.35]],Tabla1[[#This Row],[C.HORA.25]])</f>
        <v>0</v>
      </c>
      <c r="Y328" s="4"/>
      <c r="Z328" s="10">
        <f>Tabla1[[#This Row],[T.HORAS]]*24</f>
        <v>9.9999999999999982</v>
      </c>
      <c r="AA328" s="4">
        <f>Tabla1[[#This Row],[H.NORMALES]]*24</f>
        <v>9</v>
      </c>
      <c r="AB328" s="10">
        <f>Tabla1[[#This Row],[H.EXTRAS]]*24</f>
        <v>0.99999999999999778</v>
      </c>
      <c r="AC328" s="105">
        <f t="shared" si="18"/>
        <v>87.1</v>
      </c>
      <c r="AD328" s="120">
        <f>Tabla1[[#This Row],[COS.BASE 2]]/8</f>
        <v>10.887499999999999</v>
      </c>
      <c r="AE328" s="105">
        <f>Tabla1[[#This Row],[CST_H_E]]+Tabla1[[#This Row],[COS.BASE 2]]</f>
        <v>87.1</v>
      </c>
      <c r="AF328" s="106">
        <f>+_xlfn.IFNA(INDEX(RUBRO!$W$2:$AA$732,MATCH(Tabla1[[#This Row],[FECHA ]],RUBRO!$W$2:$W$732,0),5)," ")</f>
        <v>0</v>
      </c>
      <c r="AG328" s="10">
        <f>+_xlfn.IFNA(INDEX(RUBRO!$W$2:$AA$732,MATCH(Tabla1[[#This Row],[FECHA ]],RUBRO!$W$2:$W$732,0),2)," ")</f>
        <v>0</v>
      </c>
      <c r="AH328" s="40">
        <f>IFERROR(Tabla1[[#This Row],[F]]*Tabla1[[#This Row],[COS.B+E]]," ")</f>
        <v>0</v>
      </c>
      <c r="AI328" s="40">
        <f>IFERROR(Tabla1[[#This Row],[COS.B+E]]*Tabla1[[#This Row],[D]]," ")</f>
        <v>0</v>
      </c>
      <c r="AJ328" s="40" t="str">
        <f>IFERROR(Tabla1[[#This Row],[F]]*#REF!," ")</f>
        <v xml:space="preserve"> </v>
      </c>
      <c r="AK328" s="40" t="str">
        <f>IFERROR(#REF!*Tabla1[[#This Row],[D]]," ")</f>
        <v xml:space="preserve"> </v>
      </c>
      <c r="AL328" s="103"/>
      <c r="AM328" s="103"/>
      <c r="AN328" s="103"/>
      <c r="AO328" s="38">
        <f>+Tabla1[[#This Row],[COS.B+E]]+Tabla1[[#This Row],[COS.F1]]+Tabla1[[#This Row],[COS.D1]]+Tabla1[[#This Row],[ALIMENTACION]]+Tabla1[[#This Row],[PRESTAMO]]+AN328</f>
        <v>87.1</v>
      </c>
      <c r="AP328" s="38" t="e">
        <f>+#REF!+Tabla1[[#This Row],[COS F2]]+Tabla1[[#This Row],[COS D2]]+Tabla1[[#This Row],[ALIMENTACION]]+Tabla1[[#This Row],[PRESTAMO]]+Tabla1[[#This Row],[PASAJES]]</f>
        <v>#REF!</v>
      </c>
    </row>
    <row r="329" spans="1:42" x14ac:dyDescent="0.25">
      <c r="A329" s="2" t="str">
        <f>TEXT(Tabla1[[#This Row],[FECHA ]],"DDDDD")</f>
        <v>miércoles</v>
      </c>
      <c r="B329" s="2" t="str">
        <f>_xlfn.IFNA(VLOOKUP(Tabla1[[#This Row],[DESTINO]],RUBRO!$Q$1:$R$9996,2,FALSE)," ")</f>
        <v>OBRA</v>
      </c>
      <c r="C329" s="104">
        <f>WEEKNUM(Tabla1[[#This Row],[FECHA ]],2)</f>
        <v>20</v>
      </c>
      <c r="D329" s="104" t="str">
        <f>TEXT(Tabla1[[#This Row],[FECHA ]],"MMM-YY")</f>
        <v>may-YY</v>
      </c>
      <c r="E329" s="104" t="str">
        <f>VLOOKUP(Tabla1[[#This Row],[DNI ]],RUBRO!$F$1:$O$9996,7,FALSE)</f>
        <v>4ta</v>
      </c>
      <c r="F329" s="104" t="str">
        <f>VLOOKUP(Tabla1[[#This Row],[DNI ]],RUBRO!$F$1:$O$88,3,FALSE)</f>
        <v>MAE3G-01</v>
      </c>
      <c r="G329" s="104" t="str">
        <f>VLOOKUP(Tabla1[[#This Row],[DNI ]],RUBRO!$F$1:$O$9996,5,FALSE)</f>
        <v>MAESTRO SOLDADOR 3G</v>
      </c>
      <c r="H329" s="66" t="str">
        <f>VLOOKUP(Tabla1[[#This Row],[DNI ]],RUBRO!$F$1:$O$9996,6,FALSE)</f>
        <v>QUIROZ CORTEJANA DANTE GABRIEL</v>
      </c>
      <c r="I329" s="94">
        <v>44328</v>
      </c>
      <c r="J329" s="10">
        <v>2</v>
      </c>
      <c r="K329" s="2">
        <v>45486657</v>
      </c>
      <c r="L329" s="4">
        <f>VLOOKUP(Tabla1[[#This Row],[DNI ]],RUBRO!$F$2:$O$9996,8,FALSE)</f>
        <v>90</v>
      </c>
      <c r="M329" s="88">
        <v>0.29166666666666669</v>
      </c>
      <c r="N329" s="28">
        <v>0.54166666666666663</v>
      </c>
      <c r="O329" s="28">
        <v>0.58333333333333337</v>
      </c>
      <c r="P329" s="28">
        <v>0.75</v>
      </c>
      <c r="Q329" s="31">
        <f>(Tabla1[[#This Row],[SALIDA]]-Tabla1[[#This Row],[FIN ]])+(Tabla1[[#This Row],[INICIO]]-Tabla1[[#This Row],[INGRESO]])</f>
        <v>0.41666666666666657</v>
      </c>
      <c r="R329" s="13">
        <f t="shared" si="16"/>
        <v>0.33333333333333331</v>
      </c>
      <c r="S329" s="31">
        <f t="shared" si="17"/>
        <v>8.3333333333333259E-2</v>
      </c>
      <c r="T329" s="136"/>
      <c r="U329" s="136"/>
      <c r="V329" s="137">
        <f>(Tabla1[[#This Row],[COS.BASE 3]]*0.25+Tabla1[[#This Row],[COS.BASE 3]])*Tabla1[[#This Row],[HORAS 25 % ]]</f>
        <v>0</v>
      </c>
      <c r="W329" s="138">
        <f>(Tabla1[[#This Row],[COS.BASE 3]]*0.35+Tabla1[[#This Row],[COS.BASE 3]])*Tabla1[[#This Row],[HORAS 35% ]]</f>
        <v>0</v>
      </c>
      <c r="X329" s="138">
        <f>SUM(Tabla1[[#This Row],[C.HORA.35]],Tabla1[[#This Row],[C.HORA.25]])</f>
        <v>0</v>
      </c>
      <c r="Y329" s="4"/>
      <c r="Z329" s="10">
        <f>Tabla1[[#This Row],[T.HORAS]]*24</f>
        <v>9.9999999999999982</v>
      </c>
      <c r="AA329" s="4">
        <f>Tabla1[[#This Row],[H.NORMALES]]*24</f>
        <v>8</v>
      </c>
      <c r="AB329" s="10">
        <f>Tabla1[[#This Row],[H.EXTRAS]]*24</f>
        <v>1.9999999999999982</v>
      </c>
      <c r="AC329" s="105">
        <f t="shared" si="18"/>
        <v>90</v>
      </c>
      <c r="AD329" s="120">
        <f>Tabla1[[#This Row],[COS.BASE 2]]/8</f>
        <v>11.25</v>
      </c>
      <c r="AE329" s="105">
        <f>Tabla1[[#This Row],[CST_H_E]]+Tabla1[[#This Row],[COS.BASE 2]]</f>
        <v>90</v>
      </c>
      <c r="AF329" s="106">
        <f>+_xlfn.IFNA(INDEX(RUBRO!$W$2:$AA$732,MATCH(Tabla1[[#This Row],[FECHA ]],RUBRO!$W$2:$W$732,0),5)," ")</f>
        <v>0</v>
      </c>
      <c r="AG329" s="10">
        <f>+_xlfn.IFNA(INDEX(RUBRO!$W$2:$AA$732,MATCH(Tabla1[[#This Row],[FECHA ]],RUBRO!$W$2:$W$732,0),2)," ")</f>
        <v>0</v>
      </c>
      <c r="AH329" s="40">
        <f>IFERROR(Tabla1[[#This Row],[F]]*Tabla1[[#This Row],[COS.B+E]]," ")</f>
        <v>0</v>
      </c>
      <c r="AI329" s="40">
        <f>IFERROR(Tabla1[[#This Row],[COS.B+E]]*Tabla1[[#This Row],[D]]," ")</f>
        <v>0</v>
      </c>
      <c r="AJ329" s="40" t="str">
        <f>IFERROR(Tabla1[[#This Row],[F]]*#REF!," ")</f>
        <v xml:space="preserve"> </v>
      </c>
      <c r="AK329" s="40" t="str">
        <f>IFERROR(#REF!*Tabla1[[#This Row],[D]]," ")</f>
        <v xml:space="preserve"> </v>
      </c>
      <c r="AL329" s="103"/>
      <c r="AM329" s="103"/>
      <c r="AN329" s="103"/>
      <c r="AO329" s="38">
        <f>+Tabla1[[#This Row],[COS.B+E]]+Tabla1[[#This Row],[COS.F1]]+Tabla1[[#This Row],[COS.D1]]+Tabla1[[#This Row],[ALIMENTACION]]+Tabla1[[#This Row],[PRESTAMO]]+AN329</f>
        <v>90</v>
      </c>
      <c r="AP329" s="38" t="e">
        <f>+#REF!+Tabla1[[#This Row],[COS F2]]+Tabla1[[#This Row],[COS D2]]+Tabla1[[#This Row],[ALIMENTACION]]+Tabla1[[#This Row],[PRESTAMO]]+Tabla1[[#This Row],[PASAJES]]</f>
        <v>#REF!</v>
      </c>
    </row>
    <row r="330" spans="1:42" x14ac:dyDescent="0.25">
      <c r="A330" s="2" t="str">
        <f>TEXT(Tabla1[[#This Row],[FECHA ]],"DDDDD")</f>
        <v>miércoles</v>
      </c>
      <c r="B330" s="2" t="str">
        <f>_xlfn.IFNA(VLOOKUP(Tabla1[[#This Row],[DESTINO]],RUBRO!$Q$1:$R$9996,2,FALSE)," ")</f>
        <v>OBRA</v>
      </c>
      <c r="C330" s="104">
        <f>WEEKNUM(Tabla1[[#This Row],[FECHA ]],2)</f>
        <v>20</v>
      </c>
      <c r="D330" s="104" t="str">
        <f>TEXT(Tabla1[[#This Row],[FECHA ]],"MMM-YY")</f>
        <v>may-YY</v>
      </c>
      <c r="E330" s="104" t="str">
        <f>VLOOKUP(Tabla1[[#This Row],[DNI ]],RUBRO!$F$1:$O$9996,7,FALSE)</f>
        <v>5ta</v>
      </c>
      <c r="F330" s="104" t="str">
        <f>VLOOKUP(Tabla1[[#This Row],[DNI ]],RUBRO!$F$1:$O$88,3,FALSE)</f>
        <v>MAEME-03</v>
      </c>
      <c r="G330" s="104" t="str">
        <f>VLOOKUP(Tabla1[[#This Row],[DNI ]],RUBRO!$F$1:$O$9996,5,FALSE)</f>
        <v>MAESTRO ELECTRICO MONTAJISTA DE MAQUINARIA EXTRANJERA</v>
      </c>
      <c r="H330" s="66" t="str">
        <f>VLOOKUP(Tabla1[[#This Row],[DNI ]],RUBRO!$F$1:$O$9996,6,FALSE)</f>
        <v>RAMIREZ PELAEZ ELIAS</v>
      </c>
      <c r="I330" s="94">
        <v>44328</v>
      </c>
      <c r="J330" s="10">
        <v>2</v>
      </c>
      <c r="K330" s="2">
        <v>45779525</v>
      </c>
      <c r="L330" s="4">
        <f>VLOOKUP(Tabla1[[#This Row],[DNI ]],RUBRO!$F$2:$O$9996,8,FALSE)</f>
        <v>116.06</v>
      </c>
      <c r="M330" s="88">
        <v>0.29166666666666669</v>
      </c>
      <c r="N330" s="28">
        <v>0.54166666666666663</v>
      </c>
      <c r="O330" s="28">
        <v>0.58333333333333337</v>
      </c>
      <c r="P330" s="28">
        <v>0.75</v>
      </c>
      <c r="Q330" s="31">
        <f>(Tabla1[[#This Row],[SALIDA]]-Tabla1[[#This Row],[FIN ]])+(Tabla1[[#This Row],[INICIO]]-Tabla1[[#This Row],[INGRESO]])</f>
        <v>0.41666666666666657</v>
      </c>
      <c r="R330" s="13">
        <f t="shared" si="16"/>
        <v>0.33333333333333331</v>
      </c>
      <c r="S330" s="31">
        <f t="shared" si="17"/>
        <v>8.3333333333333259E-2</v>
      </c>
      <c r="T330" s="136"/>
      <c r="U330" s="136"/>
      <c r="V330" s="137">
        <f>(Tabla1[[#This Row],[COS.BASE 3]]*0.25+Tabla1[[#This Row],[COS.BASE 3]])*Tabla1[[#This Row],[HORAS 25 % ]]</f>
        <v>0</v>
      </c>
      <c r="W330" s="138">
        <f>(Tabla1[[#This Row],[COS.BASE 3]]*0.35+Tabla1[[#This Row],[COS.BASE 3]])*Tabla1[[#This Row],[HORAS 35% ]]</f>
        <v>0</v>
      </c>
      <c r="X330" s="138">
        <f>SUM(Tabla1[[#This Row],[C.HORA.35]],Tabla1[[#This Row],[C.HORA.25]])</f>
        <v>0</v>
      </c>
      <c r="Y330" s="4"/>
      <c r="Z330" s="10">
        <f>Tabla1[[#This Row],[T.HORAS]]*24</f>
        <v>9.9999999999999982</v>
      </c>
      <c r="AA330" s="4">
        <f>Tabla1[[#This Row],[H.NORMALES]]*24</f>
        <v>8</v>
      </c>
      <c r="AB330" s="10">
        <f>Tabla1[[#This Row],[H.EXTRAS]]*24</f>
        <v>1.9999999999999982</v>
      </c>
      <c r="AC330" s="105">
        <f t="shared" si="18"/>
        <v>116.06</v>
      </c>
      <c r="AD330" s="120">
        <f>Tabla1[[#This Row],[COS.BASE 2]]/8</f>
        <v>14.5075</v>
      </c>
      <c r="AE330" s="105">
        <f>Tabla1[[#This Row],[CST_H_E]]+Tabla1[[#This Row],[COS.BASE 2]]</f>
        <v>116.06</v>
      </c>
      <c r="AF330" s="106">
        <f>+_xlfn.IFNA(INDEX(RUBRO!$W$2:$AA$732,MATCH(Tabla1[[#This Row],[FECHA ]],RUBRO!$W$2:$W$732,0),5)," ")</f>
        <v>0</v>
      </c>
      <c r="AG330" s="10">
        <f>+_xlfn.IFNA(INDEX(RUBRO!$W$2:$AA$732,MATCH(Tabla1[[#This Row],[FECHA ]],RUBRO!$W$2:$W$732,0),2)," ")</f>
        <v>0</v>
      </c>
      <c r="AH330" s="40">
        <f>IFERROR(Tabla1[[#This Row],[F]]*Tabla1[[#This Row],[COS.B+E]]," ")</f>
        <v>0</v>
      </c>
      <c r="AI330" s="40">
        <f>IFERROR(Tabla1[[#This Row],[COS.B+E]]*Tabla1[[#This Row],[D]]," ")</f>
        <v>0</v>
      </c>
      <c r="AJ330" s="40" t="str">
        <f>IFERROR(Tabla1[[#This Row],[F]]*#REF!," ")</f>
        <v xml:space="preserve"> </v>
      </c>
      <c r="AK330" s="40" t="str">
        <f>IFERROR(#REF!*Tabla1[[#This Row],[D]]," ")</f>
        <v xml:space="preserve"> </v>
      </c>
      <c r="AL330" s="103"/>
      <c r="AM330" s="103"/>
      <c r="AN330" s="103"/>
      <c r="AO330" s="38">
        <f>+Tabla1[[#This Row],[COS.B+E]]+Tabla1[[#This Row],[COS.F1]]+Tabla1[[#This Row],[COS.D1]]+Tabla1[[#This Row],[ALIMENTACION]]+Tabla1[[#This Row],[PRESTAMO]]+AN330</f>
        <v>116.06</v>
      </c>
      <c r="AP330" s="38" t="e">
        <f>+#REF!+Tabla1[[#This Row],[COS F2]]+Tabla1[[#This Row],[COS D2]]+Tabla1[[#This Row],[ALIMENTACION]]+Tabla1[[#This Row],[PRESTAMO]]+Tabla1[[#This Row],[PASAJES]]</f>
        <v>#REF!</v>
      </c>
    </row>
    <row r="331" spans="1:42" x14ac:dyDescent="0.25">
      <c r="A331" s="2" t="str">
        <f>TEXT(Tabla1[[#This Row],[FECHA ]],"DDDDD")</f>
        <v>miércoles</v>
      </c>
      <c r="B331" s="2" t="str">
        <f>_xlfn.IFNA(VLOOKUP(Tabla1[[#This Row],[DESTINO]],RUBRO!$Q$1:$R$9996,2,FALSE)," ")</f>
        <v>PLANTA</v>
      </c>
      <c r="C331" s="104">
        <f>WEEKNUM(Tabla1[[#This Row],[FECHA ]],2)</f>
        <v>20</v>
      </c>
      <c r="D331" s="104" t="str">
        <f>TEXT(Tabla1[[#This Row],[FECHA ]],"MMM-YY")</f>
        <v>may-YY</v>
      </c>
      <c r="E331" s="104" t="str">
        <f>VLOOKUP(Tabla1[[#This Row],[DNI ]],RUBRO!$F$1:$O$9996,7,FALSE)</f>
        <v>5ta</v>
      </c>
      <c r="F331" s="104" t="str">
        <f>VLOOKUP(Tabla1[[#This Row],[DNI ]],RUBRO!$F$1:$O$88,3,FALSE)</f>
        <v>MAE3G-01</v>
      </c>
      <c r="G331" s="104" t="str">
        <f>VLOOKUP(Tabla1[[#This Row],[DNI ]],RUBRO!$F$1:$O$9996,5,FALSE)</f>
        <v>MAESTRO SOLDADOR 3G</v>
      </c>
      <c r="H331" s="66" t="str">
        <f>VLOOKUP(Tabla1[[#This Row],[DNI ]],RUBRO!$F$1:$O$9996,6,FALSE)</f>
        <v>RIOJA RODRIGUEZ MARCO JEAIR</v>
      </c>
      <c r="I331" s="94">
        <v>44328</v>
      </c>
      <c r="J331" s="10">
        <v>1</v>
      </c>
      <c r="K331" s="2">
        <v>77423720</v>
      </c>
      <c r="L331" s="4">
        <f>VLOOKUP(Tabla1[[#This Row],[DNI ]],RUBRO!$F$2:$O$9996,8,FALSE)</f>
        <v>69.44</v>
      </c>
      <c r="M331" s="88">
        <v>0.29166666666666669</v>
      </c>
      <c r="N331" s="28">
        <v>0.54166666666666663</v>
      </c>
      <c r="O331" s="28">
        <v>0.58333333333333337</v>
      </c>
      <c r="P331" s="28">
        <v>0.75</v>
      </c>
      <c r="Q331" s="31">
        <f>(Tabla1[[#This Row],[SALIDA]]-Tabla1[[#This Row],[FIN ]])+(Tabla1[[#This Row],[INICIO]]-Tabla1[[#This Row],[INGRESO]])</f>
        <v>0.41666666666666657</v>
      </c>
      <c r="R331" s="13">
        <f t="shared" si="16"/>
        <v>0.375</v>
      </c>
      <c r="S331" s="31">
        <f t="shared" si="17"/>
        <v>4.1666666666666574E-2</v>
      </c>
      <c r="T331" s="136"/>
      <c r="U331" s="136"/>
      <c r="V331" s="137">
        <f>(Tabla1[[#This Row],[COS.BASE 3]]*0.25+Tabla1[[#This Row],[COS.BASE 3]])*Tabla1[[#This Row],[HORAS 25 % ]]</f>
        <v>0</v>
      </c>
      <c r="W331" s="138">
        <f>(Tabla1[[#This Row],[COS.BASE 3]]*0.35+Tabla1[[#This Row],[COS.BASE 3]])*Tabla1[[#This Row],[HORAS 35% ]]</f>
        <v>0</v>
      </c>
      <c r="X331" s="138">
        <f>SUM(Tabla1[[#This Row],[C.HORA.35]],Tabla1[[#This Row],[C.HORA.25]])</f>
        <v>0</v>
      </c>
      <c r="Y331" s="4"/>
      <c r="Z331" s="10">
        <f>Tabla1[[#This Row],[T.HORAS]]*24</f>
        <v>9.9999999999999982</v>
      </c>
      <c r="AA331" s="4">
        <f>Tabla1[[#This Row],[H.NORMALES]]*24</f>
        <v>9</v>
      </c>
      <c r="AB331" s="10">
        <f>Tabla1[[#This Row],[H.EXTRAS]]*24</f>
        <v>0.99999999999999778</v>
      </c>
      <c r="AC331" s="105">
        <f t="shared" si="18"/>
        <v>69.44</v>
      </c>
      <c r="AD331" s="120">
        <f>Tabla1[[#This Row],[COS.BASE 2]]/8</f>
        <v>8.68</v>
      </c>
      <c r="AE331" s="105">
        <f>Tabla1[[#This Row],[CST_H_E]]+Tabla1[[#This Row],[COS.BASE 2]]</f>
        <v>69.44</v>
      </c>
      <c r="AF331" s="106">
        <f>+_xlfn.IFNA(INDEX(RUBRO!$W$2:$AA$732,MATCH(Tabla1[[#This Row],[FECHA ]],RUBRO!$W$2:$W$732,0),5)," ")</f>
        <v>0</v>
      </c>
      <c r="AG331" s="10">
        <f>+_xlfn.IFNA(INDEX(RUBRO!$W$2:$AA$732,MATCH(Tabla1[[#This Row],[FECHA ]],RUBRO!$W$2:$W$732,0),2)," ")</f>
        <v>0</v>
      </c>
      <c r="AH331" s="40">
        <f>IFERROR(Tabla1[[#This Row],[F]]*Tabla1[[#This Row],[COS.B+E]]," ")</f>
        <v>0</v>
      </c>
      <c r="AI331" s="40">
        <f>IFERROR(Tabla1[[#This Row],[COS.B+E]]*Tabla1[[#This Row],[D]]," ")</f>
        <v>0</v>
      </c>
      <c r="AJ331" s="40" t="str">
        <f>IFERROR(Tabla1[[#This Row],[F]]*#REF!," ")</f>
        <v xml:space="preserve"> </v>
      </c>
      <c r="AK331" s="40" t="str">
        <f>IFERROR(#REF!*Tabla1[[#This Row],[D]]," ")</f>
        <v xml:space="preserve"> </v>
      </c>
      <c r="AL331" s="103"/>
      <c r="AM331" s="103"/>
      <c r="AN331" s="103"/>
      <c r="AO331" s="38">
        <f>+Tabla1[[#This Row],[COS.B+E]]+Tabla1[[#This Row],[COS.F1]]+Tabla1[[#This Row],[COS.D1]]+Tabla1[[#This Row],[ALIMENTACION]]+Tabla1[[#This Row],[PRESTAMO]]+AN331</f>
        <v>69.44</v>
      </c>
      <c r="AP331" s="38" t="e">
        <f>+#REF!+Tabla1[[#This Row],[COS F2]]+Tabla1[[#This Row],[COS D2]]+Tabla1[[#This Row],[ALIMENTACION]]+Tabla1[[#This Row],[PRESTAMO]]+Tabla1[[#This Row],[PASAJES]]</f>
        <v>#REF!</v>
      </c>
    </row>
    <row r="332" spans="1:42" x14ac:dyDescent="0.25">
      <c r="A332" s="2" t="str">
        <f>TEXT(Tabla1[[#This Row],[FECHA ]],"DDDDD")</f>
        <v>miércoles</v>
      </c>
      <c r="B332" s="2" t="str">
        <f>_xlfn.IFNA(VLOOKUP(Tabla1[[#This Row],[DESTINO]],RUBRO!$Q$1:$R$9996,2,FALSE)," ")</f>
        <v>PLANTA</v>
      </c>
      <c r="C332" s="104">
        <f>WEEKNUM(Tabla1[[#This Row],[FECHA ]],2)</f>
        <v>20</v>
      </c>
      <c r="D332" s="104" t="str">
        <f>TEXT(Tabla1[[#This Row],[FECHA ]],"MMM-YY")</f>
        <v>may-YY</v>
      </c>
      <c r="E332" s="104" t="str">
        <f>VLOOKUP(Tabla1[[#This Row],[DNI ]],RUBRO!$F$1:$O$9996,7,FALSE)</f>
        <v>5ta</v>
      </c>
      <c r="F332" s="104" t="str">
        <f>VLOOKUP(Tabla1[[#This Row],[DNI ]],RUBRO!$F$1:$O$88,3,FALSE)</f>
        <v>MAE6G-01</v>
      </c>
      <c r="G332" s="104" t="str">
        <f>VLOOKUP(Tabla1[[#This Row],[DNI ]],RUBRO!$F$1:$O$9996,5,FALSE)</f>
        <v>MAESTRO SOLDADOR 6G MONTAJISTA DE MAQUINARIA</v>
      </c>
      <c r="H332" s="66" t="str">
        <f>VLOOKUP(Tabla1[[#This Row],[DNI ]],RUBRO!$F$1:$O$9996,6,FALSE)</f>
        <v>RIVERA LEONARDO EVER JOSE</v>
      </c>
      <c r="I332" s="94">
        <v>44328</v>
      </c>
      <c r="J332" s="10">
        <v>1</v>
      </c>
      <c r="K332" s="2">
        <v>45035778</v>
      </c>
      <c r="L332" s="4">
        <f>VLOOKUP(Tabla1[[#This Row],[DNI ]],RUBRO!$F$2:$O$9996,8,FALSE)</f>
        <v>92.8</v>
      </c>
      <c r="M332" s="88">
        <v>0.29166666666666669</v>
      </c>
      <c r="N332" s="28">
        <v>0.54166666666666663</v>
      </c>
      <c r="O332" s="28">
        <v>0.58333333333333337</v>
      </c>
      <c r="P332" s="28">
        <v>0.79166666666666663</v>
      </c>
      <c r="Q332" s="31">
        <f>(Tabla1[[#This Row],[SALIDA]]-Tabla1[[#This Row],[FIN ]])+(Tabla1[[#This Row],[INICIO]]-Tabla1[[#This Row],[INGRESO]])</f>
        <v>0.4583333333333332</v>
      </c>
      <c r="R332" s="13">
        <f t="shared" si="16"/>
        <v>0.375</v>
      </c>
      <c r="S332" s="31">
        <f t="shared" si="17"/>
        <v>8.3333333333333204E-2</v>
      </c>
      <c r="T332" s="136"/>
      <c r="U332" s="136"/>
      <c r="V332" s="137">
        <f>(Tabla1[[#This Row],[COS.BASE 3]]*0.25+Tabla1[[#This Row],[COS.BASE 3]])*Tabla1[[#This Row],[HORAS 25 % ]]</f>
        <v>0</v>
      </c>
      <c r="W332" s="138">
        <f>(Tabla1[[#This Row],[COS.BASE 3]]*0.35+Tabla1[[#This Row],[COS.BASE 3]])*Tabla1[[#This Row],[HORAS 35% ]]</f>
        <v>0</v>
      </c>
      <c r="X332" s="138">
        <f>SUM(Tabla1[[#This Row],[C.HORA.35]],Tabla1[[#This Row],[C.HORA.25]])</f>
        <v>0</v>
      </c>
      <c r="Y332" s="4"/>
      <c r="Z332" s="10">
        <f>Tabla1[[#This Row],[T.HORAS]]*24</f>
        <v>10.999999999999996</v>
      </c>
      <c r="AA332" s="4">
        <f>Tabla1[[#This Row],[H.NORMALES]]*24</f>
        <v>9</v>
      </c>
      <c r="AB332" s="10">
        <f>Tabla1[[#This Row],[H.EXTRAS]]*24</f>
        <v>1.9999999999999969</v>
      </c>
      <c r="AC332" s="105">
        <f t="shared" si="18"/>
        <v>92.799999999999983</v>
      </c>
      <c r="AD332" s="120">
        <f>Tabla1[[#This Row],[COS.BASE 2]]/8</f>
        <v>11.599999999999998</v>
      </c>
      <c r="AE332" s="105">
        <f>Tabla1[[#This Row],[CST_H_E]]+Tabla1[[#This Row],[COS.BASE 2]]</f>
        <v>92.799999999999983</v>
      </c>
      <c r="AF332" s="106">
        <f>+_xlfn.IFNA(INDEX(RUBRO!$W$2:$AA$732,MATCH(Tabla1[[#This Row],[FECHA ]],RUBRO!$W$2:$W$732,0),5)," ")</f>
        <v>0</v>
      </c>
      <c r="AG332" s="10">
        <f>+_xlfn.IFNA(INDEX(RUBRO!$W$2:$AA$732,MATCH(Tabla1[[#This Row],[FECHA ]],RUBRO!$W$2:$W$732,0),2)," ")</f>
        <v>0</v>
      </c>
      <c r="AH332" s="40">
        <f>IFERROR(Tabla1[[#This Row],[F]]*Tabla1[[#This Row],[COS.B+E]]," ")</f>
        <v>0</v>
      </c>
      <c r="AI332" s="40">
        <f>IFERROR(Tabla1[[#This Row],[COS.B+E]]*Tabla1[[#This Row],[D]]," ")</f>
        <v>0</v>
      </c>
      <c r="AJ332" s="40" t="str">
        <f>IFERROR(Tabla1[[#This Row],[F]]*#REF!," ")</f>
        <v xml:space="preserve"> </v>
      </c>
      <c r="AK332" s="40" t="str">
        <f>IFERROR(#REF!*Tabla1[[#This Row],[D]]," ")</f>
        <v xml:space="preserve"> </v>
      </c>
      <c r="AL332" s="103"/>
      <c r="AM332" s="103"/>
      <c r="AN332" s="103"/>
      <c r="AO332" s="38">
        <f>+Tabla1[[#This Row],[COS.B+E]]+Tabla1[[#This Row],[COS.F1]]+Tabla1[[#This Row],[COS.D1]]+Tabla1[[#This Row],[ALIMENTACION]]+Tabla1[[#This Row],[PRESTAMO]]+AN332</f>
        <v>92.799999999999983</v>
      </c>
      <c r="AP332" s="38" t="e">
        <f>+#REF!+Tabla1[[#This Row],[COS F2]]+Tabla1[[#This Row],[COS D2]]+Tabla1[[#This Row],[ALIMENTACION]]+Tabla1[[#This Row],[PRESTAMO]]+Tabla1[[#This Row],[PASAJES]]</f>
        <v>#REF!</v>
      </c>
    </row>
    <row r="333" spans="1:42" x14ac:dyDescent="0.25">
      <c r="A333" s="2" t="str">
        <f>TEXT(Tabla1[[#This Row],[FECHA ]],"DDDDD")</f>
        <v>miércoles</v>
      </c>
      <c r="B333" s="2" t="str">
        <f>_xlfn.IFNA(VLOOKUP(Tabla1[[#This Row],[DESTINO]],RUBRO!$Q$1:$R$9996,2,FALSE)," ")</f>
        <v>OBRA</v>
      </c>
      <c r="C333" s="104">
        <f>WEEKNUM(Tabla1[[#This Row],[FECHA ]],2)</f>
        <v>20</v>
      </c>
      <c r="D333" s="104" t="str">
        <f>TEXT(Tabla1[[#This Row],[FECHA ]],"MMM-YY")</f>
        <v>may-YY</v>
      </c>
      <c r="E333" s="104" t="str">
        <f>VLOOKUP(Tabla1[[#This Row],[DNI ]],RUBRO!$F$1:$O$9996,7,FALSE)</f>
        <v>5ta</v>
      </c>
      <c r="F333" s="104" t="str">
        <f>VLOOKUP(Tabla1[[#This Row],[DNI ]],RUBRO!$F$1:$O$88,3,FALSE)</f>
        <v>MAE-04</v>
      </c>
      <c r="G333" s="104" t="str">
        <f>VLOOKUP(Tabla1[[#This Row],[DNI ]],RUBRO!$F$1:$O$9996,5,FALSE)</f>
        <v>MAESTRO MECANICO MONTAJISTA DE MAQUINARIA EXTRANJERA</v>
      </c>
      <c r="H333" s="66" t="str">
        <f>VLOOKUP(Tabla1[[#This Row],[DNI ]],RUBRO!$F$1:$O$9996,6,FALSE)</f>
        <v>ROMERO MARIN JAIRO JOEL</v>
      </c>
      <c r="I333" s="94">
        <v>44328</v>
      </c>
      <c r="J333" s="10">
        <v>2</v>
      </c>
      <c r="K333" s="2">
        <v>72926564</v>
      </c>
      <c r="L333" s="4">
        <f>VLOOKUP(Tabla1[[#This Row],[DNI ]],RUBRO!$F$2:$O$9996,8,FALSE)</f>
        <v>88.27</v>
      </c>
      <c r="M333" s="88">
        <v>0.29166666666666669</v>
      </c>
      <c r="N333" s="28">
        <v>0.54166666666666663</v>
      </c>
      <c r="O333" s="28">
        <v>0.58333333333333337</v>
      </c>
      <c r="P333" s="28">
        <v>0.77083333333333337</v>
      </c>
      <c r="Q333" s="31">
        <f>(Tabla1[[#This Row],[SALIDA]]-Tabla1[[#This Row],[FIN ]])+(Tabla1[[#This Row],[INICIO]]-Tabla1[[#This Row],[INGRESO]])</f>
        <v>0.43749999999999994</v>
      </c>
      <c r="R333" s="13">
        <f t="shared" si="16"/>
        <v>0.33333333333333331</v>
      </c>
      <c r="S333" s="31">
        <f t="shared" si="17"/>
        <v>0.10416666666666663</v>
      </c>
      <c r="T333" s="136"/>
      <c r="U333" s="136"/>
      <c r="V333" s="137">
        <f>(Tabla1[[#This Row],[COS.BASE 3]]*0.25+Tabla1[[#This Row],[COS.BASE 3]])*Tabla1[[#This Row],[HORAS 25 % ]]</f>
        <v>0</v>
      </c>
      <c r="W333" s="138">
        <f>(Tabla1[[#This Row],[COS.BASE 3]]*0.35+Tabla1[[#This Row],[COS.BASE 3]])*Tabla1[[#This Row],[HORAS 35% ]]</f>
        <v>0</v>
      </c>
      <c r="X333" s="138">
        <f>SUM(Tabla1[[#This Row],[C.HORA.35]],Tabla1[[#This Row],[C.HORA.25]])</f>
        <v>0</v>
      </c>
      <c r="Y333" s="4"/>
      <c r="Z333" s="10">
        <f>Tabla1[[#This Row],[T.HORAS]]*24</f>
        <v>10.499999999999998</v>
      </c>
      <c r="AA333" s="4">
        <f>Tabla1[[#This Row],[H.NORMALES]]*24</f>
        <v>8</v>
      </c>
      <c r="AB333" s="10">
        <f>Tabla1[[#This Row],[H.EXTRAS]]*24</f>
        <v>2.4999999999999991</v>
      </c>
      <c r="AC333" s="105">
        <f t="shared" si="18"/>
        <v>88.27</v>
      </c>
      <c r="AD333" s="120">
        <f>Tabla1[[#This Row],[COS.BASE 2]]/8</f>
        <v>11.03375</v>
      </c>
      <c r="AE333" s="105">
        <f>Tabla1[[#This Row],[CST_H_E]]+Tabla1[[#This Row],[COS.BASE 2]]</f>
        <v>88.27</v>
      </c>
      <c r="AF333" s="106">
        <f>+_xlfn.IFNA(INDEX(RUBRO!$W$2:$AA$732,MATCH(Tabla1[[#This Row],[FECHA ]],RUBRO!$W$2:$W$732,0),5)," ")</f>
        <v>0</v>
      </c>
      <c r="AG333" s="10">
        <f>+_xlfn.IFNA(INDEX(RUBRO!$W$2:$AA$732,MATCH(Tabla1[[#This Row],[FECHA ]],RUBRO!$W$2:$W$732,0),2)," ")</f>
        <v>0</v>
      </c>
      <c r="AH333" s="40">
        <f>IFERROR(Tabla1[[#This Row],[F]]*Tabla1[[#This Row],[COS.B+E]]," ")</f>
        <v>0</v>
      </c>
      <c r="AI333" s="40">
        <f>IFERROR(Tabla1[[#This Row],[COS.B+E]]*Tabla1[[#This Row],[D]]," ")</f>
        <v>0</v>
      </c>
      <c r="AJ333" s="40" t="str">
        <f>IFERROR(Tabla1[[#This Row],[F]]*#REF!," ")</f>
        <v xml:space="preserve"> </v>
      </c>
      <c r="AK333" s="40" t="str">
        <f>IFERROR(#REF!*Tabla1[[#This Row],[D]]," ")</f>
        <v xml:space="preserve"> </v>
      </c>
      <c r="AL333" s="103"/>
      <c r="AM333" s="103"/>
      <c r="AN333" s="103"/>
      <c r="AO333" s="38">
        <f>+Tabla1[[#This Row],[COS.B+E]]+Tabla1[[#This Row],[COS.F1]]+Tabla1[[#This Row],[COS.D1]]+Tabla1[[#This Row],[ALIMENTACION]]+Tabla1[[#This Row],[PRESTAMO]]+AN333</f>
        <v>88.27</v>
      </c>
      <c r="AP333" s="38" t="e">
        <f>+#REF!+Tabla1[[#This Row],[COS F2]]+Tabla1[[#This Row],[COS D2]]+Tabla1[[#This Row],[ALIMENTACION]]+Tabla1[[#This Row],[PRESTAMO]]+Tabla1[[#This Row],[PASAJES]]</f>
        <v>#REF!</v>
      </c>
    </row>
    <row r="334" spans="1:42" x14ac:dyDescent="0.25">
      <c r="A334" s="2" t="str">
        <f>TEXT(Tabla1[[#This Row],[FECHA ]],"DDDDD")</f>
        <v>miércoles</v>
      </c>
      <c r="B334" s="2" t="str">
        <f>_xlfn.IFNA(VLOOKUP(Tabla1[[#This Row],[DESTINO]],RUBRO!$Q$1:$R$9996,2,FALSE)," ")</f>
        <v>OBRA</v>
      </c>
      <c r="C334" s="104">
        <f>WEEKNUM(Tabla1[[#This Row],[FECHA ]],2)</f>
        <v>20</v>
      </c>
      <c r="D334" s="104" t="str">
        <f>TEXT(Tabla1[[#This Row],[FECHA ]],"MMM-YY")</f>
        <v>may-YY</v>
      </c>
      <c r="E334" s="104" t="str">
        <f>VLOOKUP(Tabla1[[#This Row],[DNI ]],RUBRO!$F$1:$O$9996,7,FALSE)</f>
        <v>5ta</v>
      </c>
      <c r="F334" s="104" t="e">
        <f>VLOOKUP(Tabla1[[#This Row],[DNI ]],RUBRO!$F$1:$O$88,3,FALSE)</f>
        <v>#N/A</v>
      </c>
      <c r="G334" s="104" t="str">
        <f>VLOOKUP(Tabla1[[#This Row],[DNI ]],RUBRO!$F$1:$O$9996,5,FALSE)</f>
        <v>TECNICO SOLDADOR</v>
      </c>
      <c r="H334" s="66" t="str">
        <f>VLOOKUP(Tabla1[[#This Row],[DNI ]],RUBRO!$F$1:$O$9996,6,FALSE)</f>
        <v xml:space="preserve">SALAZAR FERNANDEZ WALTER </v>
      </c>
      <c r="I334" s="94">
        <v>44328</v>
      </c>
      <c r="J334" s="10">
        <v>2</v>
      </c>
      <c r="K334" s="2">
        <v>72927801</v>
      </c>
      <c r="L334" s="4">
        <f>VLOOKUP(Tabla1[[#This Row],[DNI ]],RUBRO!$F$2:$O$9996,8,FALSE)</f>
        <v>60</v>
      </c>
      <c r="M334" s="88">
        <v>0.29166666666666669</v>
      </c>
      <c r="N334" s="28">
        <v>0.54166666666666663</v>
      </c>
      <c r="O334" s="28">
        <v>0.58333333333333337</v>
      </c>
      <c r="P334" s="28">
        <v>0.79166666666666663</v>
      </c>
      <c r="Q334" s="31">
        <f>(Tabla1[[#This Row],[SALIDA]]-Tabla1[[#This Row],[FIN ]])+(Tabla1[[#This Row],[INICIO]]-Tabla1[[#This Row],[INGRESO]])</f>
        <v>0.4583333333333332</v>
      </c>
      <c r="R334" s="13">
        <f t="shared" si="16"/>
        <v>0.33333333333333331</v>
      </c>
      <c r="S334" s="31">
        <f t="shared" si="17"/>
        <v>0.12499999999999989</v>
      </c>
      <c r="T334" s="136"/>
      <c r="U334" s="136"/>
      <c r="V334" s="137">
        <f>(Tabla1[[#This Row],[COS.BASE 3]]*0.25+Tabla1[[#This Row],[COS.BASE 3]])*Tabla1[[#This Row],[HORAS 25 % ]]</f>
        <v>0</v>
      </c>
      <c r="W334" s="138">
        <f>(Tabla1[[#This Row],[COS.BASE 3]]*0.35+Tabla1[[#This Row],[COS.BASE 3]])*Tabla1[[#This Row],[HORAS 35% ]]</f>
        <v>0</v>
      </c>
      <c r="X334" s="138">
        <f>SUM(Tabla1[[#This Row],[C.HORA.35]],Tabla1[[#This Row],[C.HORA.25]])</f>
        <v>0</v>
      </c>
      <c r="Y334" s="4"/>
      <c r="Z334" s="10">
        <f>Tabla1[[#This Row],[T.HORAS]]*24</f>
        <v>10.999999999999996</v>
      </c>
      <c r="AA334" s="4">
        <f>Tabla1[[#This Row],[H.NORMALES]]*24</f>
        <v>8</v>
      </c>
      <c r="AB334" s="10">
        <f>Tabla1[[#This Row],[H.EXTRAS]]*24</f>
        <v>2.9999999999999973</v>
      </c>
      <c r="AC334" s="105">
        <f t="shared" si="18"/>
        <v>60</v>
      </c>
      <c r="AD334" s="120">
        <f>Tabla1[[#This Row],[COS.BASE 2]]/8</f>
        <v>7.5</v>
      </c>
      <c r="AE334" s="105">
        <f>Tabla1[[#This Row],[CST_H_E]]+Tabla1[[#This Row],[COS.BASE 2]]</f>
        <v>60</v>
      </c>
      <c r="AF334" s="106">
        <f>+_xlfn.IFNA(INDEX(RUBRO!$W$2:$AA$732,MATCH(Tabla1[[#This Row],[FECHA ]],RUBRO!$W$2:$W$732,0),5)," ")</f>
        <v>0</v>
      </c>
      <c r="AG334" s="10">
        <f>+_xlfn.IFNA(INDEX(RUBRO!$W$2:$AA$732,MATCH(Tabla1[[#This Row],[FECHA ]],RUBRO!$W$2:$W$732,0),2)," ")</f>
        <v>0</v>
      </c>
      <c r="AH334" s="40">
        <f>IFERROR(Tabla1[[#This Row],[F]]*Tabla1[[#This Row],[COS.B+E]]," ")</f>
        <v>0</v>
      </c>
      <c r="AI334" s="40">
        <f>IFERROR(Tabla1[[#This Row],[COS.B+E]]*Tabla1[[#This Row],[D]]," ")</f>
        <v>0</v>
      </c>
      <c r="AJ334" s="40" t="str">
        <f>IFERROR(Tabla1[[#This Row],[F]]*#REF!," ")</f>
        <v xml:space="preserve"> </v>
      </c>
      <c r="AK334" s="40" t="str">
        <f>IFERROR(#REF!*Tabla1[[#This Row],[D]]," ")</f>
        <v xml:space="preserve"> </v>
      </c>
      <c r="AL334" s="103"/>
      <c r="AM334" s="103"/>
      <c r="AN334" s="103"/>
      <c r="AO334" s="38">
        <f>+Tabla1[[#This Row],[COS.B+E]]+Tabla1[[#This Row],[COS.F1]]+Tabla1[[#This Row],[COS.D1]]+Tabla1[[#This Row],[ALIMENTACION]]+Tabla1[[#This Row],[PRESTAMO]]+AN334</f>
        <v>60</v>
      </c>
      <c r="AP334" s="38" t="e">
        <f>+#REF!+Tabla1[[#This Row],[COS F2]]+Tabla1[[#This Row],[COS D2]]+Tabla1[[#This Row],[ALIMENTACION]]+Tabla1[[#This Row],[PRESTAMO]]+Tabla1[[#This Row],[PASAJES]]</f>
        <v>#REF!</v>
      </c>
    </row>
    <row r="335" spans="1:42" x14ac:dyDescent="0.25">
      <c r="A335" s="2" t="str">
        <f>TEXT(Tabla1[[#This Row],[FECHA ]],"DDDDD")</f>
        <v>miércoles</v>
      </c>
      <c r="B335" s="2" t="str">
        <f>_xlfn.IFNA(VLOOKUP(Tabla1[[#This Row],[DESTINO]],RUBRO!$Q$1:$R$9996,2,FALSE)," ")</f>
        <v>OBRA</v>
      </c>
      <c r="C335" s="104">
        <f>WEEKNUM(Tabla1[[#This Row],[FECHA ]],2)</f>
        <v>20</v>
      </c>
      <c r="D335" s="104" t="str">
        <f>TEXT(Tabla1[[#This Row],[FECHA ]],"MMM-YY")</f>
        <v>may-YY</v>
      </c>
      <c r="E335" s="104" t="str">
        <f>VLOOKUP(Tabla1[[#This Row],[DNI ]],RUBRO!$F$1:$O$9996,7,FALSE)</f>
        <v>5ta</v>
      </c>
      <c r="F335" s="104" t="str">
        <f>VLOOKUP(Tabla1[[#This Row],[DNI ]],RUBRO!$F$1:$O$88,3,FALSE)</f>
        <v>MEC-04</v>
      </c>
      <c r="G335" s="104" t="str">
        <f>VLOOKUP(Tabla1[[#This Row],[DNI ]],RUBRO!$F$1:$O$9996,5,FALSE)</f>
        <v>MECANICO MONTAJISTA DE MAQUINARIA EXTRANJERA</v>
      </c>
      <c r="H335" s="66" t="str">
        <f>VLOOKUP(Tabla1[[#This Row],[DNI ]],RUBRO!$F$1:$O$9996,6,FALSE)</f>
        <v>SANDOVAL CHAPOÑAN ELVIS EDUARDO</v>
      </c>
      <c r="I335" s="94">
        <v>44328</v>
      </c>
      <c r="J335" s="10">
        <v>2</v>
      </c>
      <c r="K335" s="2">
        <v>45360771</v>
      </c>
      <c r="L335" s="4">
        <f>VLOOKUP(Tabla1[[#This Row],[DNI ]],RUBRO!$F$2:$O$9996,8,FALSE)</f>
        <v>94.35</v>
      </c>
      <c r="M335" s="88">
        <v>0.29166666666666669</v>
      </c>
      <c r="N335" s="28">
        <v>0.54166666666666663</v>
      </c>
      <c r="O335" s="28">
        <v>0.58333333333333337</v>
      </c>
      <c r="P335" s="28">
        <v>0.77083333333333337</v>
      </c>
      <c r="Q335" s="31">
        <f>(Tabla1[[#This Row],[SALIDA]]-Tabla1[[#This Row],[FIN ]])+(Tabla1[[#This Row],[INICIO]]-Tabla1[[#This Row],[INGRESO]])</f>
        <v>0.43749999999999994</v>
      </c>
      <c r="R335" s="13">
        <f t="shared" si="16"/>
        <v>0.33333333333333331</v>
      </c>
      <c r="S335" s="31">
        <f t="shared" si="17"/>
        <v>0.10416666666666663</v>
      </c>
      <c r="T335" s="136"/>
      <c r="U335" s="136"/>
      <c r="V335" s="137">
        <f>(Tabla1[[#This Row],[COS.BASE 3]]*0.25+Tabla1[[#This Row],[COS.BASE 3]])*Tabla1[[#This Row],[HORAS 25 % ]]</f>
        <v>0</v>
      </c>
      <c r="W335" s="138">
        <f>(Tabla1[[#This Row],[COS.BASE 3]]*0.35+Tabla1[[#This Row],[COS.BASE 3]])*Tabla1[[#This Row],[HORAS 35% ]]</f>
        <v>0</v>
      </c>
      <c r="X335" s="138">
        <f>SUM(Tabla1[[#This Row],[C.HORA.35]],Tabla1[[#This Row],[C.HORA.25]])</f>
        <v>0</v>
      </c>
      <c r="Y335" s="4"/>
      <c r="Z335" s="10">
        <f>Tabla1[[#This Row],[T.HORAS]]*24</f>
        <v>10.499999999999998</v>
      </c>
      <c r="AA335" s="4">
        <f>Tabla1[[#This Row],[H.NORMALES]]*24</f>
        <v>8</v>
      </c>
      <c r="AB335" s="10">
        <f>Tabla1[[#This Row],[H.EXTRAS]]*24</f>
        <v>2.4999999999999991</v>
      </c>
      <c r="AC335" s="105">
        <f t="shared" si="18"/>
        <v>94.35</v>
      </c>
      <c r="AD335" s="120">
        <f>Tabla1[[#This Row],[COS.BASE 2]]/8</f>
        <v>11.793749999999999</v>
      </c>
      <c r="AE335" s="105">
        <f>Tabla1[[#This Row],[CST_H_E]]+Tabla1[[#This Row],[COS.BASE 2]]</f>
        <v>94.35</v>
      </c>
      <c r="AF335" s="106">
        <f>+_xlfn.IFNA(INDEX(RUBRO!$W$2:$AA$732,MATCH(Tabla1[[#This Row],[FECHA ]],RUBRO!$W$2:$W$732,0),5)," ")</f>
        <v>0</v>
      </c>
      <c r="AG335" s="10">
        <f>+_xlfn.IFNA(INDEX(RUBRO!$W$2:$AA$732,MATCH(Tabla1[[#This Row],[FECHA ]],RUBRO!$W$2:$W$732,0),2)," ")</f>
        <v>0</v>
      </c>
      <c r="AH335" s="40">
        <f>IFERROR(Tabla1[[#This Row],[F]]*Tabla1[[#This Row],[COS.B+E]]," ")</f>
        <v>0</v>
      </c>
      <c r="AI335" s="40">
        <f>IFERROR(Tabla1[[#This Row],[COS.B+E]]*Tabla1[[#This Row],[D]]," ")</f>
        <v>0</v>
      </c>
      <c r="AJ335" s="40" t="str">
        <f>IFERROR(Tabla1[[#This Row],[F]]*#REF!," ")</f>
        <v xml:space="preserve"> </v>
      </c>
      <c r="AK335" s="40" t="str">
        <f>IFERROR(#REF!*Tabla1[[#This Row],[D]]," ")</f>
        <v xml:space="preserve"> </v>
      </c>
      <c r="AL335" s="103"/>
      <c r="AM335" s="103"/>
      <c r="AN335" s="103"/>
      <c r="AO335" s="38">
        <f>+Tabla1[[#This Row],[COS.B+E]]+Tabla1[[#This Row],[COS.F1]]+Tabla1[[#This Row],[COS.D1]]+Tabla1[[#This Row],[ALIMENTACION]]+Tabla1[[#This Row],[PRESTAMO]]+AN335</f>
        <v>94.35</v>
      </c>
      <c r="AP335" s="38" t="e">
        <f>+#REF!+Tabla1[[#This Row],[COS F2]]+Tabla1[[#This Row],[COS D2]]+Tabla1[[#This Row],[ALIMENTACION]]+Tabla1[[#This Row],[PRESTAMO]]+Tabla1[[#This Row],[PASAJES]]</f>
        <v>#REF!</v>
      </c>
    </row>
    <row r="336" spans="1:42" x14ac:dyDescent="0.25">
      <c r="A336" s="2" t="str">
        <f>TEXT(Tabla1[[#This Row],[FECHA ]],"DDDDD")</f>
        <v>miércoles</v>
      </c>
      <c r="B336" s="2" t="str">
        <f>_xlfn.IFNA(VLOOKUP(Tabla1[[#This Row],[DESTINO]],RUBRO!$Q$1:$R$9996,2,FALSE)," ")</f>
        <v>OBRA</v>
      </c>
      <c r="C336" s="104">
        <f>WEEKNUM(Tabla1[[#This Row],[FECHA ]],2)</f>
        <v>20</v>
      </c>
      <c r="D336" s="104" t="str">
        <f>TEXT(Tabla1[[#This Row],[FECHA ]],"MMM-YY")</f>
        <v>may-YY</v>
      </c>
      <c r="E336" s="104" t="str">
        <f>VLOOKUP(Tabla1[[#This Row],[DNI ]],RUBRO!$F$1:$O$9996,7,FALSE)</f>
        <v>5ta</v>
      </c>
      <c r="F336" s="104" t="e">
        <f>VLOOKUP(Tabla1[[#This Row],[DNI ]],RUBRO!$F$1:$O$88,3,FALSE)</f>
        <v>#N/A</v>
      </c>
      <c r="G336" s="104" t="str">
        <f>VLOOKUP(Tabla1[[#This Row],[DNI ]],RUBRO!$F$1:$O$9996,5,FALSE)</f>
        <v>TECNICO MECANICO MONTAJISTA DE NAVE INDUSTRIAL</v>
      </c>
      <c r="H336" s="66" t="str">
        <f>VLOOKUP(Tabla1[[#This Row],[DNI ]],RUBRO!$F$1:$O$9996,6,FALSE)</f>
        <v>SOLANO SUELDO CARLOS</v>
      </c>
      <c r="I336" s="94">
        <v>44328</v>
      </c>
      <c r="J336" s="10">
        <v>2</v>
      </c>
      <c r="K336" s="2">
        <v>44676684</v>
      </c>
      <c r="L336" s="4">
        <f>VLOOKUP(Tabla1[[#This Row],[DNI ]],RUBRO!$F$2:$O$9996,8,FALSE)</f>
        <v>70</v>
      </c>
      <c r="M336" s="88">
        <v>0.29166666666666669</v>
      </c>
      <c r="N336" s="28">
        <v>0.54166666666666663</v>
      </c>
      <c r="O336" s="28">
        <v>0.58333333333333337</v>
      </c>
      <c r="P336" s="28">
        <v>0.75</v>
      </c>
      <c r="Q336" s="31">
        <f>(Tabla1[[#This Row],[SALIDA]]-Tabla1[[#This Row],[FIN ]])+(Tabla1[[#This Row],[INICIO]]-Tabla1[[#This Row],[INGRESO]])</f>
        <v>0.41666666666666657</v>
      </c>
      <c r="R336" s="13">
        <f t="shared" si="16"/>
        <v>0.33333333333333331</v>
      </c>
      <c r="S336" s="31">
        <f t="shared" si="17"/>
        <v>8.3333333333333259E-2</v>
      </c>
      <c r="T336" s="136"/>
      <c r="U336" s="136"/>
      <c r="V336" s="137">
        <f>(Tabla1[[#This Row],[COS.BASE 3]]*0.25+Tabla1[[#This Row],[COS.BASE 3]])*Tabla1[[#This Row],[HORAS 25 % ]]</f>
        <v>0</v>
      </c>
      <c r="W336" s="138">
        <f>(Tabla1[[#This Row],[COS.BASE 3]]*0.35+Tabla1[[#This Row],[COS.BASE 3]])*Tabla1[[#This Row],[HORAS 35% ]]</f>
        <v>0</v>
      </c>
      <c r="X336" s="138">
        <f>SUM(Tabla1[[#This Row],[C.HORA.35]],Tabla1[[#This Row],[C.HORA.25]])</f>
        <v>0</v>
      </c>
      <c r="Y336" s="4"/>
      <c r="Z336" s="10">
        <f>Tabla1[[#This Row],[T.HORAS]]*24</f>
        <v>9.9999999999999982</v>
      </c>
      <c r="AA336" s="4">
        <f>Tabla1[[#This Row],[H.NORMALES]]*24</f>
        <v>8</v>
      </c>
      <c r="AB336" s="10">
        <f>Tabla1[[#This Row],[H.EXTRAS]]*24</f>
        <v>1.9999999999999982</v>
      </c>
      <c r="AC336" s="105">
        <f t="shared" si="18"/>
        <v>70</v>
      </c>
      <c r="AD336" s="120">
        <f>Tabla1[[#This Row],[COS.BASE 2]]/8</f>
        <v>8.75</v>
      </c>
      <c r="AE336" s="105">
        <f>Tabla1[[#This Row],[CST_H_E]]+Tabla1[[#This Row],[COS.BASE 2]]</f>
        <v>70</v>
      </c>
      <c r="AF336" s="106">
        <f>+_xlfn.IFNA(INDEX(RUBRO!$W$2:$AA$732,MATCH(Tabla1[[#This Row],[FECHA ]],RUBRO!$W$2:$W$732,0),5)," ")</f>
        <v>0</v>
      </c>
      <c r="AG336" s="10">
        <f>+_xlfn.IFNA(INDEX(RUBRO!$W$2:$AA$732,MATCH(Tabla1[[#This Row],[FECHA ]],RUBRO!$W$2:$W$732,0),2)," ")</f>
        <v>0</v>
      </c>
      <c r="AH336" s="40">
        <f>IFERROR(Tabla1[[#This Row],[F]]*Tabla1[[#This Row],[COS.B+E]]," ")</f>
        <v>0</v>
      </c>
      <c r="AI336" s="40">
        <f>IFERROR(Tabla1[[#This Row],[COS.B+E]]*Tabla1[[#This Row],[D]]," ")</f>
        <v>0</v>
      </c>
      <c r="AJ336" s="40" t="str">
        <f>IFERROR(Tabla1[[#This Row],[F]]*#REF!," ")</f>
        <v xml:space="preserve"> </v>
      </c>
      <c r="AK336" s="40" t="str">
        <f>IFERROR(#REF!*Tabla1[[#This Row],[D]]," ")</f>
        <v xml:space="preserve"> </v>
      </c>
      <c r="AL336" s="103"/>
      <c r="AM336" s="103"/>
      <c r="AN336" s="103"/>
      <c r="AO336" s="38">
        <f>+Tabla1[[#This Row],[COS.B+E]]+Tabla1[[#This Row],[COS.F1]]+Tabla1[[#This Row],[COS.D1]]+Tabla1[[#This Row],[ALIMENTACION]]+Tabla1[[#This Row],[PRESTAMO]]+AN336</f>
        <v>70</v>
      </c>
      <c r="AP336" s="38" t="e">
        <f>+#REF!+Tabla1[[#This Row],[COS F2]]+Tabla1[[#This Row],[COS D2]]+Tabla1[[#This Row],[ALIMENTACION]]+Tabla1[[#This Row],[PRESTAMO]]+Tabla1[[#This Row],[PASAJES]]</f>
        <v>#REF!</v>
      </c>
    </row>
    <row r="337" spans="1:42" x14ac:dyDescent="0.25">
      <c r="A337" s="2" t="str">
        <f>TEXT(Tabla1[[#This Row],[FECHA ]],"DDDDD")</f>
        <v>miércoles</v>
      </c>
      <c r="B337" s="2" t="str">
        <f>_xlfn.IFNA(VLOOKUP(Tabla1[[#This Row],[DESTINO]],RUBRO!$Q$1:$R$9996,2,FALSE)," ")</f>
        <v xml:space="preserve"> </v>
      </c>
      <c r="C337" s="104">
        <f>WEEKNUM(Tabla1[[#This Row],[FECHA ]],2)</f>
        <v>20</v>
      </c>
      <c r="D337" s="104" t="str">
        <f>TEXT(Tabla1[[#This Row],[FECHA ]],"MMM-YY")</f>
        <v>may-YY</v>
      </c>
      <c r="E337" s="104" t="str">
        <f>VLOOKUP(Tabla1[[#This Row],[DNI ]],RUBRO!$F$1:$O$9996,7,FALSE)</f>
        <v>4ta</v>
      </c>
      <c r="F337" s="104" t="e">
        <f>VLOOKUP(Tabla1[[#This Row],[DNI ]],RUBRO!$F$1:$O$88,3,FALSE)</f>
        <v>#N/A</v>
      </c>
      <c r="G337" s="104">
        <f>VLOOKUP(Tabla1[[#This Row],[DNI ]],RUBRO!$F$1:$O$9996,5,FALSE)</f>
        <v>0</v>
      </c>
      <c r="H337" s="66" t="str">
        <f>VLOOKUP(Tabla1[[#This Row],[DNI ]],RUBRO!$F$1:$O$9996,6,FALSE)</f>
        <v>SOTO NIETO ALEXANDRO FABIO</v>
      </c>
      <c r="I337" s="94">
        <v>44328</v>
      </c>
      <c r="K337" s="2">
        <v>71214531</v>
      </c>
      <c r="L337" s="4">
        <f>VLOOKUP(Tabla1[[#This Row],[DNI ]],RUBRO!$F$2:$O$9996,8,FALSE)</f>
        <v>0</v>
      </c>
      <c r="M337" s="88"/>
      <c r="N337" s="28"/>
      <c r="P337" s="28"/>
      <c r="Q337" s="31">
        <f>(Tabla1[[#This Row],[SALIDA]]-Tabla1[[#This Row],[FIN ]])+(Tabla1[[#This Row],[INICIO]]-Tabla1[[#This Row],[INGRESO]])</f>
        <v>0</v>
      </c>
      <c r="R337" s="13">
        <f t="shared" si="16"/>
        <v>0</v>
      </c>
      <c r="S337" s="31">
        <f t="shared" si="17"/>
        <v>0</v>
      </c>
      <c r="T337" s="136"/>
      <c r="U337" s="136"/>
      <c r="V337" s="137">
        <f>(Tabla1[[#This Row],[COS.BASE 3]]*0.25+Tabla1[[#This Row],[COS.BASE 3]])*Tabla1[[#This Row],[HORAS 25 % ]]</f>
        <v>0</v>
      </c>
      <c r="W337" s="138">
        <f>(Tabla1[[#This Row],[COS.BASE 3]]*0.35+Tabla1[[#This Row],[COS.BASE 3]])*Tabla1[[#This Row],[HORAS 35% ]]</f>
        <v>0</v>
      </c>
      <c r="X337" s="138">
        <f>SUM(Tabla1[[#This Row],[C.HORA.35]],Tabla1[[#This Row],[C.HORA.25]])</f>
        <v>0</v>
      </c>
      <c r="Y337" s="4"/>
      <c r="Z337" s="10">
        <f>Tabla1[[#This Row],[T.HORAS]]*24</f>
        <v>0</v>
      </c>
      <c r="AA337" s="4">
        <f>Tabla1[[#This Row],[H.NORMALES]]*24</f>
        <v>0</v>
      </c>
      <c r="AB337" s="10">
        <f>Tabla1[[#This Row],[H.EXTRAS]]*24</f>
        <v>0</v>
      </c>
      <c r="AC337" s="105">
        <f t="shared" si="18"/>
        <v>0</v>
      </c>
      <c r="AD337" s="120">
        <f>Tabla1[[#This Row],[COS.BASE 2]]/8</f>
        <v>0</v>
      </c>
      <c r="AE337" s="105">
        <f>Tabla1[[#This Row],[CST_H_E]]+Tabla1[[#This Row],[COS.BASE 2]]</f>
        <v>0</v>
      </c>
      <c r="AF337" s="106">
        <f>+_xlfn.IFNA(INDEX(RUBRO!$W$2:$AA$732,MATCH(Tabla1[[#This Row],[FECHA ]],RUBRO!$W$2:$W$732,0),5)," ")</f>
        <v>0</v>
      </c>
      <c r="AG337" s="10">
        <f>+_xlfn.IFNA(INDEX(RUBRO!$W$2:$AA$732,MATCH(Tabla1[[#This Row],[FECHA ]],RUBRO!$W$2:$W$732,0),2)," ")</f>
        <v>0</v>
      </c>
      <c r="AH337" s="40">
        <f>IFERROR(Tabla1[[#This Row],[F]]*Tabla1[[#This Row],[COS.B+E]]," ")</f>
        <v>0</v>
      </c>
      <c r="AI337" s="40">
        <f>IFERROR(Tabla1[[#This Row],[COS.B+E]]*Tabla1[[#This Row],[D]]," ")</f>
        <v>0</v>
      </c>
      <c r="AJ337" s="40" t="str">
        <f>IFERROR(Tabla1[[#This Row],[F]]*#REF!," ")</f>
        <v xml:space="preserve"> </v>
      </c>
      <c r="AK337" s="40" t="str">
        <f>IFERROR(#REF!*Tabla1[[#This Row],[D]]," ")</f>
        <v xml:space="preserve"> </v>
      </c>
      <c r="AL337" s="103"/>
      <c r="AM337" s="103"/>
      <c r="AN337" s="103"/>
      <c r="AO337" s="38">
        <f>+Tabla1[[#This Row],[COS.B+E]]+Tabla1[[#This Row],[COS.F1]]+Tabla1[[#This Row],[COS.D1]]+Tabla1[[#This Row],[ALIMENTACION]]+Tabla1[[#This Row],[PRESTAMO]]+AN337</f>
        <v>0</v>
      </c>
      <c r="AP337" s="38" t="e">
        <f>+#REF!+Tabla1[[#This Row],[COS F2]]+Tabla1[[#This Row],[COS D2]]+Tabla1[[#This Row],[ALIMENTACION]]+Tabla1[[#This Row],[PRESTAMO]]+Tabla1[[#This Row],[PASAJES]]</f>
        <v>#REF!</v>
      </c>
    </row>
    <row r="338" spans="1:42" x14ac:dyDescent="0.25">
      <c r="A338" s="2" t="str">
        <f>TEXT(Tabla1[[#This Row],[FECHA ]],"DDDDD")</f>
        <v>miércoles</v>
      </c>
      <c r="B338" s="2" t="str">
        <f>_xlfn.IFNA(VLOOKUP(Tabla1[[#This Row],[DESTINO]],RUBRO!$Q$1:$R$9996,2,FALSE)," ")</f>
        <v>PLANTA</v>
      </c>
      <c r="C338" s="104">
        <f>WEEKNUM(Tabla1[[#This Row],[FECHA ]],2)</f>
        <v>20</v>
      </c>
      <c r="D338" s="104" t="str">
        <f>TEXT(Tabla1[[#This Row],[FECHA ]],"MMM-YY")</f>
        <v>may-YY</v>
      </c>
      <c r="E338" s="104" t="str">
        <f>VLOOKUP(Tabla1[[#This Row],[DNI ]],RUBRO!$F$1:$O$9996,7,FALSE)</f>
        <v>5ta</v>
      </c>
      <c r="F338" s="104" t="str">
        <f>VLOOKUP(Tabla1[[#This Row],[DNI ]],RUBRO!$F$1:$O$88,3,FALSE)</f>
        <v>TEC-02</v>
      </c>
      <c r="G338" s="104" t="str">
        <f>VLOOKUP(Tabla1[[#This Row],[DNI ]],RUBRO!$F$1:$O$9996,5,FALSE)</f>
        <v>TECNICO MECANICO MONTAJISTA DE MAQUINARIA</v>
      </c>
      <c r="H338" s="66" t="str">
        <f>VLOOKUP(Tabla1[[#This Row],[DNI ]],RUBRO!$F$1:$O$9996,6,FALSE)</f>
        <v>TINOCO SANTISTEBAN JIMMY JOEL</v>
      </c>
      <c r="I338" s="94">
        <v>44328</v>
      </c>
      <c r="J338" s="10">
        <v>1</v>
      </c>
      <c r="K338" s="2">
        <v>47158079</v>
      </c>
      <c r="L338" s="4">
        <f>VLOOKUP(Tabla1[[#This Row],[DNI ]],RUBRO!$F$2:$O$9996,8,FALSE)</f>
        <v>56.55</v>
      </c>
      <c r="M338" s="88">
        <v>0.29166666666666669</v>
      </c>
      <c r="N338" s="28">
        <v>0.54166666666666663</v>
      </c>
      <c r="O338" s="28">
        <v>0.58333333333333337</v>
      </c>
      <c r="P338" s="28">
        <v>0.75</v>
      </c>
      <c r="Q338" s="31">
        <f>(Tabla1[[#This Row],[SALIDA]]-Tabla1[[#This Row],[FIN ]])+(Tabla1[[#This Row],[INICIO]]-Tabla1[[#This Row],[INGRESO]])</f>
        <v>0.41666666666666657</v>
      </c>
      <c r="R338" s="13">
        <f t="shared" si="16"/>
        <v>0.375</v>
      </c>
      <c r="S338" s="31">
        <f t="shared" si="17"/>
        <v>4.1666666666666574E-2</v>
      </c>
      <c r="T338" s="136"/>
      <c r="U338" s="136"/>
      <c r="V338" s="137">
        <f>(Tabla1[[#This Row],[COS.BASE 3]]*0.25+Tabla1[[#This Row],[COS.BASE 3]])*Tabla1[[#This Row],[HORAS 25 % ]]</f>
        <v>0</v>
      </c>
      <c r="W338" s="138">
        <f>(Tabla1[[#This Row],[COS.BASE 3]]*0.35+Tabla1[[#This Row],[COS.BASE 3]])*Tabla1[[#This Row],[HORAS 35% ]]</f>
        <v>0</v>
      </c>
      <c r="X338" s="138">
        <f>SUM(Tabla1[[#This Row],[C.HORA.35]],Tabla1[[#This Row],[C.HORA.25]])</f>
        <v>0</v>
      </c>
      <c r="Y338" s="4"/>
      <c r="Z338" s="10">
        <f>Tabla1[[#This Row],[T.HORAS]]*24</f>
        <v>9.9999999999999982</v>
      </c>
      <c r="AA338" s="4">
        <f>Tabla1[[#This Row],[H.NORMALES]]*24</f>
        <v>9</v>
      </c>
      <c r="AB338" s="10">
        <f>Tabla1[[#This Row],[H.EXTRAS]]*24</f>
        <v>0.99999999999999778</v>
      </c>
      <c r="AC338" s="105">
        <f t="shared" si="18"/>
        <v>56.55</v>
      </c>
      <c r="AD338" s="120">
        <f>Tabla1[[#This Row],[COS.BASE 2]]/8</f>
        <v>7.0687499999999996</v>
      </c>
      <c r="AE338" s="105">
        <f>Tabla1[[#This Row],[CST_H_E]]+Tabla1[[#This Row],[COS.BASE 2]]</f>
        <v>56.55</v>
      </c>
      <c r="AF338" s="106">
        <f>+_xlfn.IFNA(INDEX(RUBRO!$W$2:$AA$732,MATCH(Tabla1[[#This Row],[FECHA ]],RUBRO!$W$2:$W$732,0),5)," ")</f>
        <v>0</v>
      </c>
      <c r="AG338" s="10">
        <f>+_xlfn.IFNA(INDEX(RUBRO!$W$2:$AA$732,MATCH(Tabla1[[#This Row],[FECHA ]],RUBRO!$W$2:$W$732,0),2)," ")</f>
        <v>0</v>
      </c>
      <c r="AH338" s="40">
        <f>IFERROR(Tabla1[[#This Row],[F]]*Tabla1[[#This Row],[COS.B+E]]," ")</f>
        <v>0</v>
      </c>
      <c r="AI338" s="40">
        <f>IFERROR(Tabla1[[#This Row],[COS.B+E]]*Tabla1[[#This Row],[D]]," ")</f>
        <v>0</v>
      </c>
      <c r="AJ338" s="40" t="str">
        <f>IFERROR(Tabla1[[#This Row],[F]]*#REF!," ")</f>
        <v xml:space="preserve"> </v>
      </c>
      <c r="AK338" s="40" t="str">
        <f>IFERROR(#REF!*Tabla1[[#This Row],[D]]," ")</f>
        <v xml:space="preserve"> </v>
      </c>
      <c r="AL338" s="103"/>
      <c r="AM338" s="103"/>
      <c r="AN338" s="103"/>
      <c r="AO338" s="38">
        <f>+Tabla1[[#This Row],[COS.B+E]]+Tabla1[[#This Row],[COS.F1]]+Tabla1[[#This Row],[COS.D1]]+Tabla1[[#This Row],[ALIMENTACION]]+Tabla1[[#This Row],[PRESTAMO]]+AN338</f>
        <v>56.55</v>
      </c>
      <c r="AP338" s="38" t="e">
        <f>+#REF!+Tabla1[[#This Row],[COS F2]]+Tabla1[[#This Row],[COS D2]]+Tabla1[[#This Row],[ALIMENTACION]]+Tabla1[[#This Row],[PRESTAMO]]+Tabla1[[#This Row],[PASAJES]]</f>
        <v>#REF!</v>
      </c>
    </row>
    <row r="339" spans="1:42" x14ac:dyDescent="0.25">
      <c r="A339" s="2" t="str">
        <f>TEXT(Tabla1[[#This Row],[FECHA ]],"DDDDD")</f>
        <v>miércoles</v>
      </c>
      <c r="B339" s="2" t="str">
        <f>_xlfn.IFNA(VLOOKUP(Tabla1[[#This Row],[DESTINO]],RUBRO!$Q$1:$R$9996,2,FALSE)," ")</f>
        <v>FALTA</v>
      </c>
      <c r="C339" s="104">
        <f>WEEKNUM(Tabla1[[#This Row],[FECHA ]],2)</f>
        <v>20</v>
      </c>
      <c r="D339" s="104" t="str">
        <f>TEXT(Tabla1[[#This Row],[FECHA ]],"MMM-YY")</f>
        <v>may-YY</v>
      </c>
      <c r="E339" s="104" t="str">
        <f>VLOOKUP(Tabla1[[#This Row],[DNI ]],RUBRO!$F$1:$O$9996,7,FALSE)</f>
        <v>5ta</v>
      </c>
      <c r="F339" s="104" t="str">
        <f>VLOOKUP(Tabla1[[#This Row],[DNI ]],RUBRO!$F$1:$O$88,3,FALSE)</f>
        <v>TECME-03</v>
      </c>
      <c r="G339" s="104" t="str">
        <f>VLOOKUP(Tabla1[[#This Row],[DNI ]],RUBRO!$F$1:$O$9996,5,FALSE)</f>
        <v>TECNICO ELECTRICO MONTAJISTA DE MAQUINARIA EXTRANJERA</v>
      </c>
      <c r="H339" s="66" t="str">
        <f>VLOOKUP(Tabla1[[#This Row],[DNI ]],RUBRO!$F$1:$O$9996,6,FALSE)</f>
        <v>TORRES RAMOS ANGY ANDREINA</v>
      </c>
      <c r="I339" s="94">
        <v>44328</v>
      </c>
      <c r="J339" s="10">
        <v>4</v>
      </c>
      <c r="K339" s="2">
        <v>76449683</v>
      </c>
      <c r="L339" s="4">
        <f>VLOOKUP(Tabla1[[#This Row],[DNI ]],RUBRO!$F$2:$O$9996,8,FALSE)</f>
        <v>73.87</v>
      </c>
      <c r="M339" s="88"/>
      <c r="N339" s="28"/>
      <c r="P339" s="28"/>
      <c r="Q339" s="31">
        <f>(Tabla1[[#This Row],[SALIDA]]-Tabla1[[#This Row],[FIN ]])+(Tabla1[[#This Row],[INICIO]]-Tabla1[[#This Row],[INGRESO]])</f>
        <v>0</v>
      </c>
      <c r="R339" s="13">
        <f t="shared" si="16"/>
        <v>0</v>
      </c>
      <c r="S339" s="31">
        <f t="shared" si="17"/>
        <v>0</v>
      </c>
      <c r="T339" s="136"/>
      <c r="U339" s="136"/>
      <c r="V339" s="137">
        <f>(Tabla1[[#This Row],[COS.BASE 3]]*0.25+Tabla1[[#This Row],[COS.BASE 3]])*Tabla1[[#This Row],[HORAS 25 % ]]</f>
        <v>0</v>
      </c>
      <c r="W339" s="138">
        <f>(Tabla1[[#This Row],[COS.BASE 3]]*0.35+Tabla1[[#This Row],[COS.BASE 3]])*Tabla1[[#This Row],[HORAS 35% ]]</f>
        <v>0</v>
      </c>
      <c r="X339" s="138">
        <f>SUM(Tabla1[[#This Row],[C.HORA.35]],Tabla1[[#This Row],[C.HORA.25]])</f>
        <v>0</v>
      </c>
      <c r="Y339" s="4"/>
      <c r="Z339" s="10">
        <f>Tabla1[[#This Row],[T.HORAS]]*24</f>
        <v>0</v>
      </c>
      <c r="AA339" s="4">
        <f>Tabla1[[#This Row],[H.NORMALES]]*24</f>
        <v>0</v>
      </c>
      <c r="AB339" s="10">
        <f>Tabla1[[#This Row],[H.EXTRAS]]*24</f>
        <v>0</v>
      </c>
      <c r="AC339" s="105">
        <f t="shared" si="18"/>
        <v>0</v>
      </c>
      <c r="AD339" s="120">
        <f>Tabla1[[#This Row],[COS.BASE 2]]/8</f>
        <v>0</v>
      </c>
      <c r="AE339" s="134">
        <f>Tabla1[[#This Row],[CST_H_E]]+Tabla1[[#This Row],[COS.BASE 2]]</f>
        <v>0</v>
      </c>
      <c r="AF339" s="106">
        <f>+_xlfn.IFNA(INDEX(RUBRO!$W$2:$AA$732,MATCH(Tabla1[[#This Row],[FECHA ]],RUBRO!$W$2:$W$732,0),5)," ")</f>
        <v>0</v>
      </c>
      <c r="AG339" s="10">
        <f>+_xlfn.IFNA(INDEX(RUBRO!$W$2:$AA$732,MATCH(Tabla1[[#This Row],[FECHA ]],RUBRO!$W$2:$W$732,0),2)," ")</f>
        <v>0</v>
      </c>
      <c r="AH339" s="40">
        <f>IFERROR(Tabla1[[#This Row],[F]]*Tabla1[[#This Row],[COS.B+E]]," ")</f>
        <v>0</v>
      </c>
      <c r="AI339" s="40">
        <f>IFERROR(Tabla1[[#This Row],[COS.B+E]]*Tabla1[[#This Row],[D]]," ")</f>
        <v>0</v>
      </c>
      <c r="AJ339" s="40" t="str">
        <f>IFERROR(Tabla1[[#This Row],[F]]*#REF!," ")</f>
        <v xml:space="preserve"> </v>
      </c>
      <c r="AK339" s="40" t="str">
        <f>IFERROR(#REF!*Tabla1[[#This Row],[D]]," ")</f>
        <v xml:space="preserve"> </v>
      </c>
      <c r="AL339" s="103"/>
      <c r="AM339" s="103"/>
      <c r="AN339" s="103"/>
      <c r="AO339" s="38">
        <f>+Tabla1[[#This Row],[COS.B+E]]+Tabla1[[#This Row],[COS.F1]]+Tabla1[[#This Row],[COS.D1]]+Tabla1[[#This Row],[ALIMENTACION]]+Tabla1[[#This Row],[PRESTAMO]]+AN339</f>
        <v>0</v>
      </c>
      <c r="AP339" s="38" t="e">
        <f>+#REF!+Tabla1[[#This Row],[COS F2]]+Tabla1[[#This Row],[COS D2]]+Tabla1[[#This Row],[ALIMENTACION]]+Tabla1[[#This Row],[PRESTAMO]]+Tabla1[[#This Row],[PASAJES]]</f>
        <v>#REF!</v>
      </c>
    </row>
    <row r="340" spans="1:42" x14ac:dyDescent="0.25">
      <c r="A340" s="2" t="str">
        <f>TEXT(Tabla1[[#This Row],[FECHA ]],"DDDDD")</f>
        <v>miércoles</v>
      </c>
      <c r="B340" s="2" t="str">
        <f>_xlfn.IFNA(VLOOKUP(Tabla1[[#This Row],[DESTINO]],RUBRO!$Q$1:$R$9996,2,FALSE)," ")</f>
        <v>OBRA</v>
      </c>
      <c r="C340" s="104">
        <f>WEEKNUM(Tabla1[[#This Row],[FECHA ]],2)</f>
        <v>20</v>
      </c>
      <c r="D340" s="104" t="str">
        <f>TEXT(Tabla1[[#This Row],[FECHA ]],"MMM-YY")</f>
        <v>may-YY</v>
      </c>
      <c r="E340" s="104" t="str">
        <f>VLOOKUP(Tabla1[[#This Row],[DNI ]],RUBRO!$F$1:$O$9996,7,FALSE)</f>
        <v>5ta</v>
      </c>
      <c r="F340" s="104" t="str">
        <f>VLOOKUP(Tabla1[[#This Row],[DNI ]],RUBRO!$F$1:$O$88,3,FALSE)</f>
        <v>MEC-04</v>
      </c>
      <c r="G340" s="104" t="str">
        <f>VLOOKUP(Tabla1[[#This Row],[DNI ]],RUBRO!$F$1:$O$9996,5,FALSE)</f>
        <v>MECANICO MONTAJISTA DE MAQUINARIA EXTRANJERA</v>
      </c>
      <c r="H340" s="66" t="str">
        <f>VLOOKUP(Tabla1[[#This Row],[DNI ]],RUBRO!$F$1:$O$9996,6,FALSE)</f>
        <v>VARGAS TARRILLO GLOBER</v>
      </c>
      <c r="I340" s="94">
        <v>44328</v>
      </c>
      <c r="J340" s="10">
        <v>2</v>
      </c>
      <c r="K340" s="2">
        <v>43878459</v>
      </c>
      <c r="L340" s="4">
        <f>VLOOKUP(Tabla1[[#This Row],[DNI ]],RUBRO!$F$2:$O$9996,8,FALSE)</f>
        <v>79.78</v>
      </c>
      <c r="M340" s="88">
        <v>0.29166666666666669</v>
      </c>
      <c r="N340" s="28">
        <v>0.54166666666666663</v>
      </c>
      <c r="O340" s="28">
        <v>0.58333333333333337</v>
      </c>
      <c r="P340" s="28">
        <v>0.79166666666666663</v>
      </c>
      <c r="Q340" s="31">
        <f>(Tabla1[[#This Row],[SALIDA]]-Tabla1[[#This Row],[FIN ]])+(Tabla1[[#This Row],[INICIO]]-Tabla1[[#This Row],[INGRESO]])</f>
        <v>0.4583333333333332</v>
      </c>
      <c r="R340" s="13">
        <f t="shared" si="16"/>
        <v>0.33333333333333331</v>
      </c>
      <c r="S340" s="31">
        <f t="shared" si="17"/>
        <v>0.12499999999999989</v>
      </c>
      <c r="T340" s="136"/>
      <c r="U340" s="136"/>
      <c r="V340" s="137">
        <f>(Tabla1[[#This Row],[COS.BASE 3]]*0.25+Tabla1[[#This Row],[COS.BASE 3]])*Tabla1[[#This Row],[HORAS 25 % ]]</f>
        <v>0</v>
      </c>
      <c r="W340" s="138">
        <f>(Tabla1[[#This Row],[COS.BASE 3]]*0.35+Tabla1[[#This Row],[COS.BASE 3]])*Tabla1[[#This Row],[HORAS 35% ]]</f>
        <v>0</v>
      </c>
      <c r="X340" s="138">
        <f>SUM(Tabla1[[#This Row],[C.HORA.35]],Tabla1[[#This Row],[C.HORA.25]])</f>
        <v>0</v>
      </c>
      <c r="Y340" s="4"/>
      <c r="Z340" s="10">
        <f>Tabla1[[#This Row],[T.HORAS]]*24</f>
        <v>10.999999999999996</v>
      </c>
      <c r="AA340" s="4">
        <f>Tabla1[[#This Row],[H.NORMALES]]*24</f>
        <v>8</v>
      </c>
      <c r="AB340" s="10">
        <f>Tabla1[[#This Row],[H.EXTRAS]]*24</f>
        <v>2.9999999999999973</v>
      </c>
      <c r="AC340" s="105">
        <f t="shared" si="18"/>
        <v>79.78</v>
      </c>
      <c r="AD340" s="120">
        <f>Tabla1[[#This Row],[COS.BASE 2]]/8</f>
        <v>9.9725000000000001</v>
      </c>
      <c r="AE340" s="105">
        <f>Tabla1[[#This Row],[CST_H_E]]+Tabla1[[#This Row],[COS.BASE 2]]</f>
        <v>79.78</v>
      </c>
      <c r="AF340" s="106">
        <f>+_xlfn.IFNA(INDEX(RUBRO!$W$2:$AA$732,MATCH(Tabla1[[#This Row],[FECHA ]],RUBRO!$W$2:$W$732,0),5)," ")</f>
        <v>0</v>
      </c>
      <c r="AG340" s="10">
        <f>+_xlfn.IFNA(INDEX(RUBRO!$W$2:$AA$732,MATCH(Tabla1[[#This Row],[FECHA ]],RUBRO!$W$2:$W$732,0),2)," ")</f>
        <v>0</v>
      </c>
      <c r="AH340" s="40">
        <f>IFERROR(Tabla1[[#This Row],[F]]*Tabla1[[#This Row],[COS.B+E]]," ")</f>
        <v>0</v>
      </c>
      <c r="AI340" s="40">
        <f>IFERROR(Tabla1[[#This Row],[COS.B+E]]*Tabla1[[#This Row],[D]]," ")</f>
        <v>0</v>
      </c>
      <c r="AJ340" s="40" t="str">
        <f>IFERROR(Tabla1[[#This Row],[F]]*#REF!," ")</f>
        <v xml:space="preserve"> </v>
      </c>
      <c r="AK340" s="40" t="str">
        <f>IFERROR(#REF!*Tabla1[[#This Row],[D]]," ")</f>
        <v xml:space="preserve"> </v>
      </c>
      <c r="AL340" s="103"/>
      <c r="AM340" s="103"/>
      <c r="AN340" s="103"/>
      <c r="AO340" s="38">
        <f>+Tabla1[[#This Row],[COS.B+E]]+Tabla1[[#This Row],[COS.F1]]+Tabla1[[#This Row],[COS.D1]]+Tabla1[[#This Row],[ALIMENTACION]]+Tabla1[[#This Row],[PRESTAMO]]+AN340</f>
        <v>79.78</v>
      </c>
      <c r="AP340" s="38" t="e">
        <f>+#REF!+Tabla1[[#This Row],[COS F2]]+Tabla1[[#This Row],[COS D2]]+Tabla1[[#This Row],[ALIMENTACION]]+Tabla1[[#This Row],[PRESTAMO]]+Tabla1[[#This Row],[PASAJES]]</f>
        <v>#REF!</v>
      </c>
    </row>
    <row r="341" spans="1:42" x14ac:dyDescent="0.25">
      <c r="A341" s="2" t="str">
        <f>TEXT(Tabla1[[#This Row],[FECHA ]],"DDDDD")</f>
        <v>miércoles</v>
      </c>
      <c r="B341" s="2" t="str">
        <f>_xlfn.IFNA(VLOOKUP(Tabla1[[#This Row],[DESTINO]],RUBRO!$Q$1:$R$9996,2,FALSE)," ")</f>
        <v>OBRA</v>
      </c>
      <c r="C341" s="104">
        <f>WEEKNUM(Tabla1[[#This Row],[FECHA ]],2)</f>
        <v>20</v>
      </c>
      <c r="D341" s="104" t="str">
        <f>TEXT(Tabla1[[#This Row],[FECHA ]],"MMM-YY")</f>
        <v>may-YY</v>
      </c>
      <c r="E341" s="104" t="str">
        <f>VLOOKUP(Tabla1[[#This Row],[DNI ]],RUBRO!$F$1:$O$9996,7,FALSE)</f>
        <v>5ta</v>
      </c>
      <c r="F341" s="104" t="str">
        <f>VLOOKUP(Tabla1[[#This Row],[DNI ]],RUBRO!$F$1:$O$88,3,FALSE)</f>
        <v>MEC-04</v>
      </c>
      <c r="G341" s="104" t="str">
        <f>VLOOKUP(Tabla1[[#This Row],[DNI ]],RUBRO!$F$1:$O$9996,5,FALSE)</f>
        <v>MECANICO MONTAJISTA DE MAQUINARIA EXTRANJERA</v>
      </c>
      <c r="H341" s="66" t="str">
        <f>VLOOKUP(Tabla1[[#This Row],[DNI ]],RUBRO!$F$1:$O$9996,6,FALSE)</f>
        <v>VARGAS TARRILLO OMAR ALEXANDER</v>
      </c>
      <c r="I341" s="94">
        <v>44328</v>
      </c>
      <c r="J341" s="10">
        <v>2</v>
      </c>
      <c r="K341" s="2">
        <v>46578402</v>
      </c>
      <c r="L341" s="4">
        <f>VLOOKUP(Tabla1[[#This Row],[DNI ]],RUBRO!$F$2:$O$9996,8,FALSE)</f>
        <v>103.42</v>
      </c>
      <c r="M341" s="88">
        <v>0.29166666666666669</v>
      </c>
      <c r="N341" s="28">
        <v>0.54166666666666663</v>
      </c>
      <c r="O341" s="28">
        <v>0.58333333333333337</v>
      </c>
      <c r="P341" s="28">
        <v>0.79166666666666663</v>
      </c>
      <c r="Q341" s="31">
        <f>(Tabla1[[#This Row],[SALIDA]]-Tabla1[[#This Row],[FIN ]])+(Tabla1[[#This Row],[INICIO]]-Tabla1[[#This Row],[INGRESO]])</f>
        <v>0.4583333333333332</v>
      </c>
      <c r="R341" s="13">
        <f t="shared" si="16"/>
        <v>0.33333333333333331</v>
      </c>
      <c r="S341" s="31">
        <f t="shared" si="17"/>
        <v>0.12499999999999989</v>
      </c>
      <c r="T341" s="136"/>
      <c r="U341" s="136"/>
      <c r="V341" s="137">
        <f>(Tabla1[[#This Row],[COS.BASE 3]]*0.25+Tabla1[[#This Row],[COS.BASE 3]])*Tabla1[[#This Row],[HORAS 25 % ]]</f>
        <v>0</v>
      </c>
      <c r="W341" s="138">
        <f>(Tabla1[[#This Row],[COS.BASE 3]]*0.35+Tabla1[[#This Row],[COS.BASE 3]])*Tabla1[[#This Row],[HORAS 35% ]]</f>
        <v>0</v>
      </c>
      <c r="X341" s="138">
        <f>SUM(Tabla1[[#This Row],[C.HORA.35]],Tabla1[[#This Row],[C.HORA.25]])</f>
        <v>0</v>
      </c>
      <c r="Y341" s="4"/>
      <c r="Z341" s="10">
        <f>Tabla1[[#This Row],[T.HORAS]]*24</f>
        <v>10.999999999999996</v>
      </c>
      <c r="AA341" s="4">
        <f>Tabla1[[#This Row],[H.NORMALES]]*24</f>
        <v>8</v>
      </c>
      <c r="AB341" s="10">
        <f>Tabla1[[#This Row],[H.EXTRAS]]*24</f>
        <v>2.9999999999999973</v>
      </c>
      <c r="AC341" s="105">
        <f t="shared" si="18"/>
        <v>103.42</v>
      </c>
      <c r="AD341" s="120">
        <f>Tabla1[[#This Row],[COS.BASE 2]]/8</f>
        <v>12.9275</v>
      </c>
      <c r="AE341" s="105">
        <f>Tabla1[[#This Row],[CST_H_E]]+Tabla1[[#This Row],[COS.BASE 2]]</f>
        <v>103.42</v>
      </c>
      <c r="AF341" s="106">
        <f>+_xlfn.IFNA(INDEX(RUBRO!$W$2:$AA$732,MATCH(Tabla1[[#This Row],[FECHA ]],RUBRO!$W$2:$W$732,0),5)," ")</f>
        <v>0</v>
      </c>
      <c r="AG341" s="10">
        <f>+_xlfn.IFNA(INDEX(RUBRO!$W$2:$AA$732,MATCH(Tabla1[[#This Row],[FECHA ]],RUBRO!$W$2:$W$732,0),2)," ")</f>
        <v>0</v>
      </c>
      <c r="AH341" s="40">
        <f>IFERROR(Tabla1[[#This Row],[F]]*Tabla1[[#This Row],[COS.B+E]]," ")</f>
        <v>0</v>
      </c>
      <c r="AI341" s="40">
        <f>IFERROR(Tabla1[[#This Row],[COS.B+E]]*Tabla1[[#This Row],[D]]," ")</f>
        <v>0</v>
      </c>
      <c r="AJ341" s="40" t="str">
        <f>IFERROR(Tabla1[[#This Row],[F]]*#REF!," ")</f>
        <v xml:space="preserve"> </v>
      </c>
      <c r="AK341" s="40" t="str">
        <f>IFERROR(#REF!*Tabla1[[#This Row],[D]]," ")</f>
        <v xml:space="preserve"> </v>
      </c>
      <c r="AL341" s="103"/>
      <c r="AM341" s="103"/>
      <c r="AN341" s="103"/>
      <c r="AO341" s="38">
        <f>+Tabla1[[#This Row],[COS.B+E]]+Tabla1[[#This Row],[COS.F1]]+Tabla1[[#This Row],[COS.D1]]+Tabla1[[#This Row],[ALIMENTACION]]+Tabla1[[#This Row],[PRESTAMO]]+AN341</f>
        <v>103.42</v>
      </c>
      <c r="AP341" s="38" t="e">
        <f>+#REF!+Tabla1[[#This Row],[COS F2]]+Tabla1[[#This Row],[COS D2]]+Tabla1[[#This Row],[ALIMENTACION]]+Tabla1[[#This Row],[PRESTAMO]]+Tabla1[[#This Row],[PASAJES]]</f>
        <v>#REF!</v>
      </c>
    </row>
    <row r="342" spans="1:42" x14ac:dyDescent="0.25">
      <c r="A342" s="2" t="str">
        <f>TEXT(Tabla1[[#This Row],[FECHA ]],"DDDDD")</f>
        <v>miércoles</v>
      </c>
      <c r="B342" s="2" t="str">
        <f>_xlfn.IFNA(VLOOKUP(Tabla1[[#This Row],[DESTINO]],RUBRO!$Q$1:$R$9996,2,FALSE)," ")</f>
        <v>OBRA</v>
      </c>
      <c r="C342" s="104">
        <f>WEEKNUM(Tabla1[[#This Row],[FECHA ]],2)</f>
        <v>20</v>
      </c>
      <c r="D342" s="104" t="str">
        <f>TEXT(Tabla1[[#This Row],[FECHA ]],"MMM-YY")</f>
        <v>may-YY</v>
      </c>
      <c r="E342" s="104" t="str">
        <f>VLOOKUP(Tabla1[[#This Row],[DNI ]],RUBRO!$F$1:$O$9996,7,FALSE)</f>
        <v>5ta</v>
      </c>
      <c r="F342" s="104" t="e">
        <f>VLOOKUP(Tabla1[[#This Row],[DNI ]],RUBRO!$F$1:$O$88,3,FALSE)</f>
        <v>#N/A</v>
      </c>
      <c r="G342" s="104" t="str">
        <f>VLOOKUP(Tabla1[[#This Row],[DNI ]],RUBRO!$F$1:$O$9996,5,FALSE)</f>
        <v xml:space="preserve">PRACTICANTE </v>
      </c>
      <c r="H342" s="66" t="str">
        <f>VLOOKUP(Tabla1[[#This Row],[DNI ]],RUBRO!$F$1:$O$9996,6,FALSE)</f>
        <v>VASQUEZ CHUPILLON KEVIN</v>
      </c>
      <c r="I342" s="94">
        <v>44328</v>
      </c>
      <c r="J342" s="10">
        <v>2</v>
      </c>
      <c r="K342" s="2">
        <v>72814417</v>
      </c>
      <c r="L342" s="4">
        <f>VLOOKUP(Tabla1[[#This Row],[DNI ]],RUBRO!$F$2:$O$9996,8,FALSE)</f>
        <v>35.76</v>
      </c>
      <c r="M342" s="88">
        <v>0.29166666666666669</v>
      </c>
      <c r="N342" s="28">
        <v>0.54166666666666663</v>
      </c>
      <c r="O342" s="28">
        <v>0.58333333333333337</v>
      </c>
      <c r="P342" s="28">
        <v>0.99930555555555556</v>
      </c>
      <c r="Q342" s="31">
        <f>(Tabla1[[#This Row],[SALIDA]]-Tabla1[[#This Row],[FIN ]])+(Tabla1[[#This Row],[INICIO]]-Tabla1[[#This Row],[INGRESO]])</f>
        <v>0.66597222222222219</v>
      </c>
      <c r="R342" s="13">
        <f t="shared" si="16"/>
        <v>0.33333333333333331</v>
      </c>
      <c r="S342" s="31">
        <f t="shared" si="17"/>
        <v>0.33263888888888887</v>
      </c>
      <c r="T342" s="136"/>
      <c r="U342" s="136"/>
      <c r="V342" s="137">
        <f>(Tabla1[[#This Row],[COS.BASE 3]]*0.25+Tabla1[[#This Row],[COS.BASE 3]])*Tabla1[[#This Row],[HORAS 25 % ]]</f>
        <v>0</v>
      </c>
      <c r="W342" s="138">
        <f>(Tabla1[[#This Row],[COS.BASE 3]]*0.35+Tabla1[[#This Row],[COS.BASE 3]])*Tabla1[[#This Row],[HORAS 35% ]]</f>
        <v>0</v>
      </c>
      <c r="X342" s="138">
        <f>SUM(Tabla1[[#This Row],[C.HORA.35]],Tabla1[[#This Row],[C.HORA.25]])</f>
        <v>0</v>
      </c>
      <c r="Y342" s="4"/>
      <c r="Z342" s="10">
        <f>Tabla1[[#This Row],[T.HORAS]]*24</f>
        <v>15.983333333333333</v>
      </c>
      <c r="AA342" s="4">
        <f>Tabla1[[#This Row],[H.NORMALES]]*24</f>
        <v>8</v>
      </c>
      <c r="AB342" s="10">
        <f>Tabla1[[#This Row],[H.EXTRAS]]*24</f>
        <v>7.9833333333333325</v>
      </c>
      <c r="AC342" s="105">
        <f t="shared" si="18"/>
        <v>35.76</v>
      </c>
      <c r="AD342" s="120">
        <f>Tabla1[[#This Row],[COS.BASE 2]]/8</f>
        <v>4.47</v>
      </c>
      <c r="AE342" s="105">
        <f>Tabla1[[#This Row],[CST_H_E]]+Tabla1[[#This Row],[COS.BASE 2]]</f>
        <v>35.76</v>
      </c>
      <c r="AF342" s="106">
        <f>+_xlfn.IFNA(INDEX(RUBRO!$W$2:$AA$732,MATCH(Tabla1[[#This Row],[FECHA ]],RUBRO!$W$2:$W$732,0),5)," ")</f>
        <v>0</v>
      </c>
      <c r="AG342" s="10">
        <f>+_xlfn.IFNA(INDEX(RUBRO!$W$2:$AA$732,MATCH(Tabla1[[#This Row],[FECHA ]],RUBRO!$W$2:$W$732,0),2)," ")</f>
        <v>0</v>
      </c>
      <c r="AH342" s="40">
        <f>IFERROR(Tabla1[[#This Row],[F]]*Tabla1[[#This Row],[COS.B+E]]," ")</f>
        <v>0</v>
      </c>
      <c r="AI342" s="40">
        <f>IFERROR(Tabla1[[#This Row],[COS.B+E]]*Tabla1[[#This Row],[D]]," ")</f>
        <v>0</v>
      </c>
      <c r="AJ342" s="40" t="str">
        <f>IFERROR(Tabla1[[#This Row],[F]]*#REF!," ")</f>
        <v xml:space="preserve"> </v>
      </c>
      <c r="AK342" s="40" t="str">
        <f>IFERROR(#REF!*Tabla1[[#This Row],[D]]," ")</f>
        <v xml:space="preserve"> </v>
      </c>
      <c r="AL342" s="103"/>
      <c r="AM342" s="103"/>
      <c r="AN342" s="103"/>
      <c r="AO342" s="38">
        <f>+Tabla1[[#This Row],[COS.B+E]]+Tabla1[[#This Row],[COS.F1]]+Tabla1[[#This Row],[COS.D1]]+Tabla1[[#This Row],[ALIMENTACION]]+Tabla1[[#This Row],[PRESTAMO]]+AN342</f>
        <v>35.76</v>
      </c>
      <c r="AP342" s="38" t="e">
        <f>+#REF!+Tabla1[[#This Row],[COS F2]]+Tabla1[[#This Row],[COS D2]]+Tabla1[[#This Row],[ALIMENTACION]]+Tabla1[[#This Row],[PRESTAMO]]+Tabla1[[#This Row],[PASAJES]]</f>
        <v>#REF!</v>
      </c>
    </row>
    <row r="343" spans="1:42" x14ac:dyDescent="0.25">
      <c r="A343" s="2" t="str">
        <f>TEXT(Tabla1[[#This Row],[FECHA ]],"DDDDD")</f>
        <v>miércoles</v>
      </c>
      <c r="B343" s="2" t="str">
        <f>_xlfn.IFNA(VLOOKUP(Tabla1[[#This Row],[DESTINO]],RUBRO!$Q$1:$R$9996,2,FALSE)," ")</f>
        <v>OBRA</v>
      </c>
      <c r="C343" s="104">
        <f>WEEKNUM(Tabla1[[#This Row],[FECHA ]],2)</f>
        <v>20</v>
      </c>
      <c r="D343" s="104" t="str">
        <f>TEXT(Tabla1[[#This Row],[FECHA ]],"MMM-YY")</f>
        <v>may-YY</v>
      </c>
      <c r="E343" s="104" t="str">
        <f>VLOOKUP(Tabla1[[#This Row],[DNI ]],RUBRO!$F$1:$O$9996,7,FALSE)</f>
        <v>5ta</v>
      </c>
      <c r="F343" s="104" t="str">
        <f>VLOOKUP(Tabla1[[#This Row],[DNI ]],RUBRO!$F$1:$O$88,3,FALSE)</f>
        <v>MEC-04</v>
      </c>
      <c r="G343" s="104" t="str">
        <f>VLOOKUP(Tabla1[[#This Row],[DNI ]],RUBRO!$F$1:$O$9996,5,FALSE)</f>
        <v>MECANICO MONTAJISTA DE MAQUINARIA EXTRANJERA</v>
      </c>
      <c r="H343" s="66" t="str">
        <f>VLOOKUP(Tabla1[[#This Row],[DNI ]],RUBRO!$F$1:$O$9996,6,FALSE)</f>
        <v>VASQUEZ GAMBOA JUAN JOSE</v>
      </c>
      <c r="I343" s="94">
        <v>44328</v>
      </c>
      <c r="J343" s="10">
        <v>2</v>
      </c>
      <c r="K343" s="2">
        <v>45416906</v>
      </c>
      <c r="L343" s="4">
        <f>VLOOKUP(Tabla1[[#This Row],[DNI ]],RUBRO!$F$2:$O$9996,8,FALSE)</f>
        <v>87</v>
      </c>
      <c r="M343" s="88">
        <v>0.29166666666666669</v>
      </c>
      <c r="N343" s="28">
        <v>0.54166666666666663</v>
      </c>
      <c r="O343" s="28">
        <v>0.58333333333333337</v>
      </c>
      <c r="P343" s="28">
        <v>0.75</v>
      </c>
      <c r="Q343" s="31">
        <f>(Tabla1[[#This Row],[SALIDA]]-Tabla1[[#This Row],[FIN ]])+(Tabla1[[#This Row],[INICIO]]-Tabla1[[#This Row],[INGRESO]])</f>
        <v>0.41666666666666657</v>
      </c>
      <c r="R343" s="13">
        <f t="shared" si="16"/>
        <v>0.33333333333333331</v>
      </c>
      <c r="S343" s="31">
        <f t="shared" si="17"/>
        <v>8.3333333333333259E-2</v>
      </c>
      <c r="T343" s="136"/>
      <c r="U343" s="136"/>
      <c r="V343" s="137">
        <f>(Tabla1[[#This Row],[COS.BASE 3]]*0.25+Tabla1[[#This Row],[COS.BASE 3]])*Tabla1[[#This Row],[HORAS 25 % ]]</f>
        <v>0</v>
      </c>
      <c r="W343" s="138">
        <f>(Tabla1[[#This Row],[COS.BASE 3]]*0.35+Tabla1[[#This Row],[COS.BASE 3]])*Tabla1[[#This Row],[HORAS 35% ]]</f>
        <v>0</v>
      </c>
      <c r="X343" s="138">
        <f>SUM(Tabla1[[#This Row],[C.HORA.35]],Tabla1[[#This Row],[C.HORA.25]])</f>
        <v>0</v>
      </c>
      <c r="Y343" s="4"/>
      <c r="Z343" s="10">
        <f>Tabla1[[#This Row],[T.HORAS]]*24</f>
        <v>9.9999999999999982</v>
      </c>
      <c r="AA343" s="4">
        <f>Tabla1[[#This Row],[H.NORMALES]]*24</f>
        <v>8</v>
      </c>
      <c r="AB343" s="10">
        <f>Tabla1[[#This Row],[H.EXTRAS]]*24</f>
        <v>1.9999999999999982</v>
      </c>
      <c r="AC343" s="105">
        <f t="shared" si="18"/>
        <v>87</v>
      </c>
      <c r="AD343" s="120">
        <f>Tabla1[[#This Row],[COS.BASE 2]]/8</f>
        <v>10.875</v>
      </c>
      <c r="AE343" s="105">
        <f>Tabla1[[#This Row],[CST_H_E]]+Tabla1[[#This Row],[COS.BASE 2]]</f>
        <v>87</v>
      </c>
      <c r="AF343" s="106">
        <f>+_xlfn.IFNA(INDEX(RUBRO!$W$2:$AA$732,MATCH(Tabla1[[#This Row],[FECHA ]],RUBRO!$W$2:$W$732,0),5)," ")</f>
        <v>0</v>
      </c>
      <c r="AG343" s="10">
        <f>+_xlfn.IFNA(INDEX(RUBRO!$W$2:$AA$732,MATCH(Tabla1[[#This Row],[FECHA ]],RUBRO!$W$2:$W$732,0),2)," ")</f>
        <v>0</v>
      </c>
      <c r="AH343" s="40">
        <f>IFERROR(Tabla1[[#This Row],[F]]*Tabla1[[#This Row],[COS.B+E]]," ")</f>
        <v>0</v>
      </c>
      <c r="AI343" s="40">
        <f>IFERROR(Tabla1[[#This Row],[COS.B+E]]*Tabla1[[#This Row],[D]]," ")</f>
        <v>0</v>
      </c>
      <c r="AJ343" s="40" t="str">
        <f>IFERROR(Tabla1[[#This Row],[F]]*#REF!," ")</f>
        <v xml:space="preserve"> </v>
      </c>
      <c r="AK343" s="40" t="str">
        <f>IFERROR(#REF!*Tabla1[[#This Row],[D]]," ")</f>
        <v xml:space="preserve"> </v>
      </c>
      <c r="AL343" s="103"/>
      <c r="AM343" s="103"/>
      <c r="AN343" s="103"/>
      <c r="AO343" s="38">
        <f>+Tabla1[[#This Row],[COS.B+E]]+Tabla1[[#This Row],[COS.F1]]+Tabla1[[#This Row],[COS.D1]]+Tabla1[[#This Row],[ALIMENTACION]]+Tabla1[[#This Row],[PRESTAMO]]+AN343</f>
        <v>87</v>
      </c>
      <c r="AP343" s="38" t="e">
        <f>+#REF!+Tabla1[[#This Row],[COS F2]]+Tabla1[[#This Row],[COS D2]]+Tabla1[[#This Row],[ALIMENTACION]]+Tabla1[[#This Row],[PRESTAMO]]+Tabla1[[#This Row],[PASAJES]]</f>
        <v>#REF!</v>
      </c>
    </row>
    <row r="344" spans="1:42" x14ac:dyDescent="0.25">
      <c r="A344" s="2" t="str">
        <f>TEXT(Tabla1[[#This Row],[FECHA ]],"DDDDD")</f>
        <v>miércoles</v>
      </c>
      <c r="B344" s="2" t="str">
        <f>_xlfn.IFNA(VLOOKUP(Tabla1[[#This Row],[DESTINO]],RUBRO!$Q$1:$R$9996,2,FALSE)," ")</f>
        <v>OBRA</v>
      </c>
      <c r="C344" s="104">
        <f>WEEKNUM(Tabla1[[#This Row],[FECHA ]],2)</f>
        <v>20</v>
      </c>
      <c r="D344" s="104" t="str">
        <f>TEXT(Tabla1[[#This Row],[FECHA ]],"MMM-YY")</f>
        <v>may-YY</v>
      </c>
      <c r="E344" s="104" t="str">
        <f>VLOOKUP(Tabla1[[#This Row],[DNI ]],RUBRO!$F$1:$O$9996,7,FALSE)</f>
        <v>5ta</v>
      </c>
      <c r="F344" s="104" t="str">
        <f>VLOOKUP(Tabla1[[#This Row],[DNI ]],RUBRO!$F$1:$O$88,3,FALSE)</f>
        <v>TEC-04</v>
      </c>
      <c r="G344" s="104" t="str">
        <f>VLOOKUP(Tabla1[[#This Row],[DNI ]],RUBRO!$F$1:$O$9996,5,FALSE)</f>
        <v>TECNICO MECANICO MONTAJISTA DE MAQUINARIA EXTRANJERA</v>
      </c>
      <c r="H344" s="66" t="str">
        <f>VLOOKUP(Tabla1[[#This Row],[DNI ]],RUBRO!$F$1:$O$9996,6,FALSE)</f>
        <v>VASQUEZ TARRILLO LUIS</v>
      </c>
      <c r="I344" s="94">
        <v>44328</v>
      </c>
      <c r="J344" s="10">
        <v>2</v>
      </c>
      <c r="K344" s="2">
        <v>44044783</v>
      </c>
      <c r="L344" s="4">
        <f>VLOOKUP(Tabla1[[#This Row],[DNI ]],RUBRO!$F$2:$O$9996,8,FALSE)</f>
        <v>70.92</v>
      </c>
      <c r="M344" s="88">
        <v>0.125</v>
      </c>
      <c r="N344" s="28">
        <v>0.54166666666666663</v>
      </c>
      <c r="O344" s="28">
        <v>0.58333333333333337</v>
      </c>
      <c r="P344" s="28">
        <v>0.99930555555555556</v>
      </c>
      <c r="Q344" s="31">
        <f>(Tabla1[[#This Row],[SALIDA]]-Tabla1[[#This Row],[FIN ]])+(Tabla1[[#This Row],[INICIO]]-Tabla1[[#This Row],[INGRESO]])</f>
        <v>0.83263888888888882</v>
      </c>
      <c r="R344" s="13">
        <f t="shared" si="16"/>
        <v>0.33333333333333331</v>
      </c>
      <c r="S344" s="31">
        <f t="shared" si="17"/>
        <v>0.4993055555555555</v>
      </c>
      <c r="T344" s="136"/>
      <c r="U344" s="136"/>
      <c r="V344" s="137">
        <f>(Tabla1[[#This Row],[COS.BASE 3]]*0.25+Tabla1[[#This Row],[COS.BASE 3]])*Tabla1[[#This Row],[HORAS 25 % ]]</f>
        <v>0</v>
      </c>
      <c r="W344" s="138">
        <f>(Tabla1[[#This Row],[COS.BASE 3]]*0.35+Tabla1[[#This Row],[COS.BASE 3]])*Tabla1[[#This Row],[HORAS 35% ]]</f>
        <v>0</v>
      </c>
      <c r="X344" s="138">
        <f>SUM(Tabla1[[#This Row],[C.HORA.35]],Tabla1[[#This Row],[C.HORA.25]])</f>
        <v>0</v>
      </c>
      <c r="Y344" s="4"/>
      <c r="Z344" s="10">
        <f>Tabla1[[#This Row],[T.HORAS]]*24</f>
        <v>19.983333333333331</v>
      </c>
      <c r="AA344" s="4">
        <f>Tabla1[[#This Row],[H.NORMALES]]*24</f>
        <v>8</v>
      </c>
      <c r="AB344" s="10">
        <f>Tabla1[[#This Row],[H.EXTRAS]]*24</f>
        <v>11.983333333333333</v>
      </c>
      <c r="AC344" s="105">
        <f t="shared" si="18"/>
        <v>70.92</v>
      </c>
      <c r="AD344" s="120">
        <f>Tabla1[[#This Row],[COS.BASE 2]]/8</f>
        <v>8.8650000000000002</v>
      </c>
      <c r="AE344" s="105">
        <f>Tabla1[[#This Row],[CST_H_E]]+Tabla1[[#This Row],[COS.BASE 2]]</f>
        <v>70.92</v>
      </c>
      <c r="AF344" s="106">
        <f>+_xlfn.IFNA(INDEX(RUBRO!$W$2:$AA$732,MATCH(Tabla1[[#This Row],[FECHA ]],RUBRO!$W$2:$W$732,0),5)," ")</f>
        <v>0</v>
      </c>
      <c r="AG344" s="10">
        <f>+_xlfn.IFNA(INDEX(RUBRO!$W$2:$AA$732,MATCH(Tabla1[[#This Row],[FECHA ]],RUBRO!$W$2:$W$732,0),2)," ")</f>
        <v>0</v>
      </c>
      <c r="AH344" s="40">
        <f>IFERROR(Tabla1[[#This Row],[F]]*Tabla1[[#This Row],[COS.B+E]]," ")</f>
        <v>0</v>
      </c>
      <c r="AI344" s="40">
        <f>IFERROR(Tabla1[[#This Row],[COS.B+E]]*Tabla1[[#This Row],[D]]," ")</f>
        <v>0</v>
      </c>
      <c r="AJ344" s="40" t="str">
        <f>IFERROR(Tabla1[[#This Row],[F]]*#REF!," ")</f>
        <v xml:space="preserve"> </v>
      </c>
      <c r="AK344" s="40" t="str">
        <f>IFERROR(#REF!*Tabla1[[#This Row],[D]]," ")</f>
        <v xml:space="preserve"> </v>
      </c>
      <c r="AL344" s="103"/>
      <c r="AM344" s="103"/>
      <c r="AN344" s="103"/>
      <c r="AO344" s="38">
        <f>+Tabla1[[#This Row],[COS.B+E]]+Tabla1[[#This Row],[COS.F1]]+Tabla1[[#This Row],[COS.D1]]+Tabla1[[#This Row],[ALIMENTACION]]+Tabla1[[#This Row],[PRESTAMO]]+AN344</f>
        <v>70.92</v>
      </c>
      <c r="AP344" s="38" t="e">
        <f>+#REF!+Tabla1[[#This Row],[COS F2]]+Tabla1[[#This Row],[COS D2]]+Tabla1[[#This Row],[ALIMENTACION]]+Tabla1[[#This Row],[PRESTAMO]]+Tabla1[[#This Row],[PASAJES]]</f>
        <v>#REF!</v>
      </c>
    </row>
    <row r="345" spans="1:42" x14ac:dyDescent="0.25">
      <c r="A345" s="2" t="str">
        <f>TEXT(Tabla1[[#This Row],[FECHA ]],"DDDDD")</f>
        <v>miércoles</v>
      </c>
      <c r="B345" s="2" t="str">
        <f>_xlfn.IFNA(VLOOKUP(Tabla1[[#This Row],[DESTINO]],RUBRO!$Q$1:$R$9996,2,FALSE)," ")</f>
        <v>OBRA</v>
      </c>
      <c r="C345" s="104">
        <f>WEEKNUM(Tabla1[[#This Row],[FECHA ]],2)</f>
        <v>20</v>
      </c>
      <c r="D345" s="104" t="str">
        <f>TEXT(Tabla1[[#This Row],[FECHA ]],"MMM-YY")</f>
        <v>may-YY</v>
      </c>
      <c r="E345" s="104" t="str">
        <f>VLOOKUP(Tabla1[[#This Row],[DNI ]],RUBRO!$F$1:$O$9996,7,FALSE)</f>
        <v>5ta</v>
      </c>
      <c r="F345" s="104" t="str">
        <f>VLOOKUP(Tabla1[[#This Row],[DNI ]],RUBRO!$F$1:$O$88,3,FALSE)</f>
        <v>MAEME-03</v>
      </c>
      <c r="G345" s="104" t="str">
        <f>VLOOKUP(Tabla1[[#This Row],[DNI ]],RUBRO!$F$1:$O$9996,5,FALSE)</f>
        <v>MAESTRO ELECTRICO MONTAJISTA DE MAQUINARIA EXTRANJERA</v>
      </c>
      <c r="H345" s="66" t="str">
        <f>VLOOKUP(Tabla1[[#This Row],[DNI ]],RUBRO!$F$1:$O$9996,6,FALSE)</f>
        <v xml:space="preserve">VELASQUEZ LIZA JOSE ROGELIO </v>
      </c>
      <c r="I345" s="94">
        <v>44328</v>
      </c>
      <c r="J345" s="10">
        <v>2</v>
      </c>
      <c r="K345" s="2">
        <v>44685832</v>
      </c>
      <c r="L345" s="4">
        <f>VLOOKUP(Tabla1[[#This Row],[DNI ]],RUBRO!$F$2:$O$9996,8,FALSE)</f>
        <v>88.47</v>
      </c>
      <c r="M345" s="88">
        <v>0.29166666666666669</v>
      </c>
      <c r="N345" s="28">
        <v>0.54166666666666663</v>
      </c>
      <c r="O345" s="28">
        <v>0.58333333333333337</v>
      </c>
      <c r="P345" s="28">
        <v>0.75</v>
      </c>
      <c r="Q345" s="31">
        <f>(Tabla1[[#This Row],[SALIDA]]-Tabla1[[#This Row],[FIN ]])+(Tabla1[[#This Row],[INICIO]]-Tabla1[[#This Row],[INGRESO]])</f>
        <v>0.41666666666666657</v>
      </c>
      <c r="R345" s="13">
        <f t="shared" si="16"/>
        <v>0.33333333333333331</v>
      </c>
      <c r="S345" s="31">
        <f t="shared" si="17"/>
        <v>8.3333333333333259E-2</v>
      </c>
      <c r="T345" s="136"/>
      <c r="U345" s="136"/>
      <c r="V345" s="137">
        <f>(Tabla1[[#This Row],[COS.BASE 3]]*0.25+Tabla1[[#This Row],[COS.BASE 3]])*Tabla1[[#This Row],[HORAS 25 % ]]</f>
        <v>0</v>
      </c>
      <c r="W345" s="138">
        <f>(Tabla1[[#This Row],[COS.BASE 3]]*0.35+Tabla1[[#This Row],[COS.BASE 3]])*Tabla1[[#This Row],[HORAS 35% ]]</f>
        <v>0</v>
      </c>
      <c r="X345" s="138">
        <f>SUM(Tabla1[[#This Row],[C.HORA.35]],Tabla1[[#This Row],[C.HORA.25]])</f>
        <v>0</v>
      </c>
      <c r="Y345" s="4"/>
      <c r="Z345" s="10">
        <f>Tabla1[[#This Row],[T.HORAS]]*24</f>
        <v>9.9999999999999982</v>
      </c>
      <c r="AA345" s="4">
        <f>Tabla1[[#This Row],[H.NORMALES]]*24</f>
        <v>8</v>
      </c>
      <c r="AB345" s="10">
        <f>Tabla1[[#This Row],[H.EXTRAS]]*24</f>
        <v>1.9999999999999982</v>
      </c>
      <c r="AC345" s="105">
        <f t="shared" si="18"/>
        <v>88.47</v>
      </c>
      <c r="AD345" s="120">
        <f>Tabla1[[#This Row],[COS.BASE 2]]/8</f>
        <v>11.05875</v>
      </c>
      <c r="AE345" s="105">
        <f>Tabla1[[#This Row],[CST_H_E]]+Tabla1[[#This Row],[COS.BASE 2]]</f>
        <v>88.47</v>
      </c>
      <c r="AF345" s="106">
        <f>+_xlfn.IFNA(INDEX(RUBRO!$W$2:$AA$732,MATCH(Tabla1[[#This Row],[FECHA ]],RUBRO!$W$2:$W$732,0),5)," ")</f>
        <v>0</v>
      </c>
      <c r="AG345" s="10">
        <f>+_xlfn.IFNA(INDEX(RUBRO!$W$2:$AA$732,MATCH(Tabla1[[#This Row],[FECHA ]],RUBRO!$W$2:$W$732,0),2)," ")</f>
        <v>0</v>
      </c>
      <c r="AH345" s="40">
        <f>IFERROR(Tabla1[[#This Row],[F]]*Tabla1[[#This Row],[COS.B+E]]," ")</f>
        <v>0</v>
      </c>
      <c r="AI345" s="40">
        <f>IFERROR(Tabla1[[#This Row],[COS.B+E]]*Tabla1[[#This Row],[D]]," ")</f>
        <v>0</v>
      </c>
      <c r="AJ345" s="40" t="str">
        <f>IFERROR(Tabla1[[#This Row],[F]]*#REF!," ")</f>
        <v xml:space="preserve"> </v>
      </c>
      <c r="AK345" s="40" t="str">
        <f>IFERROR(#REF!*Tabla1[[#This Row],[D]]," ")</f>
        <v xml:space="preserve"> </v>
      </c>
      <c r="AL345" s="103"/>
      <c r="AM345" s="103"/>
      <c r="AN345" s="103"/>
      <c r="AO345" s="38">
        <f>+Tabla1[[#This Row],[COS.B+E]]+Tabla1[[#This Row],[COS.F1]]+Tabla1[[#This Row],[COS.D1]]+Tabla1[[#This Row],[ALIMENTACION]]+Tabla1[[#This Row],[PRESTAMO]]+AN345</f>
        <v>88.47</v>
      </c>
      <c r="AP345" s="38" t="e">
        <f>+#REF!+Tabla1[[#This Row],[COS F2]]+Tabla1[[#This Row],[COS D2]]+Tabla1[[#This Row],[ALIMENTACION]]+Tabla1[[#This Row],[PRESTAMO]]+Tabla1[[#This Row],[PASAJES]]</f>
        <v>#REF!</v>
      </c>
    </row>
    <row r="346" spans="1:42" x14ac:dyDescent="0.25">
      <c r="A346" s="2" t="str">
        <f>TEXT(Tabla1[[#This Row],[FECHA ]],"DDDDD")</f>
        <v>miércoles</v>
      </c>
      <c r="B346" s="2" t="str">
        <f>_xlfn.IFNA(VLOOKUP(Tabla1[[#This Row],[DESTINO]],RUBRO!$Q$1:$R$9996,2,FALSE)," ")</f>
        <v>PLANTA</v>
      </c>
      <c r="C346" s="104">
        <f>WEEKNUM(Tabla1[[#This Row],[FECHA ]],2)</f>
        <v>20</v>
      </c>
      <c r="D346" s="104" t="str">
        <f>TEXT(Tabla1[[#This Row],[FECHA ]],"MMM-YY")</f>
        <v>may-YY</v>
      </c>
      <c r="E346" s="104" t="str">
        <f>VLOOKUP(Tabla1[[#This Row],[DNI ]],RUBRO!$F$1:$O$9996,7,FALSE)</f>
        <v>5ta</v>
      </c>
      <c r="F346" s="104" t="str">
        <f>VLOOKUP(Tabla1[[#This Row],[DNI ]],RUBRO!$F$1:$O$88,3,FALSE)</f>
        <v>TEC-05</v>
      </c>
      <c r="G346" s="104" t="str">
        <f>VLOOKUP(Tabla1[[#This Row],[DNI ]],RUBRO!$F$1:$O$9996,5,FALSE)</f>
        <v>TECNICO MECANICO MONTAJISTA DE NAVE INDUSTRIAL</v>
      </c>
      <c r="H346" s="66" t="str">
        <f>VLOOKUP(Tabla1[[#This Row],[DNI ]],RUBRO!$F$1:$O$9996,6,FALSE)</f>
        <v>VENTURA CUBAS ALEXANDER JOHAN</v>
      </c>
      <c r="I346" s="94">
        <v>44328</v>
      </c>
      <c r="J346" s="10">
        <v>1</v>
      </c>
      <c r="K346" s="2">
        <v>47749907</v>
      </c>
      <c r="L346" s="4">
        <f>VLOOKUP(Tabla1[[#This Row],[DNI ]],RUBRO!$F$2:$O$9996,8,FALSE)</f>
        <v>80</v>
      </c>
      <c r="M346" s="88">
        <v>0.29166666666666669</v>
      </c>
      <c r="N346" s="28">
        <v>0.54166666666666663</v>
      </c>
      <c r="O346" s="28">
        <v>0.58333333333333337</v>
      </c>
      <c r="P346" s="28">
        <v>0.70833333333333337</v>
      </c>
      <c r="Q346" s="31">
        <f>(Tabla1[[#This Row],[SALIDA]]-Tabla1[[#This Row],[FIN ]])+(Tabla1[[#This Row],[INICIO]]-Tabla1[[#This Row],[INGRESO]])</f>
        <v>0.37499999999999994</v>
      </c>
      <c r="R346" s="13">
        <f t="shared" si="16"/>
        <v>0.37499999999999994</v>
      </c>
      <c r="S346" s="31">
        <f t="shared" si="17"/>
        <v>0</v>
      </c>
      <c r="T346" s="136"/>
      <c r="U346" s="136"/>
      <c r="V346" s="137">
        <f>(Tabla1[[#This Row],[COS.BASE 3]]*0.25+Tabla1[[#This Row],[COS.BASE 3]])*Tabla1[[#This Row],[HORAS 25 % ]]</f>
        <v>0</v>
      </c>
      <c r="W346" s="138">
        <f>(Tabla1[[#This Row],[COS.BASE 3]]*0.35+Tabla1[[#This Row],[COS.BASE 3]])*Tabla1[[#This Row],[HORAS 35% ]]</f>
        <v>0</v>
      </c>
      <c r="X346" s="138">
        <f>SUM(Tabla1[[#This Row],[C.HORA.35]],Tabla1[[#This Row],[C.HORA.25]])</f>
        <v>0</v>
      </c>
      <c r="Y346" s="4"/>
      <c r="Z346" s="10">
        <f>Tabla1[[#This Row],[T.HORAS]]*24</f>
        <v>8.9999999999999982</v>
      </c>
      <c r="AA346" s="4">
        <f>Tabla1[[#This Row],[H.NORMALES]]*24</f>
        <v>8.9999999999999982</v>
      </c>
      <c r="AB346" s="10">
        <f>Tabla1[[#This Row],[H.EXTRAS]]*24</f>
        <v>0</v>
      </c>
      <c r="AC346" s="105">
        <f t="shared" si="18"/>
        <v>79.999999999999986</v>
      </c>
      <c r="AD346" s="120">
        <f>Tabla1[[#This Row],[COS.BASE 2]]/8</f>
        <v>9.9999999999999982</v>
      </c>
      <c r="AE346" s="105">
        <f>Tabla1[[#This Row],[CST_H_E]]+Tabla1[[#This Row],[COS.BASE 2]]</f>
        <v>79.999999999999986</v>
      </c>
      <c r="AF346" s="106">
        <f>+_xlfn.IFNA(INDEX(RUBRO!$W$2:$AA$732,MATCH(Tabla1[[#This Row],[FECHA ]],RUBRO!$W$2:$W$732,0),5)," ")</f>
        <v>0</v>
      </c>
      <c r="AG346" s="10">
        <f>+_xlfn.IFNA(INDEX(RUBRO!$W$2:$AA$732,MATCH(Tabla1[[#This Row],[FECHA ]],RUBRO!$W$2:$W$732,0),2)," ")</f>
        <v>0</v>
      </c>
      <c r="AH346" s="40">
        <f>IFERROR(Tabla1[[#This Row],[F]]*Tabla1[[#This Row],[COS.B+E]]," ")</f>
        <v>0</v>
      </c>
      <c r="AI346" s="40">
        <f>IFERROR(Tabla1[[#This Row],[COS.B+E]]*Tabla1[[#This Row],[D]]," ")</f>
        <v>0</v>
      </c>
      <c r="AJ346" s="40" t="str">
        <f>IFERROR(Tabla1[[#This Row],[F]]*#REF!," ")</f>
        <v xml:space="preserve"> </v>
      </c>
      <c r="AK346" s="40" t="str">
        <f>IFERROR(#REF!*Tabla1[[#This Row],[D]]," ")</f>
        <v xml:space="preserve"> </v>
      </c>
      <c r="AL346" s="103"/>
      <c r="AM346" s="103"/>
      <c r="AN346" s="103"/>
      <c r="AO346" s="38">
        <f>+Tabla1[[#This Row],[COS.B+E]]+Tabla1[[#This Row],[COS.F1]]+Tabla1[[#This Row],[COS.D1]]+Tabla1[[#This Row],[ALIMENTACION]]+Tabla1[[#This Row],[PRESTAMO]]+AN346</f>
        <v>79.999999999999986</v>
      </c>
      <c r="AP346" s="38" t="e">
        <f>+#REF!+Tabla1[[#This Row],[COS F2]]+Tabla1[[#This Row],[COS D2]]+Tabla1[[#This Row],[ALIMENTACION]]+Tabla1[[#This Row],[PRESTAMO]]+Tabla1[[#This Row],[PASAJES]]</f>
        <v>#REF!</v>
      </c>
    </row>
    <row r="347" spans="1:42" x14ac:dyDescent="0.25">
      <c r="A347" s="2" t="str">
        <f>TEXT(Tabla1[[#This Row],[FECHA ]],"DDDDD")</f>
        <v>miércoles</v>
      </c>
      <c r="B347" s="2" t="str">
        <f>_xlfn.IFNA(VLOOKUP(Tabla1[[#This Row],[DESTINO]],RUBRO!$Q$1:$R$9996,2,FALSE)," ")</f>
        <v>OBRA</v>
      </c>
      <c r="C347" s="104">
        <f>WEEKNUM(Tabla1[[#This Row],[FECHA ]],2)</f>
        <v>20</v>
      </c>
      <c r="D347" s="104" t="str">
        <f>TEXT(Tabla1[[#This Row],[FECHA ]],"MMM-YY")</f>
        <v>may-YY</v>
      </c>
      <c r="E347" s="104" t="str">
        <f>VLOOKUP(Tabla1[[#This Row],[DNI ]],RUBRO!$F$1:$O$9996,7,FALSE)</f>
        <v>5ta</v>
      </c>
      <c r="F347" s="104" t="str">
        <f>VLOOKUP(Tabla1[[#This Row],[DNI ]],RUBRO!$F$1:$O$88,3,FALSE)</f>
        <v>MAE-08</v>
      </c>
      <c r="G347" s="104" t="str">
        <f>VLOOKUP(Tabla1[[#This Row],[DNI ]],RUBRO!$F$1:$O$9996,5,FALSE)</f>
        <v>MAESTRO PINTOR</v>
      </c>
      <c r="H347" s="66" t="str">
        <f>VLOOKUP(Tabla1[[#This Row],[DNI ]],RUBRO!$F$1:$O$9996,6,FALSE)</f>
        <v>ZETA DELGADO DERWIS YENNER</v>
      </c>
      <c r="I347" s="94">
        <v>44328</v>
      </c>
      <c r="J347" s="10">
        <v>2</v>
      </c>
      <c r="K347" s="2">
        <v>46859101</v>
      </c>
      <c r="L347" s="4">
        <f>VLOOKUP(Tabla1[[#This Row],[DNI ]],RUBRO!$F$2:$O$9996,8,FALSE)</f>
        <v>70</v>
      </c>
      <c r="M347" s="88">
        <v>0.29166666666666669</v>
      </c>
      <c r="N347" s="28">
        <v>0.54166666666666663</v>
      </c>
      <c r="O347" s="28">
        <v>0.58333333333333337</v>
      </c>
      <c r="P347" s="28">
        <v>0.75</v>
      </c>
      <c r="Q347" s="31">
        <f>(Tabla1[[#This Row],[SALIDA]]-Tabla1[[#This Row],[FIN ]])+(Tabla1[[#This Row],[INICIO]]-Tabla1[[#This Row],[INGRESO]])</f>
        <v>0.41666666666666657</v>
      </c>
      <c r="R347" s="13">
        <f t="shared" si="16"/>
        <v>0.33333333333333331</v>
      </c>
      <c r="S347" s="31">
        <f t="shared" si="17"/>
        <v>8.3333333333333259E-2</v>
      </c>
      <c r="T347" s="136"/>
      <c r="U347" s="136"/>
      <c r="V347" s="137">
        <f>(Tabla1[[#This Row],[COS.BASE 3]]*0.25+Tabla1[[#This Row],[COS.BASE 3]])*Tabla1[[#This Row],[HORAS 25 % ]]</f>
        <v>0</v>
      </c>
      <c r="W347" s="138">
        <f>(Tabla1[[#This Row],[COS.BASE 3]]*0.35+Tabla1[[#This Row],[COS.BASE 3]])*Tabla1[[#This Row],[HORAS 35% ]]</f>
        <v>0</v>
      </c>
      <c r="X347" s="138">
        <f>SUM(Tabla1[[#This Row],[C.HORA.35]],Tabla1[[#This Row],[C.HORA.25]])</f>
        <v>0</v>
      </c>
      <c r="Y347" s="4"/>
      <c r="Z347" s="10">
        <f>Tabla1[[#This Row],[T.HORAS]]*24</f>
        <v>9.9999999999999982</v>
      </c>
      <c r="AA347" s="4">
        <f>Tabla1[[#This Row],[H.NORMALES]]*24</f>
        <v>8</v>
      </c>
      <c r="AB347" s="10">
        <f>Tabla1[[#This Row],[H.EXTRAS]]*24</f>
        <v>1.9999999999999982</v>
      </c>
      <c r="AC347" s="105">
        <f t="shared" si="18"/>
        <v>70</v>
      </c>
      <c r="AD347" s="120">
        <f>Tabla1[[#This Row],[COS.BASE 2]]/8</f>
        <v>8.75</v>
      </c>
      <c r="AE347" s="105">
        <f>Tabla1[[#This Row],[CST_H_E]]+Tabla1[[#This Row],[COS.BASE 2]]</f>
        <v>70</v>
      </c>
      <c r="AF347" s="106">
        <f>+_xlfn.IFNA(INDEX(RUBRO!$W$2:$AA$732,MATCH(Tabla1[[#This Row],[FECHA ]],RUBRO!$W$2:$W$732,0),5)," ")</f>
        <v>0</v>
      </c>
      <c r="AG347" s="10">
        <f>+_xlfn.IFNA(INDEX(RUBRO!$W$2:$AA$732,MATCH(Tabla1[[#This Row],[FECHA ]],RUBRO!$W$2:$W$732,0),2)," ")</f>
        <v>0</v>
      </c>
      <c r="AH347" s="40">
        <f>IFERROR(Tabla1[[#This Row],[F]]*Tabla1[[#This Row],[COS.B+E]]," ")</f>
        <v>0</v>
      </c>
      <c r="AI347" s="40">
        <f>IFERROR(Tabla1[[#This Row],[COS.B+E]]*Tabla1[[#This Row],[D]]," ")</f>
        <v>0</v>
      </c>
      <c r="AJ347" s="40" t="str">
        <f>IFERROR(Tabla1[[#This Row],[F]]*#REF!," ")</f>
        <v xml:space="preserve"> </v>
      </c>
      <c r="AK347" s="40" t="str">
        <f>IFERROR(#REF!*Tabla1[[#This Row],[D]]," ")</f>
        <v xml:space="preserve"> </v>
      </c>
      <c r="AL347" s="103"/>
      <c r="AM347" s="103"/>
      <c r="AN347" s="103"/>
      <c r="AO347" s="38">
        <f>+Tabla1[[#This Row],[COS.B+E]]+Tabla1[[#This Row],[COS.F1]]+Tabla1[[#This Row],[COS.D1]]+Tabla1[[#This Row],[ALIMENTACION]]+Tabla1[[#This Row],[PRESTAMO]]+AN347</f>
        <v>70</v>
      </c>
      <c r="AP347" s="38" t="e">
        <f>+#REF!+Tabla1[[#This Row],[COS F2]]+Tabla1[[#This Row],[COS D2]]+Tabla1[[#This Row],[ALIMENTACION]]+Tabla1[[#This Row],[PRESTAMO]]+Tabla1[[#This Row],[PASAJES]]</f>
        <v>#REF!</v>
      </c>
    </row>
    <row r="348" spans="1:42" x14ac:dyDescent="0.25">
      <c r="A348" s="2" t="str">
        <f>TEXT(Tabla1[[#This Row],[FECHA ]],"DDDDD")</f>
        <v>jueves</v>
      </c>
      <c r="B348" s="2" t="str">
        <f>_xlfn.IFNA(VLOOKUP(Tabla1[[#This Row],[DESTINO]],RUBRO!$Q$1:$R$9996,2,FALSE)," ")</f>
        <v>PLANTA</v>
      </c>
      <c r="C348" s="104">
        <f>WEEKNUM(Tabla1[[#This Row],[FECHA ]],2)</f>
        <v>20</v>
      </c>
      <c r="D348" s="104" t="str">
        <f>TEXT(Tabla1[[#This Row],[FECHA ]],"MMM-YY")</f>
        <v>may-YY</v>
      </c>
      <c r="E348" s="104" t="str">
        <f>VLOOKUP(Tabla1[[#This Row],[DNI ]],RUBRO!$F$1:$O$9996,7,FALSE)</f>
        <v>5ta</v>
      </c>
      <c r="F348" s="104" t="str">
        <f>VLOOKUP(Tabla1[[#This Row],[DNI ]],RUBRO!$F$1:$O$88,3,FALSE)</f>
        <v>TEC-02</v>
      </c>
      <c r="G348" s="104" t="str">
        <f>VLOOKUP(Tabla1[[#This Row],[DNI ]],RUBRO!$F$1:$O$9996,5,FALSE)</f>
        <v>TECNICO MECANICO MONTAJISTA DE MAQUINARIA</v>
      </c>
      <c r="H348" s="66" t="str">
        <f>VLOOKUP(Tabla1[[#This Row],[DNI ]],RUBRO!$F$1:$O$9996,6,FALSE)</f>
        <v>ALVAREZ ALVINES JUAN MANUEL</v>
      </c>
      <c r="I348" s="94">
        <v>44329</v>
      </c>
      <c r="J348" s="10">
        <v>1</v>
      </c>
      <c r="K348" s="2">
        <v>46108491</v>
      </c>
      <c r="L348" s="4">
        <f>VLOOKUP(Tabla1[[#This Row],[DNI ]],RUBRO!$F$2:$O$9996,8,FALSE)</f>
        <v>50</v>
      </c>
      <c r="M348" s="88">
        <v>0.29166666666666669</v>
      </c>
      <c r="N348" s="28">
        <v>0.54166666666666663</v>
      </c>
      <c r="O348" s="28">
        <v>0.58333333333333337</v>
      </c>
      <c r="P348" s="28">
        <v>0.75</v>
      </c>
      <c r="Q348" s="31">
        <f>(Tabla1[[#This Row],[SALIDA]]-Tabla1[[#This Row],[FIN ]])+(Tabla1[[#This Row],[INICIO]]-Tabla1[[#This Row],[INGRESO]])</f>
        <v>0.41666666666666657</v>
      </c>
      <c r="R348" s="13">
        <f t="shared" si="16"/>
        <v>0.375</v>
      </c>
      <c r="S348" s="31">
        <f t="shared" si="17"/>
        <v>4.1666666666666574E-2</v>
      </c>
      <c r="T348" s="136"/>
      <c r="U348" s="136"/>
      <c r="V348" s="137">
        <f>(Tabla1[[#This Row],[COS.BASE 3]]*0.25+Tabla1[[#This Row],[COS.BASE 3]])*Tabla1[[#This Row],[HORAS 25 % ]]</f>
        <v>0</v>
      </c>
      <c r="W348" s="138">
        <f>(Tabla1[[#This Row],[COS.BASE 3]]*0.35+Tabla1[[#This Row],[COS.BASE 3]])*Tabla1[[#This Row],[HORAS 35% ]]</f>
        <v>0</v>
      </c>
      <c r="X348" s="138">
        <f>SUM(Tabla1[[#This Row],[C.HORA.35]],Tabla1[[#This Row],[C.HORA.25]])</f>
        <v>0</v>
      </c>
      <c r="Y348" s="4"/>
      <c r="Z348" s="10">
        <f>Tabla1[[#This Row],[T.HORAS]]*24</f>
        <v>9.9999999999999982</v>
      </c>
      <c r="AA348" s="4">
        <f>Tabla1[[#This Row],[H.NORMALES]]*24</f>
        <v>9</v>
      </c>
      <c r="AB348" s="10">
        <f>Tabla1[[#This Row],[H.EXTRAS]]*24</f>
        <v>0.99999999999999778</v>
      </c>
      <c r="AC348" s="105">
        <f t="shared" si="18"/>
        <v>50</v>
      </c>
      <c r="AD348" s="120">
        <f>Tabla1[[#This Row],[COS.BASE 2]]/8</f>
        <v>6.25</v>
      </c>
      <c r="AE348" s="105">
        <f>Tabla1[[#This Row],[CST_H_E]]+Tabla1[[#This Row],[COS.BASE 2]]</f>
        <v>50</v>
      </c>
      <c r="AF348" s="106">
        <f>+_xlfn.IFNA(INDEX(RUBRO!$W$2:$AA$732,MATCH(Tabla1[[#This Row],[FECHA ]],RUBRO!$W$2:$W$732,0),5)," ")</f>
        <v>0</v>
      </c>
      <c r="AG348" s="10">
        <f>+_xlfn.IFNA(INDEX(RUBRO!$W$2:$AA$732,MATCH(Tabla1[[#This Row],[FECHA ]],RUBRO!$W$2:$W$732,0),2)," ")</f>
        <v>0</v>
      </c>
      <c r="AH348" s="40">
        <f>IFERROR(Tabla1[[#This Row],[F]]*Tabla1[[#This Row],[COS.B+E]]," ")</f>
        <v>0</v>
      </c>
      <c r="AI348" s="40">
        <f>IFERROR(Tabla1[[#This Row],[COS.B+E]]*Tabla1[[#This Row],[D]]," ")</f>
        <v>0</v>
      </c>
      <c r="AJ348" s="40" t="str">
        <f>IFERROR(Tabla1[[#This Row],[F]]*#REF!," ")</f>
        <v xml:space="preserve"> </v>
      </c>
      <c r="AK348" s="40" t="str">
        <f>IFERROR(#REF!*Tabla1[[#This Row],[D]]," ")</f>
        <v xml:space="preserve"> </v>
      </c>
      <c r="AL348" s="103"/>
      <c r="AM348" s="103"/>
      <c r="AN348" s="103"/>
      <c r="AO348" s="38">
        <f>+Tabla1[[#This Row],[COS.B+E]]+Tabla1[[#This Row],[COS.F1]]+Tabla1[[#This Row],[COS.D1]]+Tabla1[[#This Row],[ALIMENTACION]]+Tabla1[[#This Row],[PRESTAMO]]+AN348</f>
        <v>50</v>
      </c>
      <c r="AP348" s="38" t="e">
        <f>+#REF!+Tabla1[[#This Row],[COS F2]]+Tabla1[[#This Row],[COS D2]]+Tabla1[[#This Row],[ALIMENTACION]]+Tabla1[[#This Row],[PRESTAMO]]+Tabla1[[#This Row],[PASAJES]]</f>
        <v>#REF!</v>
      </c>
    </row>
    <row r="349" spans="1:42" x14ac:dyDescent="0.25">
      <c r="A349" s="2" t="str">
        <f>TEXT(Tabla1[[#This Row],[FECHA ]],"DDDDD")</f>
        <v>jueves</v>
      </c>
      <c r="B349" s="2" t="str">
        <f>_xlfn.IFNA(VLOOKUP(Tabla1[[#This Row],[DESTINO]],RUBRO!$Q$1:$R$9996,2,FALSE)," ")</f>
        <v>PLANTA</v>
      </c>
      <c r="C349" s="104">
        <f>WEEKNUM(Tabla1[[#This Row],[FECHA ]],2)</f>
        <v>20</v>
      </c>
      <c r="D349" s="104" t="str">
        <f>TEXT(Tabla1[[#This Row],[FECHA ]],"MMM-YY")</f>
        <v>may-YY</v>
      </c>
      <c r="E349" s="104" t="str">
        <f>VLOOKUP(Tabla1[[#This Row],[DNI ]],RUBRO!$F$1:$O$9996,7,FALSE)</f>
        <v>4ta</v>
      </c>
      <c r="F349" s="104" t="str">
        <f>VLOOKUP(Tabla1[[#This Row],[DNI ]],RUBRO!$F$1:$O$88,3,FALSE)</f>
        <v>OPE-03</v>
      </c>
      <c r="G349" s="104" t="str">
        <f>VLOOKUP(Tabla1[[#This Row],[DNI ]],RUBRO!$F$1:$O$9996,5,FALSE)</f>
        <v>OPERARIO ELECTRICO</v>
      </c>
      <c r="H349" s="66" t="str">
        <f>VLOOKUP(Tabla1[[#This Row],[DNI ]],RUBRO!$F$1:$O$9996,6,FALSE)</f>
        <v>AYALA RAMIREZ RUBEN ISAI</v>
      </c>
      <c r="I349" s="94">
        <v>44329</v>
      </c>
      <c r="J349" s="10">
        <v>1</v>
      </c>
      <c r="K349" s="2">
        <v>75557820</v>
      </c>
      <c r="L349" s="4">
        <f>VLOOKUP(Tabla1[[#This Row],[DNI ]],RUBRO!$F$2:$O$9996,8,FALSE)</f>
        <v>50</v>
      </c>
      <c r="M349" s="88">
        <v>0.29166666666666669</v>
      </c>
      <c r="N349" s="28">
        <v>0.54166666666666663</v>
      </c>
      <c r="O349" s="28">
        <v>0.58333333333333337</v>
      </c>
      <c r="P349" s="28">
        <v>0.75</v>
      </c>
      <c r="Q349" s="31">
        <f>(Tabla1[[#This Row],[SALIDA]]-Tabla1[[#This Row],[FIN ]])+(Tabla1[[#This Row],[INICIO]]-Tabla1[[#This Row],[INGRESO]])</f>
        <v>0.41666666666666657</v>
      </c>
      <c r="R349" s="13">
        <f t="shared" si="16"/>
        <v>0.375</v>
      </c>
      <c r="S349" s="31">
        <f t="shared" si="17"/>
        <v>4.1666666666666574E-2</v>
      </c>
      <c r="T349" s="136"/>
      <c r="U349" s="136"/>
      <c r="V349" s="137">
        <f>(Tabla1[[#This Row],[COS.BASE 3]]*0.25+Tabla1[[#This Row],[COS.BASE 3]])*Tabla1[[#This Row],[HORAS 25 % ]]</f>
        <v>0</v>
      </c>
      <c r="W349" s="138">
        <f>(Tabla1[[#This Row],[COS.BASE 3]]*0.35+Tabla1[[#This Row],[COS.BASE 3]])*Tabla1[[#This Row],[HORAS 35% ]]</f>
        <v>0</v>
      </c>
      <c r="X349" s="138">
        <f>SUM(Tabla1[[#This Row],[C.HORA.35]],Tabla1[[#This Row],[C.HORA.25]])</f>
        <v>0</v>
      </c>
      <c r="Y349" s="4"/>
      <c r="Z349" s="10">
        <f>Tabla1[[#This Row],[T.HORAS]]*24</f>
        <v>9.9999999999999982</v>
      </c>
      <c r="AA349" s="4">
        <f>Tabla1[[#This Row],[H.NORMALES]]*24</f>
        <v>9</v>
      </c>
      <c r="AB349" s="10">
        <f>Tabla1[[#This Row],[H.EXTRAS]]*24</f>
        <v>0.99999999999999778</v>
      </c>
      <c r="AC349" s="105">
        <f t="shared" si="18"/>
        <v>50</v>
      </c>
      <c r="AD349" s="120">
        <f>Tabla1[[#This Row],[COS.BASE 2]]/8</f>
        <v>6.25</v>
      </c>
      <c r="AE349" s="105">
        <f>Tabla1[[#This Row],[CST_H_E]]+Tabla1[[#This Row],[COS.BASE 2]]</f>
        <v>50</v>
      </c>
      <c r="AF349" s="106">
        <f>+_xlfn.IFNA(INDEX(RUBRO!$W$2:$AA$732,MATCH(Tabla1[[#This Row],[FECHA ]],RUBRO!$W$2:$W$732,0),5)," ")</f>
        <v>0</v>
      </c>
      <c r="AG349" s="10">
        <f>+_xlfn.IFNA(INDEX(RUBRO!$W$2:$AA$732,MATCH(Tabla1[[#This Row],[FECHA ]],RUBRO!$W$2:$W$732,0),2)," ")</f>
        <v>0</v>
      </c>
      <c r="AH349" s="40">
        <f>IFERROR(Tabla1[[#This Row],[F]]*Tabla1[[#This Row],[COS.B+E]]," ")</f>
        <v>0</v>
      </c>
      <c r="AI349" s="40">
        <f>IFERROR(Tabla1[[#This Row],[COS.B+E]]*Tabla1[[#This Row],[D]]," ")</f>
        <v>0</v>
      </c>
      <c r="AJ349" s="40" t="str">
        <f>IFERROR(Tabla1[[#This Row],[F]]*#REF!," ")</f>
        <v xml:space="preserve"> </v>
      </c>
      <c r="AK349" s="40" t="str">
        <f>IFERROR(#REF!*Tabla1[[#This Row],[D]]," ")</f>
        <v xml:space="preserve"> </v>
      </c>
      <c r="AL349" s="103"/>
      <c r="AM349" s="103"/>
      <c r="AN349" s="103"/>
      <c r="AO349" s="38">
        <f>+Tabla1[[#This Row],[COS.B+E]]+Tabla1[[#This Row],[COS.F1]]+Tabla1[[#This Row],[COS.D1]]+Tabla1[[#This Row],[ALIMENTACION]]+Tabla1[[#This Row],[PRESTAMO]]+AN349</f>
        <v>50</v>
      </c>
      <c r="AP349" s="38" t="e">
        <f>+#REF!+Tabla1[[#This Row],[COS F2]]+Tabla1[[#This Row],[COS D2]]+Tabla1[[#This Row],[ALIMENTACION]]+Tabla1[[#This Row],[PRESTAMO]]+Tabla1[[#This Row],[PASAJES]]</f>
        <v>#REF!</v>
      </c>
    </row>
    <row r="350" spans="1:42" x14ac:dyDescent="0.25">
      <c r="A350" s="2" t="str">
        <f>TEXT(Tabla1[[#This Row],[FECHA ]],"DDDDD")</f>
        <v>jueves</v>
      </c>
      <c r="B350" s="2" t="str">
        <f>_xlfn.IFNA(VLOOKUP(Tabla1[[#This Row],[DESTINO]],RUBRO!$Q$1:$R$9996,2,FALSE)," ")</f>
        <v>OBRA</v>
      </c>
      <c r="C350" s="104">
        <f>WEEKNUM(Tabla1[[#This Row],[FECHA ]],2)</f>
        <v>20</v>
      </c>
      <c r="D350" s="104" t="str">
        <f>TEXT(Tabla1[[#This Row],[FECHA ]],"MMM-YY")</f>
        <v>may-YY</v>
      </c>
      <c r="E350" s="104" t="str">
        <f>VLOOKUP(Tabla1[[#This Row],[DNI ]],RUBRO!$F$1:$O$9996,7,FALSE)</f>
        <v>5ta</v>
      </c>
      <c r="F350" s="104" t="str">
        <f>VLOOKUP(Tabla1[[#This Row],[DNI ]],RUBRO!$F$1:$O$88,3,FALSE)</f>
        <v>OPE-03</v>
      </c>
      <c r="G350" s="104" t="str">
        <f>VLOOKUP(Tabla1[[#This Row],[DNI ]],RUBRO!$F$1:$O$9996,5,FALSE)</f>
        <v>OPERARIO ELECTRICO</v>
      </c>
      <c r="H350" s="66" t="str">
        <f>VLOOKUP(Tabla1[[#This Row],[DNI ]],RUBRO!$F$1:$O$9996,6,FALSE)</f>
        <v>BARRAGAN SALAZAR JHONATAN PEDRO</v>
      </c>
      <c r="I350" s="94">
        <v>44329</v>
      </c>
      <c r="J350" s="10">
        <v>2</v>
      </c>
      <c r="K350" s="2">
        <v>46801821</v>
      </c>
      <c r="L350" s="4">
        <f>VLOOKUP(Tabla1[[#This Row],[DNI ]],RUBRO!$F$2:$O$9996,8,FALSE)</f>
        <v>43.5</v>
      </c>
      <c r="M350" s="88">
        <v>0.29166666666666669</v>
      </c>
      <c r="N350" s="28">
        <v>0.54166666666666663</v>
      </c>
      <c r="O350" s="28">
        <v>0.58333333333333337</v>
      </c>
      <c r="P350" s="28">
        <v>0.79166666666666663</v>
      </c>
      <c r="Q350" s="31">
        <f>(Tabla1[[#This Row],[SALIDA]]-Tabla1[[#This Row],[FIN ]])+(Tabla1[[#This Row],[INICIO]]-Tabla1[[#This Row],[INGRESO]])</f>
        <v>0.4583333333333332</v>
      </c>
      <c r="R350" s="13">
        <f t="shared" si="16"/>
        <v>0.33333333333333331</v>
      </c>
      <c r="S350" s="31">
        <f t="shared" si="17"/>
        <v>0.12499999999999989</v>
      </c>
      <c r="T350" s="136"/>
      <c r="U350" s="136"/>
      <c r="V350" s="137">
        <f>(Tabla1[[#This Row],[COS.BASE 3]]*0.25+Tabla1[[#This Row],[COS.BASE 3]])*Tabla1[[#This Row],[HORAS 25 % ]]</f>
        <v>0</v>
      </c>
      <c r="W350" s="138">
        <f>(Tabla1[[#This Row],[COS.BASE 3]]*0.35+Tabla1[[#This Row],[COS.BASE 3]])*Tabla1[[#This Row],[HORAS 35% ]]</f>
        <v>0</v>
      </c>
      <c r="X350" s="138">
        <f>SUM(Tabla1[[#This Row],[C.HORA.35]],Tabla1[[#This Row],[C.HORA.25]])</f>
        <v>0</v>
      </c>
      <c r="Y350" s="4"/>
      <c r="Z350" s="10">
        <f>Tabla1[[#This Row],[T.HORAS]]*24</f>
        <v>10.999999999999996</v>
      </c>
      <c r="AA350" s="4">
        <f>Tabla1[[#This Row],[H.NORMALES]]*24</f>
        <v>8</v>
      </c>
      <c r="AB350" s="10">
        <f>Tabla1[[#This Row],[H.EXTRAS]]*24</f>
        <v>2.9999999999999973</v>
      </c>
      <c r="AC350" s="105">
        <f t="shared" si="18"/>
        <v>43.5</v>
      </c>
      <c r="AD350" s="120">
        <f>Tabla1[[#This Row],[COS.BASE 2]]/8</f>
        <v>5.4375</v>
      </c>
      <c r="AE350" s="105">
        <f>Tabla1[[#This Row],[CST_H_E]]+Tabla1[[#This Row],[COS.BASE 2]]</f>
        <v>43.5</v>
      </c>
      <c r="AF350" s="106">
        <f>+_xlfn.IFNA(INDEX(RUBRO!$W$2:$AA$732,MATCH(Tabla1[[#This Row],[FECHA ]],RUBRO!$W$2:$W$732,0),5)," ")</f>
        <v>0</v>
      </c>
      <c r="AG350" s="10">
        <f>+_xlfn.IFNA(INDEX(RUBRO!$W$2:$AA$732,MATCH(Tabla1[[#This Row],[FECHA ]],RUBRO!$W$2:$W$732,0),2)," ")</f>
        <v>0</v>
      </c>
      <c r="AH350" s="40">
        <f>IFERROR(Tabla1[[#This Row],[F]]*Tabla1[[#This Row],[COS.B+E]]," ")</f>
        <v>0</v>
      </c>
      <c r="AI350" s="40">
        <f>IFERROR(Tabla1[[#This Row],[COS.B+E]]*Tabla1[[#This Row],[D]]," ")</f>
        <v>0</v>
      </c>
      <c r="AJ350" s="40" t="str">
        <f>IFERROR(Tabla1[[#This Row],[F]]*#REF!," ")</f>
        <v xml:space="preserve"> </v>
      </c>
      <c r="AK350" s="40" t="str">
        <f>IFERROR(#REF!*Tabla1[[#This Row],[D]]," ")</f>
        <v xml:space="preserve"> </v>
      </c>
      <c r="AL350" s="103"/>
      <c r="AM350" s="103"/>
      <c r="AN350" s="103"/>
      <c r="AO350" s="38">
        <f>+Tabla1[[#This Row],[COS.B+E]]+Tabla1[[#This Row],[COS.F1]]+Tabla1[[#This Row],[COS.D1]]+Tabla1[[#This Row],[ALIMENTACION]]+Tabla1[[#This Row],[PRESTAMO]]+AN350</f>
        <v>43.5</v>
      </c>
      <c r="AP350" s="38" t="e">
        <f>+#REF!+Tabla1[[#This Row],[COS F2]]+Tabla1[[#This Row],[COS D2]]+Tabla1[[#This Row],[ALIMENTACION]]+Tabla1[[#This Row],[PRESTAMO]]+Tabla1[[#This Row],[PASAJES]]</f>
        <v>#REF!</v>
      </c>
    </row>
    <row r="351" spans="1:42" x14ac:dyDescent="0.25">
      <c r="A351" s="2" t="str">
        <f>TEXT(Tabla1[[#This Row],[FECHA ]],"DDDDD")</f>
        <v>jueves</v>
      </c>
      <c r="B351" s="2" t="str">
        <f>_xlfn.IFNA(VLOOKUP(Tabla1[[#This Row],[DESTINO]],RUBRO!$Q$1:$R$9996,2,FALSE)," ")</f>
        <v>PLANTA</v>
      </c>
      <c r="C351" s="104">
        <f>WEEKNUM(Tabla1[[#This Row],[FECHA ]],2)</f>
        <v>20</v>
      </c>
      <c r="D351" s="104" t="str">
        <f>TEXT(Tabla1[[#This Row],[FECHA ]],"MMM-YY")</f>
        <v>may-YY</v>
      </c>
      <c r="E351" s="104" t="str">
        <f>VLOOKUP(Tabla1[[#This Row],[DNI ]],RUBRO!$F$1:$O$9996,7,FALSE)</f>
        <v>5ta</v>
      </c>
      <c r="F351" s="104" t="str">
        <f>VLOOKUP(Tabla1[[#This Row],[DNI ]],RUBRO!$F$1:$O$88,3,FALSE)</f>
        <v>OPE-01</v>
      </c>
      <c r="G351" s="104" t="str">
        <f>VLOOKUP(Tabla1[[#This Row],[DNI ]],RUBRO!$F$1:$O$9996,5,FALSE)</f>
        <v>OPERARIO SOLDADOR</v>
      </c>
      <c r="H351" s="66" t="str">
        <f>VLOOKUP(Tabla1[[#This Row],[DNI ]],RUBRO!$F$1:$O$9996,6,FALSE)</f>
        <v>BENDEZU PISCO JORGE GUILLERMO</v>
      </c>
      <c r="I351" s="94">
        <v>44329</v>
      </c>
      <c r="J351" s="10">
        <v>1</v>
      </c>
      <c r="K351" s="2">
        <v>10664396</v>
      </c>
      <c r="L351" s="4">
        <f>VLOOKUP(Tabla1[[#This Row],[DNI ]],RUBRO!$F$2:$O$9996,8,FALSE)</f>
        <v>60</v>
      </c>
      <c r="M351" s="88">
        <v>0.29166666666666669</v>
      </c>
      <c r="N351" s="28"/>
      <c r="P351" s="28">
        <v>0.58333333333333337</v>
      </c>
      <c r="Q351" s="31">
        <f>(Tabla1[[#This Row],[SALIDA]]-Tabla1[[#This Row],[FIN ]])+(Tabla1[[#This Row],[INICIO]]-Tabla1[[#This Row],[INGRESO]])</f>
        <v>0.29166666666666669</v>
      </c>
      <c r="R351" s="13">
        <f t="shared" si="16"/>
        <v>0.29166666666666669</v>
      </c>
      <c r="S351" s="31">
        <f t="shared" si="17"/>
        <v>0</v>
      </c>
      <c r="T351" s="136"/>
      <c r="U351" s="136"/>
      <c r="V351" s="137">
        <f>(Tabla1[[#This Row],[COS.BASE 3]]*0.25+Tabla1[[#This Row],[COS.BASE 3]])*Tabla1[[#This Row],[HORAS 25 % ]]</f>
        <v>0</v>
      </c>
      <c r="W351" s="138">
        <f>(Tabla1[[#This Row],[COS.BASE 3]]*0.35+Tabla1[[#This Row],[COS.BASE 3]])*Tabla1[[#This Row],[HORAS 35% ]]</f>
        <v>0</v>
      </c>
      <c r="X351" s="138">
        <f>SUM(Tabla1[[#This Row],[C.HORA.35]],Tabla1[[#This Row],[C.HORA.25]])</f>
        <v>0</v>
      </c>
      <c r="Y351" s="4"/>
      <c r="Z351" s="10">
        <f>Tabla1[[#This Row],[T.HORAS]]*24</f>
        <v>7</v>
      </c>
      <c r="AA351" s="4">
        <f>Tabla1[[#This Row],[H.NORMALES]]*24</f>
        <v>7</v>
      </c>
      <c r="AB351" s="10">
        <f>Tabla1[[#This Row],[H.EXTRAS]]*24</f>
        <v>0</v>
      </c>
      <c r="AC351" s="105">
        <f t="shared" si="18"/>
        <v>46.666666666666671</v>
      </c>
      <c r="AD351" s="120">
        <f>Tabla1[[#This Row],[COS.BASE 2]]/8</f>
        <v>5.8333333333333339</v>
      </c>
      <c r="AE351" s="105">
        <f>Tabla1[[#This Row],[CST_H_E]]+Tabla1[[#This Row],[COS.BASE 2]]</f>
        <v>46.666666666666671</v>
      </c>
      <c r="AF351" s="106">
        <f>+_xlfn.IFNA(INDEX(RUBRO!$W$2:$AA$732,MATCH(Tabla1[[#This Row],[FECHA ]],RUBRO!$W$2:$W$732,0),5)," ")</f>
        <v>0</v>
      </c>
      <c r="AG351" s="10">
        <f>+_xlfn.IFNA(INDEX(RUBRO!$W$2:$AA$732,MATCH(Tabla1[[#This Row],[FECHA ]],RUBRO!$W$2:$W$732,0),2)," ")</f>
        <v>0</v>
      </c>
      <c r="AH351" s="40">
        <f>IFERROR(Tabla1[[#This Row],[F]]*Tabla1[[#This Row],[COS.B+E]]," ")</f>
        <v>0</v>
      </c>
      <c r="AI351" s="40">
        <f>IFERROR(Tabla1[[#This Row],[COS.B+E]]*Tabla1[[#This Row],[D]]," ")</f>
        <v>0</v>
      </c>
      <c r="AJ351" s="40" t="str">
        <f>IFERROR(Tabla1[[#This Row],[F]]*#REF!," ")</f>
        <v xml:space="preserve"> </v>
      </c>
      <c r="AK351" s="40" t="str">
        <f>IFERROR(#REF!*Tabla1[[#This Row],[D]]," ")</f>
        <v xml:space="preserve"> </v>
      </c>
      <c r="AL351" s="103"/>
      <c r="AM351" s="103"/>
      <c r="AN351" s="103"/>
      <c r="AO351" s="38">
        <f>+Tabla1[[#This Row],[COS.B+E]]+Tabla1[[#This Row],[COS.F1]]+Tabla1[[#This Row],[COS.D1]]+Tabla1[[#This Row],[ALIMENTACION]]+Tabla1[[#This Row],[PRESTAMO]]+AN351</f>
        <v>46.666666666666671</v>
      </c>
      <c r="AP351" s="38" t="e">
        <f>+#REF!+Tabla1[[#This Row],[COS F2]]+Tabla1[[#This Row],[COS D2]]+Tabla1[[#This Row],[ALIMENTACION]]+Tabla1[[#This Row],[PRESTAMO]]+Tabla1[[#This Row],[PASAJES]]</f>
        <v>#REF!</v>
      </c>
    </row>
    <row r="352" spans="1:42" x14ac:dyDescent="0.25">
      <c r="A352" s="2" t="str">
        <f>TEXT(Tabla1[[#This Row],[FECHA ]],"DDDDD")</f>
        <v>jueves</v>
      </c>
      <c r="B352" s="2" t="str">
        <f>_xlfn.IFNA(VLOOKUP(Tabla1[[#This Row],[DESTINO]],RUBRO!$Q$1:$R$9996,2,FALSE)," ")</f>
        <v>PLANTA</v>
      </c>
      <c r="C352" s="104">
        <f>WEEKNUM(Tabla1[[#This Row],[FECHA ]],2)</f>
        <v>20</v>
      </c>
      <c r="D352" s="104" t="str">
        <f>TEXT(Tabla1[[#This Row],[FECHA ]],"MMM-YY")</f>
        <v>may-YY</v>
      </c>
      <c r="E352" s="104" t="str">
        <f>VLOOKUP(Tabla1[[#This Row],[DNI ]],RUBRO!$F$1:$O$9996,7,FALSE)</f>
        <v>4ta</v>
      </c>
      <c r="F352" s="104" t="str">
        <f>VLOOKUP(Tabla1[[#This Row],[DNI ]],RUBRO!$F$1:$O$88,3,FALSE)</f>
        <v>OPE-01</v>
      </c>
      <c r="G352" s="104" t="str">
        <f>VLOOKUP(Tabla1[[#This Row],[DNI ]],RUBRO!$F$1:$O$9996,5,FALSE)</f>
        <v>OPERARIO SOLDADOR</v>
      </c>
      <c r="H352" s="66" t="str">
        <f>VLOOKUP(Tabla1[[#This Row],[DNI ]],RUBRO!$F$1:$O$9996,6,FALSE)</f>
        <v>BONILLA CHAVEZ LUIS DANIEL</v>
      </c>
      <c r="I352" s="94">
        <v>44329</v>
      </c>
      <c r="J352" s="10">
        <v>1</v>
      </c>
      <c r="K352" s="2">
        <v>71995358</v>
      </c>
      <c r="L352" s="4">
        <f>VLOOKUP(Tabla1[[#This Row],[DNI ]],RUBRO!$F$2:$O$9996,8,FALSE)</f>
        <v>45</v>
      </c>
      <c r="M352" s="88">
        <v>0.33333333333333331</v>
      </c>
      <c r="N352" s="28">
        <v>0.54166666666666663</v>
      </c>
      <c r="O352" s="28">
        <v>0.58333333333333337</v>
      </c>
      <c r="P352" s="28">
        <v>0.70833333333333337</v>
      </c>
      <c r="Q352" s="31">
        <f>(Tabla1[[#This Row],[SALIDA]]-Tabla1[[#This Row],[FIN ]])+(Tabla1[[#This Row],[INICIO]]-Tabla1[[#This Row],[INGRESO]])</f>
        <v>0.33333333333333331</v>
      </c>
      <c r="R352" s="13">
        <f t="shared" si="16"/>
        <v>0.33333333333333331</v>
      </c>
      <c r="S352" s="31">
        <f t="shared" si="17"/>
        <v>0</v>
      </c>
      <c r="T352" s="136"/>
      <c r="U352" s="136"/>
      <c r="V352" s="137">
        <f>(Tabla1[[#This Row],[COS.BASE 3]]*0.25+Tabla1[[#This Row],[COS.BASE 3]])*Tabla1[[#This Row],[HORAS 25 % ]]</f>
        <v>0</v>
      </c>
      <c r="W352" s="138">
        <f>(Tabla1[[#This Row],[COS.BASE 3]]*0.35+Tabla1[[#This Row],[COS.BASE 3]])*Tabla1[[#This Row],[HORAS 35% ]]</f>
        <v>0</v>
      </c>
      <c r="X352" s="138">
        <f>SUM(Tabla1[[#This Row],[C.HORA.35]],Tabla1[[#This Row],[C.HORA.25]])</f>
        <v>0</v>
      </c>
      <c r="Y352" s="4"/>
      <c r="Z352" s="10">
        <f>Tabla1[[#This Row],[T.HORAS]]*24</f>
        <v>8</v>
      </c>
      <c r="AA352" s="4">
        <f>Tabla1[[#This Row],[H.NORMALES]]*24</f>
        <v>8</v>
      </c>
      <c r="AB352" s="10">
        <f>Tabla1[[#This Row],[H.EXTRAS]]*24</f>
        <v>0</v>
      </c>
      <c r="AC352" s="105">
        <f t="shared" si="18"/>
        <v>40</v>
      </c>
      <c r="AD352" s="120">
        <f>Tabla1[[#This Row],[COS.BASE 2]]/8</f>
        <v>5</v>
      </c>
      <c r="AE352" s="105">
        <f>Tabla1[[#This Row],[CST_H_E]]+Tabla1[[#This Row],[COS.BASE 2]]</f>
        <v>40</v>
      </c>
      <c r="AF352" s="106">
        <f>+_xlfn.IFNA(INDEX(RUBRO!$W$2:$AA$732,MATCH(Tabla1[[#This Row],[FECHA ]],RUBRO!$W$2:$W$732,0),5)," ")</f>
        <v>0</v>
      </c>
      <c r="AG352" s="10">
        <f>+_xlfn.IFNA(INDEX(RUBRO!$W$2:$AA$732,MATCH(Tabla1[[#This Row],[FECHA ]],RUBRO!$W$2:$W$732,0),2)," ")</f>
        <v>0</v>
      </c>
      <c r="AH352" s="40">
        <f>IFERROR(Tabla1[[#This Row],[F]]*Tabla1[[#This Row],[COS.B+E]]," ")</f>
        <v>0</v>
      </c>
      <c r="AI352" s="40">
        <f>IFERROR(Tabla1[[#This Row],[COS.B+E]]*Tabla1[[#This Row],[D]]," ")</f>
        <v>0</v>
      </c>
      <c r="AJ352" s="40" t="str">
        <f>IFERROR(Tabla1[[#This Row],[F]]*#REF!," ")</f>
        <v xml:space="preserve"> </v>
      </c>
      <c r="AK352" s="40" t="str">
        <f>IFERROR(#REF!*Tabla1[[#This Row],[D]]," ")</f>
        <v xml:space="preserve"> </v>
      </c>
      <c r="AL352" s="103"/>
      <c r="AM352" s="103"/>
      <c r="AN352" s="103"/>
      <c r="AO352" s="38">
        <f>+Tabla1[[#This Row],[COS.B+E]]+Tabla1[[#This Row],[COS.F1]]+Tabla1[[#This Row],[COS.D1]]+Tabla1[[#This Row],[ALIMENTACION]]+Tabla1[[#This Row],[PRESTAMO]]+AN352</f>
        <v>40</v>
      </c>
      <c r="AP352" s="38" t="e">
        <f>+#REF!+Tabla1[[#This Row],[COS F2]]+Tabla1[[#This Row],[COS D2]]+Tabla1[[#This Row],[ALIMENTACION]]+Tabla1[[#This Row],[PRESTAMO]]+Tabla1[[#This Row],[PASAJES]]</f>
        <v>#REF!</v>
      </c>
    </row>
    <row r="353" spans="1:44" x14ac:dyDescent="0.25">
      <c r="A353" s="2" t="str">
        <f>TEXT(Tabla1[[#This Row],[FECHA ]],"DDDDD")</f>
        <v>jueves</v>
      </c>
      <c r="B353" s="2" t="str">
        <f>_xlfn.IFNA(VLOOKUP(Tabla1[[#This Row],[DESTINO]],RUBRO!$Q$1:$R$9996,2,FALSE)," ")</f>
        <v>OBRA</v>
      </c>
      <c r="C353" s="104">
        <f>WEEKNUM(Tabla1[[#This Row],[FECHA ]],2)</f>
        <v>20</v>
      </c>
      <c r="D353" s="104" t="str">
        <f>TEXT(Tabla1[[#This Row],[FECHA ]],"MMM-YY")</f>
        <v>may-YY</v>
      </c>
      <c r="E353" s="104" t="str">
        <f>VLOOKUP(Tabla1[[#This Row],[DNI ]],RUBRO!$F$1:$O$9996,7,FALSE)</f>
        <v>5ta</v>
      </c>
      <c r="F353" s="104" t="str">
        <f>VLOOKUP(Tabla1[[#This Row],[DNI ]],RUBRO!$F$1:$O$88,3,FALSE)</f>
        <v>MEC-04</v>
      </c>
      <c r="G353" s="104" t="str">
        <f>VLOOKUP(Tabla1[[#This Row],[DNI ]],RUBRO!$F$1:$O$9996,5,FALSE)</f>
        <v>MECANICO MONTAJISTA DE MAQUINARIA EXTRANJERA</v>
      </c>
      <c r="H353" s="66" t="str">
        <f>VLOOKUP(Tabla1[[#This Row],[DNI ]],RUBRO!$F$1:$O$9996,6,FALSE)</f>
        <v>BUSTAMANTE GONZALES CARLOS</v>
      </c>
      <c r="I353" s="94">
        <v>44329</v>
      </c>
      <c r="J353" s="10">
        <v>2</v>
      </c>
      <c r="K353" s="2">
        <v>27291529</v>
      </c>
      <c r="L353" s="4">
        <f>VLOOKUP(Tabla1[[#This Row],[DNI ]],RUBRO!$F$2:$O$9996,8,FALSE)</f>
        <v>72.540000000000006</v>
      </c>
      <c r="M353" s="88">
        <v>0.29166666666666669</v>
      </c>
      <c r="N353" s="28">
        <v>0.54166666666666663</v>
      </c>
      <c r="O353" s="28">
        <v>0.58333333333333337</v>
      </c>
      <c r="P353" s="28">
        <v>0.79166666666666663</v>
      </c>
      <c r="Q353" s="31">
        <f>(Tabla1[[#This Row],[SALIDA]]-Tabla1[[#This Row],[FIN ]])+(Tabla1[[#This Row],[INICIO]]-Tabla1[[#This Row],[INGRESO]])</f>
        <v>0.4583333333333332</v>
      </c>
      <c r="R353" s="13">
        <f t="shared" si="16"/>
        <v>0.33333333333333331</v>
      </c>
      <c r="S353" s="31">
        <f t="shared" si="17"/>
        <v>0.12499999999999989</v>
      </c>
      <c r="T353" s="136"/>
      <c r="U353" s="136"/>
      <c r="V353" s="137">
        <f>(Tabla1[[#This Row],[COS.BASE 3]]*0.25+Tabla1[[#This Row],[COS.BASE 3]])*Tabla1[[#This Row],[HORAS 25 % ]]</f>
        <v>0</v>
      </c>
      <c r="W353" s="138">
        <f>(Tabla1[[#This Row],[COS.BASE 3]]*0.35+Tabla1[[#This Row],[COS.BASE 3]])*Tabla1[[#This Row],[HORAS 35% ]]</f>
        <v>0</v>
      </c>
      <c r="X353" s="138">
        <f>SUM(Tabla1[[#This Row],[C.HORA.35]],Tabla1[[#This Row],[C.HORA.25]])</f>
        <v>0</v>
      </c>
      <c r="Y353" s="4"/>
      <c r="Z353" s="10">
        <f>Tabla1[[#This Row],[T.HORAS]]*24</f>
        <v>10.999999999999996</v>
      </c>
      <c r="AA353" s="4">
        <f>Tabla1[[#This Row],[H.NORMALES]]*24</f>
        <v>8</v>
      </c>
      <c r="AB353" s="10">
        <f>Tabla1[[#This Row],[H.EXTRAS]]*24</f>
        <v>2.9999999999999973</v>
      </c>
      <c r="AC353" s="105">
        <f t="shared" si="18"/>
        <v>72.540000000000006</v>
      </c>
      <c r="AD353" s="120">
        <f>Tabla1[[#This Row],[COS.BASE 2]]/8</f>
        <v>9.0675000000000008</v>
      </c>
      <c r="AE353" s="105">
        <f>Tabla1[[#This Row],[CST_H_E]]+Tabla1[[#This Row],[COS.BASE 2]]</f>
        <v>72.540000000000006</v>
      </c>
      <c r="AF353" s="106">
        <f>+_xlfn.IFNA(INDEX(RUBRO!$W$2:$AA$732,MATCH(Tabla1[[#This Row],[FECHA ]],RUBRO!$W$2:$W$732,0),5)," ")</f>
        <v>0</v>
      </c>
      <c r="AG353" s="10">
        <f>+_xlfn.IFNA(INDEX(RUBRO!$W$2:$AA$732,MATCH(Tabla1[[#This Row],[FECHA ]],RUBRO!$W$2:$W$732,0),2)," ")</f>
        <v>0</v>
      </c>
      <c r="AH353" s="40">
        <f>IFERROR(Tabla1[[#This Row],[F]]*Tabla1[[#This Row],[COS.B+E]]," ")</f>
        <v>0</v>
      </c>
      <c r="AI353" s="40">
        <f>IFERROR(Tabla1[[#This Row],[COS.B+E]]*Tabla1[[#This Row],[D]]," ")</f>
        <v>0</v>
      </c>
      <c r="AJ353" s="40" t="str">
        <f>IFERROR(Tabla1[[#This Row],[F]]*#REF!," ")</f>
        <v xml:space="preserve"> </v>
      </c>
      <c r="AK353" s="40" t="str">
        <f>IFERROR(#REF!*Tabla1[[#This Row],[D]]," ")</f>
        <v xml:space="preserve"> </v>
      </c>
      <c r="AL353" s="103"/>
      <c r="AM353" s="103"/>
      <c r="AN353" s="103"/>
      <c r="AO353" s="38">
        <f>+Tabla1[[#This Row],[COS.B+E]]+Tabla1[[#This Row],[COS.F1]]+Tabla1[[#This Row],[COS.D1]]+Tabla1[[#This Row],[ALIMENTACION]]+Tabla1[[#This Row],[PRESTAMO]]+AN353</f>
        <v>72.540000000000006</v>
      </c>
      <c r="AP353" s="38" t="e">
        <f>+#REF!+Tabla1[[#This Row],[COS F2]]+Tabla1[[#This Row],[COS D2]]+Tabla1[[#This Row],[ALIMENTACION]]+Tabla1[[#This Row],[PRESTAMO]]+Tabla1[[#This Row],[PASAJES]]</f>
        <v>#REF!</v>
      </c>
    </row>
    <row r="354" spans="1:44" x14ac:dyDescent="0.25">
      <c r="A354" s="2" t="str">
        <f>TEXT(Tabla1[[#This Row],[FECHA ]],"DDDDD")</f>
        <v>jueves</v>
      </c>
      <c r="B354" s="2" t="str">
        <f>_xlfn.IFNA(VLOOKUP(Tabla1[[#This Row],[DESTINO]],RUBRO!$Q$1:$R$9996,2,FALSE)," ")</f>
        <v>PLANTA</v>
      </c>
      <c r="C354" s="104">
        <f>WEEKNUM(Tabla1[[#This Row],[FECHA ]],2)</f>
        <v>20</v>
      </c>
      <c r="D354" s="104" t="str">
        <f>TEXT(Tabla1[[#This Row],[FECHA ]],"MMM-YY")</f>
        <v>may-YY</v>
      </c>
      <c r="E354" s="104" t="str">
        <f>VLOOKUP(Tabla1[[#This Row],[DNI ]],RUBRO!$F$1:$O$9996,7,FALSE)</f>
        <v>5ta</v>
      </c>
      <c r="F354" s="104" t="str">
        <f>VLOOKUP(Tabla1[[#This Row],[DNI ]],RUBRO!$F$1:$O$88,3,FALSE)</f>
        <v>TECMN-03</v>
      </c>
      <c r="G354" s="104" t="str">
        <f>VLOOKUP(Tabla1[[#This Row],[DNI ]],RUBRO!$F$1:$O$9996,5,FALSE)</f>
        <v>TECNICO ELECTRICO MONTAJISTA DE MAQUINARIA</v>
      </c>
      <c r="H354" s="66" t="str">
        <f>VLOOKUP(Tabla1[[#This Row],[DNI ]],RUBRO!$F$1:$O$9996,6,FALSE)</f>
        <v>CAMIZAN CUNIAS LENDER NEYDEN</v>
      </c>
      <c r="I354" s="94">
        <v>44329</v>
      </c>
      <c r="J354" s="10">
        <v>1</v>
      </c>
      <c r="K354" s="2">
        <v>47711616</v>
      </c>
      <c r="L354" s="4">
        <f>VLOOKUP(Tabla1[[#This Row],[DNI ]],RUBRO!$F$2:$O$9996,8,FALSE)</f>
        <v>47.73</v>
      </c>
      <c r="M354" s="88">
        <v>0.29166666666666669</v>
      </c>
      <c r="N354" s="28">
        <v>0.54166666666666663</v>
      </c>
      <c r="O354" s="28">
        <v>0.58333333333333337</v>
      </c>
      <c r="P354" s="28">
        <v>0.75</v>
      </c>
      <c r="Q354" s="31">
        <f>(Tabla1[[#This Row],[SALIDA]]-Tabla1[[#This Row],[FIN ]])+(Tabla1[[#This Row],[INICIO]]-Tabla1[[#This Row],[INGRESO]])</f>
        <v>0.41666666666666657</v>
      </c>
      <c r="R354" s="13">
        <f t="shared" si="16"/>
        <v>0.375</v>
      </c>
      <c r="S354" s="31">
        <f t="shared" si="17"/>
        <v>4.1666666666666574E-2</v>
      </c>
      <c r="T354" s="136"/>
      <c r="U354" s="136"/>
      <c r="V354" s="137">
        <f>(Tabla1[[#This Row],[COS.BASE 3]]*0.25+Tabla1[[#This Row],[COS.BASE 3]])*Tabla1[[#This Row],[HORAS 25 % ]]</f>
        <v>0</v>
      </c>
      <c r="W354" s="138">
        <f>(Tabla1[[#This Row],[COS.BASE 3]]*0.35+Tabla1[[#This Row],[COS.BASE 3]])*Tabla1[[#This Row],[HORAS 35% ]]</f>
        <v>0</v>
      </c>
      <c r="X354" s="138">
        <f>SUM(Tabla1[[#This Row],[C.HORA.35]],Tabla1[[#This Row],[C.HORA.25]])</f>
        <v>0</v>
      </c>
      <c r="Y354" s="4"/>
      <c r="Z354" s="10">
        <f>Tabla1[[#This Row],[T.HORAS]]*24</f>
        <v>9.9999999999999982</v>
      </c>
      <c r="AA354" s="4">
        <f>Tabla1[[#This Row],[H.NORMALES]]*24</f>
        <v>9</v>
      </c>
      <c r="AB354" s="10">
        <f>Tabla1[[#This Row],[H.EXTRAS]]*24</f>
        <v>0.99999999999999778</v>
      </c>
      <c r="AC354" s="105">
        <f t="shared" si="18"/>
        <v>47.73</v>
      </c>
      <c r="AD354" s="120">
        <f>Tabla1[[#This Row],[COS.BASE 2]]/8</f>
        <v>5.9662499999999996</v>
      </c>
      <c r="AE354" s="105">
        <f>Tabla1[[#This Row],[CST_H_E]]+Tabla1[[#This Row],[COS.BASE 2]]</f>
        <v>47.73</v>
      </c>
      <c r="AF354" s="106">
        <f>+_xlfn.IFNA(INDEX(RUBRO!$W$2:$AA$732,MATCH(Tabla1[[#This Row],[FECHA ]],RUBRO!$W$2:$W$732,0),5)," ")</f>
        <v>0</v>
      </c>
      <c r="AG354" s="10">
        <f>+_xlfn.IFNA(INDEX(RUBRO!$W$2:$AA$732,MATCH(Tabla1[[#This Row],[FECHA ]],RUBRO!$W$2:$W$732,0),2)," ")</f>
        <v>0</v>
      </c>
      <c r="AH354" s="40">
        <f>IFERROR(Tabla1[[#This Row],[F]]*Tabla1[[#This Row],[COS.B+E]]," ")</f>
        <v>0</v>
      </c>
      <c r="AI354" s="40">
        <f>IFERROR(Tabla1[[#This Row],[COS.B+E]]*Tabla1[[#This Row],[D]]," ")</f>
        <v>0</v>
      </c>
      <c r="AJ354" s="40" t="str">
        <f>IFERROR(Tabla1[[#This Row],[F]]*#REF!," ")</f>
        <v xml:space="preserve"> </v>
      </c>
      <c r="AK354" s="40" t="str">
        <f>IFERROR(#REF!*Tabla1[[#This Row],[D]]," ")</f>
        <v xml:space="preserve"> </v>
      </c>
      <c r="AL354" s="103"/>
      <c r="AM354" s="103"/>
      <c r="AN354" s="103"/>
      <c r="AO354" s="38">
        <f>+Tabla1[[#This Row],[COS.B+E]]+Tabla1[[#This Row],[COS.F1]]+Tabla1[[#This Row],[COS.D1]]+Tabla1[[#This Row],[ALIMENTACION]]+Tabla1[[#This Row],[PRESTAMO]]+AN354</f>
        <v>47.73</v>
      </c>
      <c r="AP354" s="38" t="e">
        <f>+#REF!+Tabla1[[#This Row],[COS F2]]+Tabla1[[#This Row],[COS D2]]+Tabla1[[#This Row],[ALIMENTACION]]+Tabla1[[#This Row],[PRESTAMO]]+Tabla1[[#This Row],[PASAJES]]</f>
        <v>#REF!</v>
      </c>
    </row>
    <row r="355" spans="1:44" x14ac:dyDescent="0.25">
      <c r="A355" s="2" t="str">
        <f>TEXT(Tabla1[[#This Row],[FECHA ]],"DDDDD")</f>
        <v>jueves</v>
      </c>
      <c r="B355" s="2" t="str">
        <f>_xlfn.IFNA(VLOOKUP(Tabla1[[#This Row],[DESTINO]],RUBRO!$Q$1:$R$9996,2,FALSE)," ")</f>
        <v>OBRA</v>
      </c>
      <c r="C355" s="104">
        <f>WEEKNUM(Tabla1[[#This Row],[FECHA ]],2)</f>
        <v>20</v>
      </c>
      <c r="D355" s="104" t="str">
        <f>TEXT(Tabla1[[#This Row],[FECHA ]],"MMM-YY")</f>
        <v>may-YY</v>
      </c>
      <c r="E355" s="104" t="str">
        <f>VLOOKUP(Tabla1[[#This Row],[DNI ]],RUBRO!$F$1:$O$9996,7,FALSE)</f>
        <v>5ta</v>
      </c>
      <c r="F355" s="104" t="str">
        <f>VLOOKUP(Tabla1[[#This Row],[DNI ]],RUBRO!$F$1:$O$88,3,FALSE)</f>
        <v>TEC-05</v>
      </c>
      <c r="G355" s="104" t="str">
        <f>VLOOKUP(Tabla1[[#This Row],[DNI ]],RUBRO!$F$1:$O$9996,5,FALSE)</f>
        <v>TECNICO MECANICO MONTAJISTA DE NAVE INDUSTRIAL</v>
      </c>
      <c r="H355" s="66" t="str">
        <f>VLOOKUP(Tabla1[[#This Row],[DNI ]],RUBRO!$F$1:$O$9996,6,FALSE)</f>
        <v>CAVERO ANCAJIMA JHONATAN</v>
      </c>
      <c r="I355" s="94">
        <v>44329</v>
      </c>
      <c r="J355" s="10">
        <v>2</v>
      </c>
      <c r="K355" s="2">
        <v>48237026</v>
      </c>
      <c r="L355" s="4">
        <f>VLOOKUP(Tabla1[[#This Row],[DNI ]],RUBRO!$F$2:$O$9996,8,FALSE)</f>
        <v>52.2</v>
      </c>
      <c r="M355" s="88">
        <v>0.29166666666666669</v>
      </c>
      <c r="N355" s="28">
        <v>0.54166666666666663</v>
      </c>
      <c r="O355" s="28">
        <v>0.58333333333333337</v>
      </c>
      <c r="P355" s="28">
        <v>0.75</v>
      </c>
      <c r="Q355" s="31">
        <f>(Tabla1[[#This Row],[SALIDA]]-Tabla1[[#This Row],[FIN ]])+(Tabla1[[#This Row],[INICIO]]-Tabla1[[#This Row],[INGRESO]])</f>
        <v>0.41666666666666657</v>
      </c>
      <c r="R355" s="13">
        <f t="shared" si="16"/>
        <v>0.33333333333333331</v>
      </c>
      <c r="S355" s="31">
        <f t="shared" si="17"/>
        <v>8.3333333333333259E-2</v>
      </c>
      <c r="T355" s="136"/>
      <c r="U355" s="136"/>
      <c r="V355" s="137">
        <f>(Tabla1[[#This Row],[COS.BASE 3]]*0.25+Tabla1[[#This Row],[COS.BASE 3]])*Tabla1[[#This Row],[HORAS 25 % ]]</f>
        <v>0</v>
      </c>
      <c r="W355" s="138">
        <f>(Tabla1[[#This Row],[COS.BASE 3]]*0.35+Tabla1[[#This Row],[COS.BASE 3]])*Tabla1[[#This Row],[HORAS 35% ]]</f>
        <v>0</v>
      </c>
      <c r="X355" s="138">
        <f>SUM(Tabla1[[#This Row],[C.HORA.35]],Tabla1[[#This Row],[C.HORA.25]])</f>
        <v>0</v>
      </c>
      <c r="Y355" s="4"/>
      <c r="Z355" s="10">
        <f>Tabla1[[#This Row],[T.HORAS]]*24</f>
        <v>9.9999999999999982</v>
      </c>
      <c r="AA355" s="4">
        <f>Tabla1[[#This Row],[H.NORMALES]]*24</f>
        <v>8</v>
      </c>
      <c r="AB355" s="10">
        <f>Tabla1[[#This Row],[H.EXTRAS]]*24</f>
        <v>1.9999999999999982</v>
      </c>
      <c r="AC355" s="105">
        <f t="shared" si="18"/>
        <v>52.2</v>
      </c>
      <c r="AD355" s="120">
        <f>Tabla1[[#This Row],[COS.BASE 2]]/8</f>
        <v>6.5250000000000004</v>
      </c>
      <c r="AE355" s="105">
        <f>Tabla1[[#This Row],[CST_H_E]]+Tabla1[[#This Row],[COS.BASE 2]]</f>
        <v>52.2</v>
      </c>
      <c r="AF355" s="106">
        <f>+_xlfn.IFNA(INDEX(RUBRO!$W$2:$AA$732,MATCH(Tabla1[[#This Row],[FECHA ]],RUBRO!$W$2:$W$732,0),5)," ")</f>
        <v>0</v>
      </c>
      <c r="AG355" s="10">
        <f>+_xlfn.IFNA(INDEX(RUBRO!$W$2:$AA$732,MATCH(Tabla1[[#This Row],[FECHA ]],RUBRO!$W$2:$W$732,0),2)," ")</f>
        <v>0</v>
      </c>
      <c r="AH355" s="40">
        <f>IFERROR(Tabla1[[#This Row],[F]]*Tabla1[[#This Row],[COS.B+E]]," ")</f>
        <v>0</v>
      </c>
      <c r="AI355" s="40">
        <f>IFERROR(Tabla1[[#This Row],[COS.B+E]]*Tabla1[[#This Row],[D]]," ")</f>
        <v>0</v>
      </c>
      <c r="AJ355" s="40" t="str">
        <f>IFERROR(Tabla1[[#This Row],[F]]*#REF!," ")</f>
        <v xml:space="preserve"> </v>
      </c>
      <c r="AK355" s="40" t="str">
        <f>IFERROR(#REF!*Tabla1[[#This Row],[D]]," ")</f>
        <v xml:space="preserve"> </v>
      </c>
      <c r="AL355" s="103"/>
      <c r="AM355" s="103"/>
      <c r="AN355" s="103"/>
      <c r="AO355" s="38">
        <f>+Tabla1[[#This Row],[COS.B+E]]+Tabla1[[#This Row],[COS.F1]]+Tabla1[[#This Row],[COS.D1]]+Tabla1[[#This Row],[ALIMENTACION]]+Tabla1[[#This Row],[PRESTAMO]]+AN355</f>
        <v>52.2</v>
      </c>
      <c r="AP355" s="38" t="e">
        <f>+#REF!+Tabla1[[#This Row],[COS F2]]+Tabla1[[#This Row],[COS D2]]+Tabla1[[#This Row],[ALIMENTACION]]+Tabla1[[#This Row],[PRESTAMO]]+Tabla1[[#This Row],[PASAJES]]</f>
        <v>#REF!</v>
      </c>
    </row>
    <row r="356" spans="1:44" x14ac:dyDescent="0.25">
      <c r="A356" s="2" t="str">
        <f>TEXT(Tabla1[[#This Row],[FECHA ]],"DDDDD")</f>
        <v>jueves</v>
      </c>
      <c r="B356" s="2" t="str">
        <f>_xlfn.IFNA(VLOOKUP(Tabla1[[#This Row],[DESTINO]],RUBRO!$Q$1:$R$9996,2,FALSE)," ")</f>
        <v>OBRA</v>
      </c>
      <c r="C356" s="104">
        <f>WEEKNUM(Tabla1[[#This Row],[FECHA ]],2)</f>
        <v>20</v>
      </c>
      <c r="D356" s="104" t="str">
        <f>TEXT(Tabla1[[#This Row],[FECHA ]],"MMM-YY")</f>
        <v>may-YY</v>
      </c>
      <c r="E356" s="104" t="str">
        <f>VLOOKUP(Tabla1[[#This Row],[DNI ]],RUBRO!$F$1:$O$9996,7,FALSE)</f>
        <v>5ta</v>
      </c>
      <c r="F356" s="104" t="str">
        <f>VLOOKUP(Tabla1[[#This Row],[DNI ]],RUBRO!$F$1:$O$88,3,FALSE)</f>
        <v>TECME-03</v>
      </c>
      <c r="G356" s="104" t="str">
        <f>VLOOKUP(Tabla1[[#This Row],[DNI ]],RUBRO!$F$1:$O$9996,5,FALSE)</f>
        <v>TECNICO ELECTRICO MONTAJISTA DE MAQUINARIA EXTRANJERA</v>
      </c>
      <c r="H356" s="66" t="str">
        <f>VLOOKUP(Tabla1[[#This Row],[DNI ]],RUBRO!$F$1:$O$9996,6,FALSE)</f>
        <v>CHAQUILA JIMENEZ VICTOR JHEYNER</v>
      </c>
      <c r="I356" s="94">
        <v>44329</v>
      </c>
      <c r="J356" s="10">
        <v>2</v>
      </c>
      <c r="K356" s="2">
        <v>47055982</v>
      </c>
      <c r="L356" s="4">
        <f>VLOOKUP(Tabla1[[#This Row],[DNI ]],RUBRO!$F$2:$O$9996,8,FALSE)</f>
        <v>73.72</v>
      </c>
      <c r="M356" s="88">
        <v>0.29166666666666669</v>
      </c>
      <c r="N356" s="28">
        <v>0.54166666666666663</v>
      </c>
      <c r="O356" s="28">
        <v>0.58333333333333337</v>
      </c>
      <c r="P356" s="28">
        <v>0.79166666666666663</v>
      </c>
      <c r="Q356" s="31">
        <f>(Tabla1[[#This Row],[SALIDA]]-Tabla1[[#This Row],[FIN ]])+(Tabla1[[#This Row],[INICIO]]-Tabla1[[#This Row],[INGRESO]])</f>
        <v>0.4583333333333332</v>
      </c>
      <c r="R356" s="13">
        <f t="shared" si="16"/>
        <v>0.33333333333333331</v>
      </c>
      <c r="S356" s="31">
        <f t="shared" si="17"/>
        <v>0.12499999999999989</v>
      </c>
      <c r="T356" s="136"/>
      <c r="U356" s="136"/>
      <c r="V356" s="137">
        <f>(Tabla1[[#This Row],[COS.BASE 3]]*0.25+Tabla1[[#This Row],[COS.BASE 3]])*Tabla1[[#This Row],[HORAS 25 % ]]</f>
        <v>0</v>
      </c>
      <c r="W356" s="138">
        <f>(Tabla1[[#This Row],[COS.BASE 3]]*0.35+Tabla1[[#This Row],[COS.BASE 3]])*Tabla1[[#This Row],[HORAS 35% ]]</f>
        <v>0</v>
      </c>
      <c r="X356" s="138">
        <f>SUM(Tabla1[[#This Row],[C.HORA.35]],Tabla1[[#This Row],[C.HORA.25]])</f>
        <v>0</v>
      </c>
      <c r="Y356" s="4"/>
      <c r="Z356" s="10">
        <f>Tabla1[[#This Row],[T.HORAS]]*24</f>
        <v>10.999999999999996</v>
      </c>
      <c r="AA356" s="4">
        <f>Tabla1[[#This Row],[H.NORMALES]]*24</f>
        <v>8</v>
      </c>
      <c r="AB356" s="10">
        <f>Tabla1[[#This Row],[H.EXTRAS]]*24</f>
        <v>2.9999999999999973</v>
      </c>
      <c r="AC356" s="105">
        <f t="shared" si="18"/>
        <v>73.72</v>
      </c>
      <c r="AD356" s="120">
        <f>Tabla1[[#This Row],[COS.BASE 2]]/8</f>
        <v>9.2149999999999999</v>
      </c>
      <c r="AE356" s="105">
        <f>Tabla1[[#This Row],[CST_H_E]]+Tabla1[[#This Row],[COS.BASE 2]]</f>
        <v>73.72</v>
      </c>
      <c r="AF356" s="106">
        <f>+_xlfn.IFNA(INDEX(RUBRO!$W$2:$AA$732,MATCH(Tabla1[[#This Row],[FECHA ]],RUBRO!$W$2:$W$732,0),5)," ")</f>
        <v>0</v>
      </c>
      <c r="AG356" s="10">
        <f>+_xlfn.IFNA(INDEX(RUBRO!$W$2:$AA$732,MATCH(Tabla1[[#This Row],[FECHA ]],RUBRO!$W$2:$W$732,0),2)," ")</f>
        <v>0</v>
      </c>
      <c r="AH356" s="40">
        <f>IFERROR(Tabla1[[#This Row],[F]]*Tabla1[[#This Row],[COS.B+E]]," ")</f>
        <v>0</v>
      </c>
      <c r="AI356" s="40">
        <f>IFERROR(Tabla1[[#This Row],[COS.B+E]]*Tabla1[[#This Row],[D]]," ")</f>
        <v>0</v>
      </c>
      <c r="AJ356" s="40" t="str">
        <f>IFERROR(Tabla1[[#This Row],[F]]*#REF!," ")</f>
        <v xml:space="preserve"> </v>
      </c>
      <c r="AK356" s="40" t="str">
        <f>IFERROR(#REF!*Tabla1[[#This Row],[D]]," ")</f>
        <v xml:space="preserve"> </v>
      </c>
      <c r="AL356" s="103"/>
      <c r="AM356" s="103"/>
      <c r="AN356" s="103"/>
      <c r="AO356" s="38">
        <f>+Tabla1[[#This Row],[COS.B+E]]+Tabla1[[#This Row],[COS.F1]]+Tabla1[[#This Row],[COS.D1]]+Tabla1[[#This Row],[ALIMENTACION]]+Tabla1[[#This Row],[PRESTAMO]]+AN356</f>
        <v>73.72</v>
      </c>
      <c r="AP356" s="38" t="e">
        <f>+#REF!+Tabla1[[#This Row],[COS F2]]+Tabla1[[#This Row],[COS D2]]+Tabla1[[#This Row],[ALIMENTACION]]+Tabla1[[#This Row],[PRESTAMO]]+Tabla1[[#This Row],[PASAJES]]</f>
        <v>#REF!</v>
      </c>
    </row>
    <row r="357" spans="1:44" x14ac:dyDescent="0.25">
      <c r="A357" s="2" t="str">
        <f>TEXT(Tabla1[[#This Row],[FECHA ]],"DDDDD")</f>
        <v>jueves</v>
      </c>
      <c r="B357" s="2" t="str">
        <f>_xlfn.IFNA(VLOOKUP(Tabla1[[#This Row],[DESTINO]],RUBRO!$Q$1:$R$9996,2,FALSE)," ")</f>
        <v>PLANTA</v>
      </c>
      <c r="C357" s="104">
        <f>WEEKNUM(Tabla1[[#This Row],[FECHA ]],2)</f>
        <v>20</v>
      </c>
      <c r="D357" s="104" t="str">
        <f>TEXT(Tabla1[[#This Row],[FECHA ]],"MMM-YY")</f>
        <v>may-YY</v>
      </c>
      <c r="E357" s="104">
        <f>VLOOKUP(Tabla1[[#This Row],[DNI ]],RUBRO!$F$1:$O$9996,7,FALSE)</f>
        <v>0</v>
      </c>
      <c r="F357" s="104" t="e">
        <f>VLOOKUP(Tabla1[[#This Row],[DNI ]],RUBRO!$F$1:$O$88,3,FALSE)</f>
        <v>#N/A</v>
      </c>
      <c r="G357" s="104">
        <f>VLOOKUP(Tabla1[[#This Row],[DNI ]],RUBRO!$F$1:$O$9996,5,FALSE)</f>
        <v>0</v>
      </c>
      <c r="H357" s="66" t="str">
        <f>VLOOKUP(Tabla1[[#This Row],[DNI ]],RUBRO!$F$1:$O$9996,6,FALSE)</f>
        <v>CHERO ROJAS ARMANDO</v>
      </c>
      <c r="I357" s="94">
        <v>44329</v>
      </c>
      <c r="J357" s="10">
        <v>1</v>
      </c>
      <c r="K357" s="2">
        <v>17543176</v>
      </c>
      <c r="L357" s="4">
        <f>VLOOKUP(Tabla1[[#This Row],[DNI ]],RUBRO!$F$2:$O$9996,8,FALSE)</f>
        <v>0</v>
      </c>
      <c r="M357" s="88">
        <v>0.29166666666666669</v>
      </c>
      <c r="N357" s="28">
        <v>0.54166666666666663</v>
      </c>
      <c r="O357" s="28">
        <v>0.58333333333333337</v>
      </c>
      <c r="P357" s="28">
        <v>0.70833333333333337</v>
      </c>
      <c r="Q357" s="31">
        <f>(Tabla1[[#This Row],[SALIDA]]-Tabla1[[#This Row],[FIN ]])+(Tabla1[[#This Row],[INICIO]]-Tabla1[[#This Row],[INGRESO]])</f>
        <v>0.37499999999999994</v>
      </c>
      <c r="R357" s="13">
        <f t="shared" si="16"/>
        <v>0.37499999999999994</v>
      </c>
      <c r="S357" s="31">
        <f t="shared" si="17"/>
        <v>0</v>
      </c>
      <c r="T357" s="136"/>
      <c r="U357" s="136"/>
      <c r="V357" s="137">
        <f>(Tabla1[[#This Row],[COS.BASE 3]]*0.25+Tabla1[[#This Row],[COS.BASE 3]])*Tabla1[[#This Row],[HORAS 25 % ]]</f>
        <v>0</v>
      </c>
      <c r="W357" s="138">
        <f>(Tabla1[[#This Row],[COS.BASE 3]]*0.35+Tabla1[[#This Row],[COS.BASE 3]])*Tabla1[[#This Row],[HORAS 35% ]]</f>
        <v>0</v>
      </c>
      <c r="X357" s="138">
        <f>SUM(Tabla1[[#This Row],[C.HORA.35]],Tabla1[[#This Row],[C.HORA.25]])</f>
        <v>0</v>
      </c>
      <c r="Y357" s="4"/>
      <c r="Z357" s="10">
        <f>Tabla1[[#This Row],[T.HORAS]]*24</f>
        <v>8.9999999999999982</v>
      </c>
      <c r="AA357" s="4">
        <f>Tabla1[[#This Row],[H.NORMALES]]*24</f>
        <v>8.9999999999999982</v>
      </c>
      <c r="AB357" s="10">
        <f>Tabla1[[#This Row],[H.EXTRAS]]*24</f>
        <v>0</v>
      </c>
      <c r="AC357" s="105">
        <f t="shared" si="18"/>
        <v>0</v>
      </c>
      <c r="AD357" s="120">
        <f>Tabla1[[#This Row],[COS.BASE 2]]/8</f>
        <v>0</v>
      </c>
      <c r="AE357" s="105">
        <f>Tabla1[[#This Row],[CST_H_E]]+Tabla1[[#This Row],[COS.BASE 2]]</f>
        <v>0</v>
      </c>
      <c r="AF357" s="106">
        <f>+_xlfn.IFNA(INDEX(RUBRO!$W$2:$AA$732,MATCH(Tabla1[[#This Row],[FECHA ]],RUBRO!$W$2:$W$732,0),5)," ")</f>
        <v>0</v>
      </c>
      <c r="AG357" s="10">
        <f>+_xlfn.IFNA(INDEX(RUBRO!$W$2:$AA$732,MATCH(Tabla1[[#This Row],[FECHA ]],RUBRO!$W$2:$W$732,0),2)," ")</f>
        <v>0</v>
      </c>
      <c r="AH357" s="40">
        <f>IFERROR(Tabla1[[#This Row],[F]]*Tabla1[[#This Row],[COS.B+E]]," ")</f>
        <v>0</v>
      </c>
      <c r="AI357" s="40">
        <f>IFERROR(Tabla1[[#This Row],[COS.B+E]]*Tabla1[[#This Row],[D]]," ")</f>
        <v>0</v>
      </c>
      <c r="AJ357" s="40" t="str">
        <f>IFERROR(Tabla1[[#This Row],[F]]*#REF!," ")</f>
        <v xml:space="preserve"> </v>
      </c>
      <c r="AK357" s="40" t="str">
        <f>IFERROR(#REF!*Tabla1[[#This Row],[D]]," ")</f>
        <v xml:space="preserve"> </v>
      </c>
      <c r="AL357" s="107"/>
      <c r="AM357" s="107"/>
      <c r="AN357" s="107"/>
      <c r="AO357" s="38">
        <f>+Tabla1[[#This Row],[COS.B+E]]+Tabla1[[#This Row],[COS.F1]]+Tabla1[[#This Row],[COS.D1]]+Tabla1[[#This Row],[ALIMENTACION]]+Tabla1[[#This Row],[PRESTAMO]]+AN357</f>
        <v>0</v>
      </c>
      <c r="AP357" s="38" t="e">
        <f>+#REF!+Tabla1[[#This Row],[COS F2]]+Tabla1[[#This Row],[COS D2]]+Tabla1[[#This Row],[ALIMENTACION]]+Tabla1[[#This Row],[PRESTAMO]]+Tabla1[[#This Row],[PASAJES]]</f>
        <v>#REF!</v>
      </c>
      <c r="AQ357" s="107"/>
      <c r="AR357" s="107"/>
    </row>
    <row r="358" spans="1:44" x14ac:dyDescent="0.25">
      <c r="A358" s="2" t="str">
        <f>TEXT(Tabla1[[#This Row],[FECHA ]],"DDDDD")</f>
        <v>jueves</v>
      </c>
      <c r="B358" s="2" t="str">
        <f>_xlfn.IFNA(VLOOKUP(Tabla1[[#This Row],[DESTINO]],RUBRO!$Q$1:$R$9996,2,FALSE)," ")</f>
        <v>OBRA</v>
      </c>
      <c r="C358" s="104">
        <f>WEEKNUM(Tabla1[[#This Row],[FECHA ]],2)</f>
        <v>20</v>
      </c>
      <c r="D358" s="104" t="str">
        <f>TEXT(Tabla1[[#This Row],[FECHA ]],"MMM-YY")</f>
        <v>may-YY</v>
      </c>
      <c r="E358" s="104" t="str">
        <f>VLOOKUP(Tabla1[[#This Row],[DNI ]],RUBRO!$F$1:$O$9996,7,FALSE)</f>
        <v>5ta</v>
      </c>
      <c r="F358" s="104" t="e">
        <f>VLOOKUP(Tabla1[[#This Row],[DNI ]],RUBRO!$F$1:$O$88,3,FALSE)</f>
        <v>#N/A</v>
      </c>
      <c r="G358" s="104" t="str">
        <f>VLOOKUP(Tabla1[[#This Row],[DNI ]],RUBRO!$F$1:$O$9996,5,FALSE)</f>
        <v>AYUDANTE DE PRODUCCION</v>
      </c>
      <c r="H358" s="66" t="str">
        <f>VLOOKUP(Tabla1[[#This Row],[DNI ]],RUBRO!$F$1:$O$9996,6,FALSE)</f>
        <v>COPIA BALDERA NILSON</v>
      </c>
      <c r="I358" s="94">
        <v>44329</v>
      </c>
      <c r="J358" s="10">
        <v>2</v>
      </c>
      <c r="K358" s="2">
        <v>48359730</v>
      </c>
      <c r="L358" s="4">
        <f>VLOOKUP(Tabla1[[#This Row],[DNI ]],RUBRO!$F$2:$O$9996,8,FALSE)</f>
        <v>55</v>
      </c>
      <c r="M358" s="88">
        <v>0.29166666666666669</v>
      </c>
      <c r="N358" s="28">
        <v>0.54166666666666663</v>
      </c>
      <c r="O358" s="28">
        <v>0.58333333333333337</v>
      </c>
      <c r="P358" s="28">
        <v>0.75</v>
      </c>
      <c r="Q358" s="31">
        <f>(Tabla1[[#This Row],[SALIDA]]-Tabla1[[#This Row],[FIN ]])+(Tabla1[[#This Row],[INICIO]]-Tabla1[[#This Row],[INGRESO]])</f>
        <v>0.41666666666666657</v>
      </c>
      <c r="R358" s="13">
        <f t="shared" si="16"/>
        <v>0.33333333333333331</v>
      </c>
      <c r="S358" s="31">
        <f t="shared" si="17"/>
        <v>8.3333333333333259E-2</v>
      </c>
      <c r="T358" s="136"/>
      <c r="U358" s="136"/>
      <c r="V358" s="137">
        <f>(Tabla1[[#This Row],[COS.BASE 3]]*0.25+Tabla1[[#This Row],[COS.BASE 3]])*Tabla1[[#This Row],[HORAS 25 % ]]</f>
        <v>0</v>
      </c>
      <c r="W358" s="138">
        <f>(Tabla1[[#This Row],[COS.BASE 3]]*0.35+Tabla1[[#This Row],[COS.BASE 3]])*Tabla1[[#This Row],[HORAS 35% ]]</f>
        <v>0</v>
      </c>
      <c r="X358" s="138">
        <f>SUM(Tabla1[[#This Row],[C.HORA.35]],Tabla1[[#This Row],[C.HORA.25]])</f>
        <v>0</v>
      </c>
      <c r="Y358" s="4"/>
      <c r="Z358" s="10">
        <f>Tabla1[[#This Row],[T.HORAS]]*24</f>
        <v>9.9999999999999982</v>
      </c>
      <c r="AA358" s="4">
        <f>Tabla1[[#This Row],[H.NORMALES]]*24</f>
        <v>8</v>
      </c>
      <c r="AB358" s="10">
        <f>Tabla1[[#This Row],[H.EXTRAS]]*24</f>
        <v>1.9999999999999982</v>
      </c>
      <c r="AC358" s="105">
        <f t="shared" si="18"/>
        <v>55</v>
      </c>
      <c r="AD358" s="120">
        <f>Tabla1[[#This Row],[COS.BASE 2]]/8</f>
        <v>6.875</v>
      </c>
      <c r="AE358" s="105">
        <f>Tabla1[[#This Row],[CST_H_E]]+Tabla1[[#This Row],[COS.BASE 2]]</f>
        <v>55</v>
      </c>
      <c r="AF358" s="106">
        <f>+_xlfn.IFNA(INDEX(RUBRO!$W$2:$AA$732,MATCH(Tabla1[[#This Row],[FECHA ]],RUBRO!$W$2:$W$732,0),5)," ")</f>
        <v>0</v>
      </c>
      <c r="AG358" s="10">
        <f>+_xlfn.IFNA(INDEX(RUBRO!$W$2:$AA$732,MATCH(Tabla1[[#This Row],[FECHA ]],RUBRO!$W$2:$W$732,0),2)," ")</f>
        <v>0</v>
      </c>
      <c r="AH358" s="40">
        <f>IFERROR(Tabla1[[#This Row],[F]]*Tabla1[[#This Row],[COS.B+E]]," ")</f>
        <v>0</v>
      </c>
      <c r="AI358" s="40">
        <f>IFERROR(Tabla1[[#This Row],[COS.B+E]]*Tabla1[[#This Row],[D]]," ")</f>
        <v>0</v>
      </c>
      <c r="AJ358" s="40" t="str">
        <f>IFERROR(Tabla1[[#This Row],[F]]*#REF!," ")</f>
        <v xml:space="preserve"> </v>
      </c>
      <c r="AK358" s="40" t="str">
        <f>IFERROR(#REF!*Tabla1[[#This Row],[D]]," ")</f>
        <v xml:space="preserve"> </v>
      </c>
      <c r="AL358" s="103"/>
      <c r="AM358" s="103"/>
      <c r="AN358" s="103"/>
      <c r="AO358" s="38">
        <f>+Tabla1[[#This Row],[COS.B+E]]+Tabla1[[#This Row],[COS.F1]]+Tabla1[[#This Row],[COS.D1]]+Tabla1[[#This Row],[ALIMENTACION]]+Tabla1[[#This Row],[PRESTAMO]]+AN358</f>
        <v>55</v>
      </c>
      <c r="AP358" s="38" t="e">
        <f>+#REF!+Tabla1[[#This Row],[COS F2]]+Tabla1[[#This Row],[COS D2]]+Tabla1[[#This Row],[ALIMENTACION]]+Tabla1[[#This Row],[PRESTAMO]]+Tabla1[[#This Row],[PASAJES]]</f>
        <v>#REF!</v>
      </c>
    </row>
    <row r="359" spans="1:44" x14ac:dyDescent="0.25">
      <c r="A359" s="2" t="str">
        <f>TEXT(Tabla1[[#This Row],[FECHA ]],"DDDDD")</f>
        <v>jueves</v>
      </c>
      <c r="B359" s="2" t="str">
        <f>_xlfn.IFNA(VLOOKUP(Tabla1[[#This Row],[DESTINO]],RUBRO!$Q$1:$R$9996,2,FALSE)," ")</f>
        <v>PLANTA</v>
      </c>
      <c r="C359" s="104">
        <f>WEEKNUM(Tabla1[[#This Row],[FECHA ]],2)</f>
        <v>20</v>
      </c>
      <c r="D359" s="104" t="str">
        <f>TEXT(Tabla1[[#This Row],[FECHA ]],"MMM-YY")</f>
        <v>may-YY</v>
      </c>
      <c r="E359" s="104" t="str">
        <f>VLOOKUP(Tabla1[[#This Row],[DNI ]],RUBRO!$F$1:$O$9996,7,FALSE)</f>
        <v>5ta</v>
      </c>
      <c r="F359" s="104" t="str">
        <f>VLOOKUP(Tabla1[[#This Row],[DNI ]],RUBRO!$F$1:$O$88,3,FALSE)</f>
        <v>OPE-01</v>
      </c>
      <c r="G359" s="104" t="str">
        <f>VLOOKUP(Tabla1[[#This Row],[DNI ]],RUBRO!$F$1:$O$9996,5,FALSE)</f>
        <v>OPERARIO SOLDADOR</v>
      </c>
      <c r="H359" s="66" t="str">
        <f>VLOOKUP(Tabla1[[#This Row],[DNI ]],RUBRO!$F$1:$O$9996,6,FALSE)</f>
        <v>CORDOVA OJEDA JHON GIAMPIERRE</v>
      </c>
      <c r="I359" s="94">
        <v>44329</v>
      </c>
      <c r="J359" s="10">
        <v>1</v>
      </c>
      <c r="K359" s="2">
        <v>74359947</v>
      </c>
      <c r="L359" s="4">
        <f>VLOOKUP(Tabla1[[#This Row],[DNI ]],RUBRO!$F$2:$O$9996,8,FALSE)</f>
        <v>57.62</v>
      </c>
      <c r="M359" s="88">
        <v>0.29166666666666669</v>
      </c>
      <c r="N359" s="28">
        <v>0.54166666666666663</v>
      </c>
      <c r="O359" s="28">
        <v>0.58333333333333337</v>
      </c>
      <c r="P359" s="28">
        <v>0.79166666666666663</v>
      </c>
      <c r="Q359" s="31">
        <f>(Tabla1[[#This Row],[SALIDA]]-Tabla1[[#This Row],[FIN ]])+(Tabla1[[#This Row],[INICIO]]-Tabla1[[#This Row],[INGRESO]])</f>
        <v>0.4583333333333332</v>
      </c>
      <c r="R359" s="13">
        <f t="shared" si="16"/>
        <v>0.375</v>
      </c>
      <c r="S359" s="31">
        <f t="shared" si="17"/>
        <v>8.3333333333333204E-2</v>
      </c>
      <c r="T359" s="136"/>
      <c r="U359" s="136"/>
      <c r="V359" s="137">
        <f>(Tabla1[[#This Row],[COS.BASE 3]]*0.25+Tabla1[[#This Row],[COS.BASE 3]])*Tabla1[[#This Row],[HORAS 25 % ]]</f>
        <v>0</v>
      </c>
      <c r="W359" s="138">
        <f>(Tabla1[[#This Row],[COS.BASE 3]]*0.35+Tabla1[[#This Row],[COS.BASE 3]])*Tabla1[[#This Row],[HORAS 35% ]]</f>
        <v>0</v>
      </c>
      <c r="X359" s="138">
        <f>SUM(Tabla1[[#This Row],[C.HORA.35]],Tabla1[[#This Row],[C.HORA.25]])</f>
        <v>0</v>
      </c>
      <c r="Y359" s="4"/>
      <c r="Z359" s="10">
        <f>Tabla1[[#This Row],[T.HORAS]]*24</f>
        <v>10.999999999999996</v>
      </c>
      <c r="AA359" s="4">
        <f>Tabla1[[#This Row],[H.NORMALES]]*24</f>
        <v>9</v>
      </c>
      <c r="AB359" s="10">
        <f>Tabla1[[#This Row],[H.EXTRAS]]*24</f>
        <v>1.9999999999999969</v>
      </c>
      <c r="AC359" s="105">
        <f t="shared" si="18"/>
        <v>57.62</v>
      </c>
      <c r="AD359" s="120">
        <f>Tabla1[[#This Row],[COS.BASE 2]]/8</f>
        <v>7.2024999999999997</v>
      </c>
      <c r="AE359" s="105">
        <f>Tabla1[[#This Row],[CST_H_E]]+Tabla1[[#This Row],[COS.BASE 2]]</f>
        <v>57.62</v>
      </c>
      <c r="AF359" s="106">
        <f>+_xlfn.IFNA(INDEX(RUBRO!$W$2:$AA$732,MATCH(Tabla1[[#This Row],[FECHA ]],RUBRO!$W$2:$W$732,0),5)," ")</f>
        <v>0</v>
      </c>
      <c r="AG359" s="10">
        <f>+_xlfn.IFNA(INDEX(RUBRO!$W$2:$AA$732,MATCH(Tabla1[[#This Row],[FECHA ]],RUBRO!$W$2:$W$732,0),2)," ")</f>
        <v>0</v>
      </c>
      <c r="AH359" s="40">
        <f>IFERROR(Tabla1[[#This Row],[F]]*Tabla1[[#This Row],[COS.B+E]]," ")</f>
        <v>0</v>
      </c>
      <c r="AI359" s="40">
        <f>IFERROR(Tabla1[[#This Row],[COS.B+E]]*Tabla1[[#This Row],[D]]," ")</f>
        <v>0</v>
      </c>
      <c r="AJ359" s="40" t="str">
        <f>IFERROR(Tabla1[[#This Row],[F]]*#REF!," ")</f>
        <v xml:space="preserve"> </v>
      </c>
      <c r="AK359" s="40" t="str">
        <f>IFERROR(#REF!*Tabla1[[#This Row],[D]]," ")</f>
        <v xml:space="preserve"> </v>
      </c>
      <c r="AL359" s="103"/>
      <c r="AM359" s="103"/>
      <c r="AN359" s="103"/>
      <c r="AO359" s="38">
        <f>+Tabla1[[#This Row],[COS.B+E]]+Tabla1[[#This Row],[COS.F1]]+Tabla1[[#This Row],[COS.D1]]+Tabla1[[#This Row],[ALIMENTACION]]+Tabla1[[#This Row],[PRESTAMO]]+AN359</f>
        <v>57.62</v>
      </c>
      <c r="AP359" s="38" t="e">
        <f>+#REF!+Tabla1[[#This Row],[COS F2]]+Tabla1[[#This Row],[COS D2]]+Tabla1[[#This Row],[ALIMENTACION]]+Tabla1[[#This Row],[PRESTAMO]]+Tabla1[[#This Row],[PASAJES]]</f>
        <v>#REF!</v>
      </c>
    </row>
    <row r="360" spans="1:44" x14ac:dyDescent="0.25">
      <c r="A360" s="2" t="str">
        <f>TEXT(Tabla1[[#This Row],[FECHA ]],"DDDDD")</f>
        <v>jueves</v>
      </c>
      <c r="B360" s="2" t="str">
        <f>_xlfn.IFNA(VLOOKUP(Tabla1[[#This Row],[DESTINO]],RUBRO!$Q$1:$R$9996,2,FALSE)," ")</f>
        <v>PLANTA</v>
      </c>
      <c r="C360" s="104">
        <f>WEEKNUM(Tabla1[[#This Row],[FECHA ]],2)</f>
        <v>20</v>
      </c>
      <c r="D360" s="104" t="str">
        <f>TEXT(Tabla1[[#This Row],[FECHA ]],"MMM-YY")</f>
        <v>may-YY</v>
      </c>
      <c r="E360" s="104" t="str">
        <f>VLOOKUP(Tabla1[[#This Row],[DNI ]],RUBRO!$F$1:$O$9996,7,FALSE)</f>
        <v>5ta</v>
      </c>
      <c r="F360" s="104" t="str">
        <f>VLOOKUP(Tabla1[[#This Row],[DNI ]],RUBRO!$F$1:$O$88,3,FALSE)</f>
        <v>TEC-02</v>
      </c>
      <c r="G360" s="104" t="str">
        <f>VLOOKUP(Tabla1[[#This Row],[DNI ]],RUBRO!$F$1:$O$9996,5,FALSE)</f>
        <v>TECNICO MECANICO MONTAJISTA DE MAQUINARIA</v>
      </c>
      <c r="H360" s="66" t="str">
        <f>VLOOKUP(Tabla1[[#This Row],[DNI ]],RUBRO!$F$1:$O$9996,6,FALSE)</f>
        <v>CORREA TORRES NOYLER</v>
      </c>
      <c r="I360" s="94">
        <v>44329</v>
      </c>
      <c r="J360" s="10">
        <v>1</v>
      </c>
      <c r="K360" s="2">
        <v>47321409</v>
      </c>
      <c r="L360" s="4">
        <f>VLOOKUP(Tabla1[[#This Row],[DNI ]],RUBRO!$F$2:$O$9996,8,FALSE)</f>
        <v>65</v>
      </c>
      <c r="M360" s="88">
        <v>0.29166666666666669</v>
      </c>
      <c r="N360" s="28">
        <v>0.54166666666666663</v>
      </c>
      <c r="O360" s="28">
        <v>0.58333333333333337</v>
      </c>
      <c r="P360" s="28">
        <v>0.75</v>
      </c>
      <c r="Q360" s="31">
        <f>(Tabla1[[#This Row],[SALIDA]]-Tabla1[[#This Row],[FIN ]])+(Tabla1[[#This Row],[INICIO]]-Tabla1[[#This Row],[INGRESO]])</f>
        <v>0.41666666666666657</v>
      </c>
      <c r="R360" s="13">
        <f t="shared" si="16"/>
        <v>0.375</v>
      </c>
      <c r="S360" s="31">
        <f t="shared" si="17"/>
        <v>4.1666666666666574E-2</v>
      </c>
      <c r="T360" s="136"/>
      <c r="U360" s="136"/>
      <c r="V360" s="137">
        <f>(Tabla1[[#This Row],[COS.BASE 3]]*0.25+Tabla1[[#This Row],[COS.BASE 3]])*Tabla1[[#This Row],[HORAS 25 % ]]</f>
        <v>0</v>
      </c>
      <c r="W360" s="138">
        <f>(Tabla1[[#This Row],[COS.BASE 3]]*0.35+Tabla1[[#This Row],[COS.BASE 3]])*Tabla1[[#This Row],[HORAS 35% ]]</f>
        <v>0</v>
      </c>
      <c r="X360" s="138">
        <f>SUM(Tabla1[[#This Row],[C.HORA.35]],Tabla1[[#This Row],[C.HORA.25]])</f>
        <v>0</v>
      </c>
      <c r="Y360" s="4"/>
      <c r="Z360" s="10">
        <f>Tabla1[[#This Row],[T.HORAS]]*24</f>
        <v>9.9999999999999982</v>
      </c>
      <c r="AA360" s="4">
        <f>Tabla1[[#This Row],[H.NORMALES]]*24</f>
        <v>9</v>
      </c>
      <c r="AB360" s="10">
        <f>Tabla1[[#This Row],[H.EXTRAS]]*24</f>
        <v>0.99999999999999778</v>
      </c>
      <c r="AC360" s="105">
        <f t="shared" si="18"/>
        <v>65</v>
      </c>
      <c r="AD360" s="120">
        <f>Tabla1[[#This Row],[COS.BASE 2]]/8</f>
        <v>8.125</v>
      </c>
      <c r="AE360" s="105">
        <f>Tabla1[[#This Row],[CST_H_E]]+Tabla1[[#This Row],[COS.BASE 2]]</f>
        <v>65</v>
      </c>
      <c r="AF360" s="106">
        <f>+_xlfn.IFNA(INDEX(RUBRO!$W$2:$AA$732,MATCH(Tabla1[[#This Row],[FECHA ]],RUBRO!$W$2:$W$732,0),5)," ")</f>
        <v>0</v>
      </c>
      <c r="AG360" s="10">
        <f>+_xlfn.IFNA(INDEX(RUBRO!$W$2:$AA$732,MATCH(Tabla1[[#This Row],[FECHA ]],RUBRO!$W$2:$W$732,0),2)," ")</f>
        <v>0</v>
      </c>
      <c r="AH360" s="40">
        <f>IFERROR(Tabla1[[#This Row],[F]]*Tabla1[[#This Row],[COS.B+E]]," ")</f>
        <v>0</v>
      </c>
      <c r="AI360" s="40">
        <f>IFERROR(Tabla1[[#This Row],[COS.B+E]]*Tabla1[[#This Row],[D]]," ")</f>
        <v>0</v>
      </c>
      <c r="AJ360" s="40" t="str">
        <f>IFERROR(Tabla1[[#This Row],[F]]*#REF!," ")</f>
        <v xml:space="preserve"> </v>
      </c>
      <c r="AK360" s="40" t="str">
        <f>IFERROR(#REF!*Tabla1[[#This Row],[D]]," ")</f>
        <v xml:space="preserve"> </v>
      </c>
      <c r="AL360" s="103"/>
      <c r="AM360" s="103"/>
      <c r="AN360" s="103"/>
      <c r="AO360" s="38">
        <f>+Tabla1[[#This Row],[COS.B+E]]+Tabla1[[#This Row],[COS.F1]]+Tabla1[[#This Row],[COS.D1]]+Tabla1[[#This Row],[ALIMENTACION]]+Tabla1[[#This Row],[PRESTAMO]]+AN360</f>
        <v>65</v>
      </c>
      <c r="AP360" s="38" t="e">
        <f>+#REF!+Tabla1[[#This Row],[COS F2]]+Tabla1[[#This Row],[COS D2]]+Tabla1[[#This Row],[ALIMENTACION]]+Tabla1[[#This Row],[PRESTAMO]]+Tabla1[[#This Row],[PASAJES]]</f>
        <v>#REF!</v>
      </c>
    </row>
    <row r="361" spans="1:44" x14ac:dyDescent="0.25">
      <c r="A361" s="2" t="str">
        <f>TEXT(Tabla1[[#This Row],[FECHA ]],"DDDDD")</f>
        <v>jueves</v>
      </c>
      <c r="B361" s="2" t="str">
        <f>_xlfn.IFNA(VLOOKUP(Tabla1[[#This Row],[DESTINO]],RUBRO!$Q$1:$R$9996,2,FALSE)," ")</f>
        <v>OBRA</v>
      </c>
      <c r="C361" s="104">
        <f>WEEKNUM(Tabla1[[#This Row],[FECHA ]],2)</f>
        <v>20</v>
      </c>
      <c r="D361" s="104" t="str">
        <f>TEXT(Tabla1[[#This Row],[FECHA ]],"MMM-YY")</f>
        <v>may-YY</v>
      </c>
      <c r="E361" s="104" t="str">
        <f>VLOOKUP(Tabla1[[#This Row],[DNI ]],RUBRO!$F$1:$O$9996,7,FALSE)</f>
        <v>5ta</v>
      </c>
      <c r="F361" s="104" t="str">
        <f>VLOOKUP(Tabla1[[#This Row],[DNI ]],RUBRO!$F$1:$O$88,3,FALSE)</f>
        <v>TEC-04</v>
      </c>
      <c r="G361" s="104" t="str">
        <f>VLOOKUP(Tabla1[[#This Row],[DNI ]],RUBRO!$F$1:$O$9996,5,FALSE)</f>
        <v>TECNICO MECANICO MONTAJISTA DE MAQUINARIA EXTRANJERA</v>
      </c>
      <c r="H361" s="66" t="str">
        <f>VLOOKUP(Tabla1[[#This Row],[DNI ]],RUBRO!$F$1:$O$9996,6,FALSE)</f>
        <v>CUYA CAYCHO DANIEL LORENZO</v>
      </c>
      <c r="I361" s="94">
        <v>44329</v>
      </c>
      <c r="J361" s="10">
        <v>2</v>
      </c>
      <c r="K361" s="2">
        <v>70133802</v>
      </c>
      <c r="L361" s="4">
        <f>VLOOKUP(Tabla1[[#This Row],[DNI ]],RUBRO!$F$2:$O$9996,8,FALSE)</f>
        <v>66.92</v>
      </c>
      <c r="M361" s="88">
        <v>0.29166666666666669</v>
      </c>
      <c r="N361" s="28">
        <v>0.54166666666666663</v>
      </c>
      <c r="O361" s="28">
        <v>0.58333333333333337</v>
      </c>
      <c r="P361" s="28">
        <v>0.79166666666666663</v>
      </c>
      <c r="Q361" s="31">
        <f>(Tabla1[[#This Row],[SALIDA]]-Tabla1[[#This Row],[FIN ]])+(Tabla1[[#This Row],[INICIO]]-Tabla1[[#This Row],[INGRESO]])</f>
        <v>0.4583333333333332</v>
      </c>
      <c r="R361" s="13">
        <f t="shared" si="16"/>
        <v>0.33333333333333331</v>
      </c>
      <c r="S361" s="31">
        <f t="shared" si="17"/>
        <v>0.12499999999999989</v>
      </c>
      <c r="T361" s="136"/>
      <c r="U361" s="136"/>
      <c r="V361" s="137">
        <f>(Tabla1[[#This Row],[COS.BASE 3]]*0.25+Tabla1[[#This Row],[COS.BASE 3]])*Tabla1[[#This Row],[HORAS 25 % ]]</f>
        <v>0</v>
      </c>
      <c r="W361" s="138">
        <f>(Tabla1[[#This Row],[COS.BASE 3]]*0.35+Tabla1[[#This Row],[COS.BASE 3]])*Tabla1[[#This Row],[HORAS 35% ]]</f>
        <v>0</v>
      </c>
      <c r="X361" s="138">
        <f>SUM(Tabla1[[#This Row],[C.HORA.35]],Tabla1[[#This Row],[C.HORA.25]])</f>
        <v>0</v>
      </c>
      <c r="Y361" s="4"/>
      <c r="Z361" s="10">
        <f>Tabla1[[#This Row],[T.HORAS]]*24</f>
        <v>10.999999999999996</v>
      </c>
      <c r="AA361" s="4">
        <f>Tabla1[[#This Row],[H.NORMALES]]*24</f>
        <v>8</v>
      </c>
      <c r="AB361" s="10">
        <f>Tabla1[[#This Row],[H.EXTRAS]]*24</f>
        <v>2.9999999999999973</v>
      </c>
      <c r="AC361" s="105">
        <f t="shared" si="18"/>
        <v>66.92</v>
      </c>
      <c r="AD361" s="120">
        <f>Tabla1[[#This Row],[COS.BASE 2]]/8</f>
        <v>8.3650000000000002</v>
      </c>
      <c r="AE361" s="105">
        <f>Tabla1[[#This Row],[CST_H_E]]+Tabla1[[#This Row],[COS.BASE 2]]</f>
        <v>66.92</v>
      </c>
      <c r="AF361" s="106">
        <f>+_xlfn.IFNA(INDEX(RUBRO!$W$2:$AA$732,MATCH(Tabla1[[#This Row],[FECHA ]],RUBRO!$W$2:$W$732,0),5)," ")</f>
        <v>0</v>
      </c>
      <c r="AG361" s="10">
        <f>+_xlfn.IFNA(INDEX(RUBRO!$W$2:$AA$732,MATCH(Tabla1[[#This Row],[FECHA ]],RUBRO!$W$2:$W$732,0),2)," ")</f>
        <v>0</v>
      </c>
      <c r="AH361" s="40">
        <f>IFERROR(Tabla1[[#This Row],[F]]*Tabla1[[#This Row],[COS.B+E]]," ")</f>
        <v>0</v>
      </c>
      <c r="AI361" s="40">
        <f>IFERROR(Tabla1[[#This Row],[COS.B+E]]*Tabla1[[#This Row],[D]]," ")</f>
        <v>0</v>
      </c>
      <c r="AJ361" s="40" t="str">
        <f>IFERROR(Tabla1[[#This Row],[F]]*#REF!," ")</f>
        <v xml:space="preserve"> </v>
      </c>
      <c r="AK361" s="40" t="str">
        <f>IFERROR(#REF!*Tabla1[[#This Row],[D]]," ")</f>
        <v xml:space="preserve"> </v>
      </c>
      <c r="AL361" s="103"/>
      <c r="AM361" s="103"/>
      <c r="AN361" s="103"/>
      <c r="AO361" s="38">
        <f>+Tabla1[[#This Row],[COS.B+E]]+Tabla1[[#This Row],[COS.F1]]+Tabla1[[#This Row],[COS.D1]]+Tabla1[[#This Row],[ALIMENTACION]]+Tabla1[[#This Row],[PRESTAMO]]+AN361</f>
        <v>66.92</v>
      </c>
      <c r="AP361" s="38" t="e">
        <f>+#REF!+Tabla1[[#This Row],[COS F2]]+Tabla1[[#This Row],[COS D2]]+Tabla1[[#This Row],[ALIMENTACION]]+Tabla1[[#This Row],[PRESTAMO]]+Tabla1[[#This Row],[PASAJES]]</f>
        <v>#REF!</v>
      </c>
    </row>
    <row r="362" spans="1:44" x14ac:dyDescent="0.25">
      <c r="A362" s="2" t="str">
        <f>TEXT(Tabla1[[#This Row],[FECHA ]],"DDDDD")</f>
        <v>jueves</v>
      </c>
      <c r="B362" s="2" t="str">
        <f>_xlfn.IFNA(VLOOKUP(Tabla1[[#This Row],[DESTINO]],RUBRO!$Q$1:$R$9996,2,FALSE)," ")</f>
        <v>PLANTA</v>
      </c>
      <c r="C362" s="104">
        <f>WEEKNUM(Tabla1[[#This Row],[FECHA ]],2)</f>
        <v>20</v>
      </c>
      <c r="D362" s="104" t="str">
        <f>TEXT(Tabla1[[#This Row],[FECHA ]],"MMM-YY")</f>
        <v>may-YY</v>
      </c>
      <c r="E362" s="104" t="str">
        <f>VLOOKUP(Tabla1[[#This Row],[DNI ]],RUBRO!$F$1:$O$9996,7,FALSE)</f>
        <v>4ta</v>
      </c>
      <c r="F362" s="104" t="e">
        <f>VLOOKUP(Tabla1[[#This Row],[DNI ]],RUBRO!$F$1:$O$88,3,FALSE)</f>
        <v>#N/A</v>
      </c>
      <c r="G362" s="104" t="str">
        <f>VLOOKUP(Tabla1[[#This Row],[DNI ]],RUBRO!$F$1:$O$9996,5,FALSE)</f>
        <v>TECNICO SOLDADOR</v>
      </c>
      <c r="H362" s="66" t="str">
        <f>VLOOKUP(Tabla1[[#This Row],[DNI ]],RUBRO!$F$1:$O$9996,6,FALSE)</f>
        <v>DAMIAN DAMIAN MIGUEL ANGEL</v>
      </c>
      <c r="I362" s="94">
        <v>44329</v>
      </c>
      <c r="J362" s="10">
        <v>1</v>
      </c>
      <c r="K362" s="2">
        <v>75494335</v>
      </c>
      <c r="L362" s="4">
        <f>VLOOKUP(Tabla1[[#This Row],[DNI ]],RUBRO!$F$2:$O$9996,8,FALSE)</f>
        <v>90</v>
      </c>
      <c r="M362" s="88">
        <v>0.29166666666666669</v>
      </c>
      <c r="N362" s="28">
        <v>0.54166666666666663</v>
      </c>
      <c r="O362" s="28">
        <v>0.58333333333333337</v>
      </c>
      <c r="P362" s="28">
        <v>0.75</v>
      </c>
      <c r="Q362" s="31">
        <f>(Tabla1[[#This Row],[SALIDA]]-Tabla1[[#This Row],[FIN ]])+(Tabla1[[#This Row],[INICIO]]-Tabla1[[#This Row],[INGRESO]])</f>
        <v>0.41666666666666657</v>
      </c>
      <c r="R362" s="13">
        <f t="shared" si="16"/>
        <v>0.375</v>
      </c>
      <c r="S362" s="31">
        <f t="shared" si="17"/>
        <v>4.1666666666666574E-2</v>
      </c>
      <c r="T362" s="136"/>
      <c r="U362" s="136"/>
      <c r="V362" s="137">
        <f>(Tabla1[[#This Row],[COS.BASE 3]]*0.25+Tabla1[[#This Row],[COS.BASE 3]])*Tabla1[[#This Row],[HORAS 25 % ]]</f>
        <v>0</v>
      </c>
      <c r="W362" s="138">
        <f>(Tabla1[[#This Row],[COS.BASE 3]]*0.35+Tabla1[[#This Row],[COS.BASE 3]])*Tabla1[[#This Row],[HORAS 35% ]]</f>
        <v>0</v>
      </c>
      <c r="X362" s="138">
        <f>SUM(Tabla1[[#This Row],[C.HORA.35]],Tabla1[[#This Row],[C.HORA.25]])</f>
        <v>0</v>
      </c>
      <c r="Y362" s="4"/>
      <c r="Z362" s="10">
        <f>Tabla1[[#This Row],[T.HORAS]]*24</f>
        <v>9.9999999999999982</v>
      </c>
      <c r="AA362" s="4">
        <f>Tabla1[[#This Row],[H.NORMALES]]*24</f>
        <v>9</v>
      </c>
      <c r="AB362" s="10">
        <f>Tabla1[[#This Row],[H.EXTRAS]]*24</f>
        <v>0.99999999999999778</v>
      </c>
      <c r="AC362" s="105">
        <f t="shared" si="18"/>
        <v>90</v>
      </c>
      <c r="AD362" s="120">
        <f>Tabla1[[#This Row],[COS.BASE 2]]/8</f>
        <v>11.25</v>
      </c>
      <c r="AE362" s="105">
        <f>Tabla1[[#This Row],[CST_H_E]]+Tabla1[[#This Row],[COS.BASE 2]]</f>
        <v>90</v>
      </c>
      <c r="AF362" s="106">
        <f>+_xlfn.IFNA(INDEX(RUBRO!$W$2:$AA$732,MATCH(Tabla1[[#This Row],[FECHA ]],RUBRO!$W$2:$W$732,0),5)," ")</f>
        <v>0</v>
      </c>
      <c r="AG362" s="10">
        <f>+_xlfn.IFNA(INDEX(RUBRO!$W$2:$AA$732,MATCH(Tabla1[[#This Row],[FECHA ]],RUBRO!$W$2:$W$732,0),2)," ")</f>
        <v>0</v>
      </c>
      <c r="AH362" s="40">
        <f>IFERROR(Tabla1[[#This Row],[F]]*Tabla1[[#This Row],[COS.B+E]]," ")</f>
        <v>0</v>
      </c>
      <c r="AI362" s="40">
        <f>IFERROR(Tabla1[[#This Row],[COS.B+E]]*Tabla1[[#This Row],[D]]," ")</f>
        <v>0</v>
      </c>
      <c r="AJ362" s="40" t="str">
        <f>IFERROR(Tabla1[[#This Row],[F]]*#REF!," ")</f>
        <v xml:space="preserve"> </v>
      </c>
      <c r="AK362" s="40" t="str">
        <f>IFERROR(#REF!*Tabla1[[#This Row],[D]]," ")</f>
        <v xml:space="preserve"> </v>
      </c>
      <c r="AL362" s="103"/>
      <c r="AM362" s="103"/>
      <c r="AN362" s="103"/>
      <c r="AO362" s="38">
        <f>+Tabla1[[#This Row],[COS.B+E]]+Tabla1[[#This Row],[COS.F1]]+Tabla1[[#This Row],[COS.D1]]+Tabla1[[#This Row],[ALIMENTACION]]+Tabla1[[#This Row],[PRESTAMO]]+AN362</f>
        <v>90</v>
      </c>
      <c r="AP362" s="38" t="e">
        <f>+#REF!+Tabla1[[#This Row],[COS F2]]+Tabla1[[#This Row],[COS D2]]+Tabla1[[#This Row],[ALIMENTACION]]+Tabla1[[#This Row],[PRESTAMO]]+Tabla1[[#This Row],[PASAJES]]</f>
        <v>#REF!</v>
      </c>
    </row>
    <row r="363" spans="1:44" x14ac:dyDescent="0.25">
      <c r="A363" s="2" t="str">
        <f>TEXT(Tabla1[[#This Row],[FECHA ]],"DDDDD")</f>
        <v>jueves</v>
      </c>
      <c r="B363" s="2" t="str">
        <f>_xlfn.IFNA(VLOOKUP(Tabla1[[#This Row],[DESTINO]],RUBRO!$Q$1:$R$9996,2,FALSE)," ")</f>
        <v>PLANTA</v>
      </c>
      <c r="C363" s="104">
        <f>WEEKNUM(Tabla1[[#This Row],[FECHA ]],2)</f>
        <v>20</v>
      </c>
      <c r="D363" s="104" t="str">
        <f>TEXT(Tabla1[[#This Row],[FECHA ]],"MMM-YY")</f>
        <v>may-YY</v>
      </c>
      <c r="E363" s="104" t="str">
        <f>VLOOKUP(Tabla1[[#This Row],[DNI ]],RUBRO!$F$1:$O$9996,7,FALSE)</f>
        <v>5ta</v>
      </c>
      <c r="F363" s="104" t="e">
        <f>VLOOKUP(Tabla1[[#This Row],[DNI ]],RUBRO!$F$1:$O$88,3,FALSE)</f>
        <v>#N/A</v>
      </c>
      <c r="G363" s="104" t="str">
        <f>VLOOKUP(Tabla1[[#This Row],[DNI ]],RUBRO!$F$1:$O$9996,5,FALSE)</f>
        <v>AYUDANTE DE PRODUCCION</v>
      </c>
      <c r="H363" s="66" t="str">
        <f>VLOOKUP(Tabla1[[#This Row],[DNI ]],RUBRO!$F$1:$O$9996,6,FALSE)</f>
        <v xml:space="preserve">DELGADO CORONADO ROBERTO </v>
      </c>
      <c r="I363" s="94">
        <v>44329</v>
      </c>
      <c r="J363" s="10">
        <v>1</v>
      </c>
      <c r="K363" s="2">
        <v>76288149</v>
      </c>
      <c r="L363" s="4">
        <f>VLOOKUP(Tabla1[[#This Row],[DNI ]],RUBRO!$F$2:$O$9996,8,FALSE)</f>
        <v>44.32</v>
      </c>
      <c r="M363" s="88">
        <v>0.29166666666666669</v>
      </c>
      <c r="N363" s="28">
        <v>0.54166666666666663</v>
      </c>
      <c r="O363" s="28">
        <v>0.58333333333333337</v>
      </c>
      <c r="P363" s="28">
        <v>0.75</v>
      </c>
      <c r="Q363" s="31">
        <f>(Tabla1[[#This Row],[SALIDA]]-Tabla1[[#This Row],[FIN ]])+(Tabla1[[#This Row],[INICIO]]-Tabla1[[#This Row],[INGRESO]])</f>
        <v>0.41666666666666657</v>
      </c>
      <c r="R363" s="13">
        <f t="shared" si="16"/>
        <v>0.375</v>
      </c>
      <c r="S363" s="31">
        <f t="shared" si="17"/>
        <v>4.1666666666666574E-2</v>
      </c>
      <c r="T363" s="136"/>
      <c r="U363" s="136"/>
      <c r="V363" s="137">
        <f>(Tabla1[[#This Row],[COS.BASE 3]]*0.25+Tabla1[[#This Row],[COS.BASE 3]])*Tabla1[[#This Row],[HORAS 25 % ]]</f>
        <v>0</v>
      </c>
      <c r="W363" s="138">
        <f>(Tabla1[[#This Row],[COS.BASE 3]]*0.35+Tabla1[[#This Row],[COS.BASE 3]])*Tabla1[[#This Row],[HORAS 35% ]]</f>
        <v>0</v>
      </c>
      <c r="X363" s="138">
        <f>SUM(Tabla1[[#This Row],[C.HORA.35]],Tabla1[[#This Row],[C.HORA.25]])</f>
        <v>0</v>
      </c>
      <c r="Y363" s="4"/>
      <c r="Z363" s="10">
        <f>Tabla1[[#This Row],[T.HORAS]]*24</f>
        <v>9.9999999999999982</v>
      </c>
      <c r="AA363" s="4">
        <f>Tabla1[[#This Row],[H.NORMALES]]*24</f>
        <v>9</v>
      </c>
      <c r="AB363" s="10">
        <f>Tabla1[[#This Row],[H.EXTRAS]]*24</f>
        <v>0.99999999999999778</v>
      </c>
      <c r="AC363" s="105">
        <f t="shared" si="18"/>
        <v>44.32</v>
      </c>
      <c r="AD363" s="120">
        <f>Tabla1[[#This Row],[COS.BASE 2]]/8</f>
        <v>5.54</v>
      </c>
      <c r="AE363" s="105">
        <f>Tabla1[[#This Row],[CST_H_E]]+Tabla1[[#This Row],[COS.BASE 2]]</f>
        <v>44.32</v>
      </c>
      <c r="AF363" s="106">
        <f>+_xlfn.IFNA(INDEX(RUBRO!$W$2:$AA$732,MATCH(Tabla1[[#This Row],[FECHA ]],RUBRO!$W$2:$W$732,0),5)," ")</f>
        <v>0</v>
      </c>
      <c r="AG363" s="10">
        <f>+_xlfn.IFNA(INDEX(RUBRO!$W$2:$AA$732,MATCH(Tabla1[[#This Row],[FECHA ]],RUBRO!$W$2:$W$732,0),2)," ")</f>
        <v>0</v>
      </c>
      <c r="AH363" s="40">
        <f>IFERROR(Tabla1[[#This Row],[F]]*Tabla1[[#This Row],[COS.B+E]]," ")</f>
        <v>0</v>
      </c>
      <c r="AI363" s="40">
        <f>IFERROR(Tabla1[[#This Row],[COS.B+E]]*Tabla1[[#This Row],[D]]," ")</f>
        <v>0</v>
      </c>
      <c r="AJ363" s="40" t="str">
        <f>IFERROR(Tabla1[[#This Row],[F]]*#REF!," ")</f>
        <v xml:space="preserve"> </v>
      </c>
      <c r="AK363" s="40" t="str">
        <f>IFERROR(#REF!*Tabla1[[#This Row],[D]]," ")</f>
        <v xml:space="preserve"> </v>
      </c>
      <c r="AL363" s="103"/>
      <c r="AM363" s="103"/>
      <c r="AN363" s="103"/>
      <c r="AO363" s="38">
        <f>+Tabla1[[#This Row],[COS.B+E]]+Tabla1[[#This Row],[COS.F1]]+Tabla1[[#This Row],[COS.D1]]+Tabla1[[#This Row],[ALIMENTACION]]+Tabla1[[#This Row],[PRESTAMO]]+AN363</f>
        <v>44.32</v>
      </c>
      <c r="AP363" s="38" t="e">
        <f>+#REF!+Tabla1[[#This Row],[COS F2]]+Tabla1[[#This Row],[COS D2]]+Tabla1[[#This Row],[ALIMENTACION]]+Tabla1[[#This Row],[PRESTAMO]]+Tabla1[[#This Row],[PASAJES]]</f>
        <v>#REF!</v>
      </c>
    </row>
    <row r="364" spans="1:44" x14ac:dyDescent="0.25">
      <c r="A364" s="2" t="str">
        <f>TEXT(Tabla1[[#This Row],[FECHA ]],"DDDDD")</f>
        <v>jueves</v>
      </c>
      <c r="B364" s="2" t="str">
        <f>_xlfn.IFNA(VLOOKUP(Tabla1[[#This Row],[DESTINO]],RUBRO!$Q$1:$R$9996,2,FALSE)," ")</f>
        <v>OBRA</v>
      </c>
      <c r="C364" s="104">
        <f>WEEKNUM(Tabla1[[#This Row],[FECHA ]],2)</f>
        <v>20</v>
      </c>
      <c r="D364" s="104" t="str">
        <f>TEXT(Tabla1[[#This Row],[FECHA ]],"MMM-YY")</f>
        <v>may-YY</v>
      </c>
      <c r="E364" s="104" t="str">
        <f>VLOOKUP(Tabla1[[#This Row],[DNI ]],RUBRO!$F$1:$O$9996,7,FALSE)</f>
        <v>5ta</v>
      </c>
      <c r="F364" s="104" t="e">
        <f>VLOOKUP(Tabla1[[#This Row],[DNI ]],RUBRO!$F$1:$O$88,3,FALSE)</f>
        <v>#N/A</v>
      </c>
      <c r="G364" s="104" t="str">
        <f>VLOOKUP(Tabla1[[#This Row],[DNI ]],RUBRO!$F$1:$O$9996,5,FALSE)</f>
        <v>AYUDANTE DE PRODUCCION</v>
      </c>
      <c r="H364" s="66" t="str">
        <f>VLOOKUP(Tabla1[[#This Row],[DNI ]],RUBRO!$F$1:$O$9996,6,FALSE)</f>
        <v>DIAZ CABREJOS KELVIN</v>
      </c>
      <c r="I364" s="94">
        <v>44329</v>
      </c>
      <c r="J364" s="10">
        <v>2</v>
      </c>
      <c r="K364" s="2">
        <v>75809362</v>
      </c>
      <c r="L364" s="4">
        <f>VLOOKUP(Tabla1[[#This Row],[DNI ]],RUBRO!$F$2:$O$9996,8,FALSE)</f>
        <v>65</v>
      </c>
      <c r="M364" s="88">
        <v>0.29166666666666669</v>
      </c>
      <c r="N364" s="28">
        <v>0.54166666666666663</v>
      </c>
      <c r="O364" s="28">
        <v>0.58333333333333337</v>
      </c>
      <c r="P364" s="28">
        <v>0.79166666666666663</v>
      </c>
      <c r="Q364" s="31">
        <f>(Tabla1[[#This Row],[SALIDA]]-Tabla1[[#This Row],[FIN ]])+(Tabla1[[#This Row],[INICIO]]-Tabla1[[#This Row],[INGRESO]])</f>
        <v>0.4583333333333332</v>
      </c>
      <c r="R364" s="13">
        <f t="shared" si="16"/>
        <v>0.33333333333333331</v>
      </c>
      <c r="S364" s="31">
        <f t="shared" si="17"/>
        <v>0.12499999999999989</v>
      </c>
      <c r="T364" s="136"/>
      <c r="U364" s="136"/>
      <c r="V364" s="137">
        <f>(Tabla1[[#This Row],[COS.BASE 3]]*0.25+Tabla1[[#This Row],[COS.BASE 3]])*Tabla1[[#This Row],[HORAS 25 % ]]</f>
        <v>0</v>
      </c>
      <c r="W364" s="138">
        <f>(Tabla1[[#This Row],[COS.BASE 3]]*0.35+Tabla1[[#This Row],[COS.BASE 3]])*Tabla1[[#This Row],[HORAS 35% ]]</f>
        <v>0</v>
      </c>
      <c r="X364" s="138">
        <f>SUM(Tabla1[[#This Row],[C.HORA.35]],Tabla1[[#This Row],[C.HORA.25]])</f>
        <v>0</v>
      </c>
      <c r="Y364" s="4"/>
      <c r="Z364" s="10">
        <f>Tabla1[[#This Row],[T.HORAS]]*24</f>
        <v>10.999999999999996</v>
      </c>
      <c r="AA364" s="4">
        <f>Tabla1[[#This Row],[H.NORMALES]]*24</f>
        <v>8</v>
      </c>
      <c r="AB364" s="10">
        <f>Tabla1[[#This Row],[H.EXTRAS]]*24</f>
        <v>2.9999999999999973</v>
      </c>
      <c r="AC364" s="105">
        <f t="shared" si="18"/>
        <v>65</v>
      </c>
      <c r="AD364" s="120">
        <f>Tabla1[[#This Row],[COS.BASE 2]]/8</f>
        <v>8.125</v>
      </c>
      <c r="AE364" s="105">
        <f>Tabla1[[#This Row],[CST_H_E]]+Tabla1[[#This Row],[COS.BASE 2]]</f>
        <v>65</v>
      </c>
      <c r="AF364" s="106">
        <f>+_xlfn.IFNA(INDEX(RUBRO!$W$2:$AA$732,MATCH(Tabla1[[#This Row],[FECHA ]],RUBRO!$W$2:$W$732,0),5)," ")</f>
        <v>0</v>
      </c>
      <c r="AG364" s="10">
        <f>+_xlfn.IFNA(INDEX(RUBRO!$W$2:$AA$732,MATCH(Tabla1[[#This Row],[FECHA ]],RUBRO!$W$2:$W$732,0),2)," ")</f>
        <v>0</v>
      </c>
      <c r="AH364" s="40">
        <f>IFERROR(Tabla1[[#This Row],[F]]*Tabla1[[#This Row],[COS.B+E]]," ")</f>
        <v>0</v>
      </c>
      <c r="AI364" s="40">
        <f>IFERROR(Tabla1[[#This Row],[COS.B+E]]*Tabla1[[#This Row],[D]]," ")</f>
        <v>0</v>
      </c>
      <c r="AJ364" s="40" t="str">
        <f>IFERROR(Tabla1[[#This Row],[F]]*#REF!," ")</f>
        <v xml:space="preserve"> </v>
      </c>
      <c r="AK364" s="40" t="str">
        <f>IFERROR(#REF!*Tabla1[[#This Row],[D]]," ")</f>
        <v xml:space="preserve"> </v>
      </c>
      <c r="AL364" s="103"/>
      <c r="AM364" s="103"/>
      <c r="AN364" s="103"/>
      <c r="AO364" s="38">
        <f>+Tabla1[[#This Row],[COS.B+E]]+Tabla1[[#This Row],[COS.F1]]+Tabla1[[#This Row],[COS.D1]]+Tabla1[[#This Row],[ALIMENTACION]]+Tabla1[[#This Row],[PRESTAMO]]+AN364</f>
        <v>65</v>
      </c>
      <c r="AP364" s="38" t="e">
        <f>+#REF!+Tabla1[[#This Row],[COS F2]]+Tabla1[[#This Row],[COS D2]]+Tabla1[[#This Row],[ALIMENTACION]]+Tabla1[[#This Row],[PRESTAMO]]+Tabla1[[#This Row],[PASAJES]]</f>
        <v>#REF!</v>
      </c>
    </row>
    <row r="365" spans="1:44" x14ac:dyDescent="0.25">
      <c r="A365" s="2" t="str">
        <f>TEXT(Tabla1[[#This Row],[FECHA ]],"DDDDD")</f>
        <v>jueves</v>
      </c>
      <c r="B365" s="2" t="str">
        <f>_xlfn.IFNA(VLOOKUP(Tabla1[[#This Row],[DESTINO]],RUBRO!$Q$1:$R$9996,2,FALSE)," ")</f>
        <v>PLANTA</v>
      </c>
      <c r="C365" s="104">
        <f>WEEKNUM(Tabla1[[#This Row],[FECHA ]],2)</f>
        <v>20</v>
      </c>
      <c r="D365" s="104" t="str">
        <f>TEXT(Tabla1[[#This Row],[FECHA ]],"MMM-YY")</f>
        <v>may-YY</v>
      </c>
      <c r="E365" s="104" t="str">
        <f>VLOOKUP(Tabla1[[#This Row],[DNI ]],RUBRO!$F$1:$O$9996,7,FALSE)</f>
        <v>4ta</v>
      </c>
      <c r="F365" s="104" t="str">
        <f>VLOOKUP(Tabla1[[#This Row],[DNI ]],RUBRO!$F$1:$O$88,3,FALSE)</f>
        <v>OPE-01</v>
      </c>
      <c r="G365" s="104" t="str">
        <f>VLOOKUP(Tabla1[[#This Row],[DNI ]],RUBRO!$F$1:$O$9996,5,FALSE)</f>
        <v>OPERARIO SOLDADOR</v>
      </c>
      <c r="H365" s="66" t="str">
        <f>VLOOKUP(Tabla1[[#This Row],[DNI ]],RUBRO!$F$1:$O$9996,6,FALSE)</f>
        <v>ENRIQUEZ GONZALES MIGUEL ANGEL</v>
      </c>
      <c r="I365" s="94">
        <v>44329</v>
      </c>
      <c r="J365" s="10">
        <v>1</v>
      </c>
      <c r="K365" s="2">
        <v>42558469</v>
      </c>
      <c r="L365" s="4">
        <f>VLOOKUP(Tabla1[[#This Row],[DNI ]],RUBRO!$F$2:$O$9996,8,FALSE)</f>
        <v>60</v>
      </c>
      <c r="M365" s="88">
        <v>0.29166666666666669</v>
      </c>
      <c r="N365" s="28">
        <v>0.54166666666666663</v>
      </c>
      <c r="O365" s="28">
        <v>0.58333333333333337</v>
      </c>
      <c r="P365" s="28">
        <v>0.75</v>
      </c>
      <c r="Q365" s="31">
        <f>(Tabla1[[#This Row],[SALIDA]]-Tabla1[[#This Row],[FIN ]])+(Tabla1[[#This Row],[INICIO]]-Tabla1[[#This Row],[INGRESO]])</f>
        <v>0.41666666666666657</v>
      </c>
      <c r="R365" s="13">
        <f t="shared" si="16"/>
        <v>0.375</v>
      </c>
      <c r="S365" s="31">
        <f t="shared" si="17"/>
        <v>4.1666666666666574E-2</v>
      </c>
      <c r="T365" s="136"/>
      <c r="U365" s="136"/>
      <c r="V365" s="137">
        <f>(Tabla1[[#This Row],[COS.BASE 3]]*0.25+Tabla1[[#This Row],[COS.BASE 3]])*Tabla1[[#This Row],[HORAS 25 % ]]</f>
        <v>0</v>
      </c>
      <c r="W365" s="138">
        <f>(Tabla1[[#This Row],[COS.BASE 3]]*0.35+Tabla1[[#This Row],[COS.BASE 3]])*Tabla1[[#This Row],[HORAS 35% ]]</f>
        <v>0</v>
      </c>
      <c r="X365" s="138">
        <f>SUM(Tabla1[[#This Row],[C.HORA.35]],Tabla1[[#This Row],[C.HORA.25]])</f>
        <v>0</v>
      </c>
      <c r="Y365" s="4"/>
      <c r="Z365" s="10">
        <f>Tabla1[[#This Row],[T.HORAS]]*24</f>
        <v>9.9999999999999982</v>
      </c>
      <c r="AA365" s="4">
        <f>Tabla1[[#This Row],[H.NORMALES]]*24</f>
        <v>9</v>
      </c>
      <c r="AB365" s="10">
        <f>Tabla1[[#This Row],[H.EXTRAS]]*24</f>
        <v>0.99999999999999778</v>
      </c>
      <c r="AC365" s="105">
        <f t="shared" si="18"/>
        <v>60</v>
      </c>
      <c r="AD365" s="120">
        <f>Tabla1[[#This Row],[COS.BASE 2]]/8</f>
        <v>7.5</v>
      </c>
      <c r="AE365" s="105">
        <f>Tabla1[[#This Row],[CST_H_E]]+Tabla1[[#This Row],[COS.BASE 2]]</f>
        <v>60</v>
      </c>
      <c r="AF365" s="106">
        <f>+_xlfn.IFNA(INDEX(RUBRO!$W$2:$AA$732,MATCH(Tabla1[[#This Row],[FECHA ]],RUBRO!$W$2:$W$732,0),5)," ")</f>
        <v>0</v>
      </c>
      <c r="AG365" s="10">
        <f>+_xlfn.IFNA(INDEX(RUBRO!$W$2:$AA$732,MATCH(Tabla1[[#This Row],[FECHA ]],RUBRO!$W$2:$W$732,0),2)," ")</f>
        <v>0</v>
      </c>
      <c r="AH365" s="40">
        <f>IFERROR(Tabla1[[#This Row],[F]]*Tabla1[[#This Row],[COS.B+E]]," ")</f>
        <v>0</v>
      </c>
      <c r="AI365" s="40">
        <f>IFERROR(Tabla1[[#This Row],[COS.B+E]]*Tabla1[[#This Row],[D]]," ")</f>
        <v>0</v>
      </c>
      <c r="AJ365" s="40" t="str">
        <f>IFERROR(Tabla1[[#This Row],[F]]*#REF!," ")</f>
        <v xml:space="preserve"> </v>
      </c>
      <c r="AK365" s="40" t="str">
        <f>IFERROR(#REF!*Tabla1[[#This Row],[D]]," ")</f>
        <v xml:space="preserve"> </v>
      </c>
      <c r="AL365" s="103"/>
      <c r="AM365" s="103"/>
      <c r="AN365" s="103"/>
      <c r="AO365" s="38">
        <f>+Tabla1[[#This Row],[COS.B+E]]+Tabla1[[#This Row],[COS.F1]]+Tabla1[[#This Row],[COS.D1]]+Tabla1[[#This Row],[ALIMENTACION]]+Tabla1[[#This Row],[PRESTAMO]]+AN365</f>
        <v>60</v>
      </c>
      <c r="AP365" s="38" t="e">
        <f>+#REF!+Tabla1[[#This Row],[COS F2]]+Tabla1[[#This Row],[COS D2]]+Tabla1[[#This Row],[ALIMENTACION]]+Tabla1[[#This Row],[PRESTAMO]]+Tabla1[[#This Row],[PASAJES]]</f>
        <v>#REF!</v>
      </c>
    </row>
    <row r="366" spans="1:44" x14ac:dyDescent="0.25">
      <c r="A366" s="2" t="str">
        <f>TEXT(Tabla1[[#This Row],[FECHA ]],"DDDDD")</f>
        <v>jueves</v>
      </c>
      <c r="B366" s="2" t="str">
        <f>_xlfn.IFNA(VLOOKUP(Tabla1[[#This Row],[DESTINO]],RUBRO!$Q$1:$R$9996,2,FALSE)," ")</f>
        <v>PLANTA</v>
      </c>
      <c r="C366" s="104">
        <f>WEEKNUM(Tabla1[[#This Row],[FECHA ]],2)</f>
        <v>20</v>
      </c>
      <c r="D366" s="104" t="str">
        <f>TEXT(Tabla1[[#This Row],[FECHA ]],"MMM-YY")</f>
        <v>may-YY</v>
      </c>
      <c r="E366" s="104" t="str">
        <f>VLOOKUP(Tabla1[[#This Row],[DNI ]],RUBRO!$F$1:$O$9996,7,FALSE)</f>
        <v>5ta</v>
      </c>
      <c r="F366" s="104" t="str">
        <f>VLOOKUP(Tabla1[[#This Row],[DNI ]],RUBRO!$F$1:$O$88,3,FALSE)</f>
        <v>MAE-02</v>
      </c>
      <c r="G366" s="104" t="str">
        <f>VLOOKUP(Tabla1[[#This Row],[DNI ]],RUBRO!$F$1:$O$9996,5,FALSE)</f>
        <v>MAESTRO MECANICO MONTAJISTA DE MAQUINARIA</v>
      </c>
      <c r="H366" s="66" t="str">
        <f>VLOOKUP(Tabla1[[#This Row],[DNI ]],RUBRO!$F$1:$O$9996,6,FALSE)</f>
        <v>GRAUS JUAREZ MIGUEL RICARDO</v>
      </c>
      <c r="I366" s="94">
        <v>44329</v>
      </c>
      <c r="J366" s="10">
        <v>1</v>
      </c>
      <c r="K366" s="2">
        <v>48046568</v>
      </c>
      <c r="L366" s="4">
        <f>VLOOKUP(Tabla1[[#This Row],[DNI ]],RUBRO!$F$2:$O$9996,8,FALSE)</f>
        <v>68.150000000000006</v>
      </c>
      <c r="M366" s="88">
        <v>0.29166666666666669</v>
      </c>
      <c r="N366" s="28">
        <v>0.54166666666666663</v>
      </c>
      <c r="O366" s="28">
        <v>0.58333333333333337</v>
      </c>
      <c r="P366" s="28">
        <v>0.70833333333333337</v>
      </c>
      <c r="Q366" s="31">
        <f>(Tabla1[[#This Row],[SALIDA]]-Tabla1[[#This Row],[FIN ]])+(Tabla1[[#This Row],[INICIO]]-Tabla1[[#This Row],[INGRESO]])</f>
        <v>0.37499999999999994</v>
      </c>
      <c r="R366" s="13">
        <f t="shared" si="16"/>
        <v>0.37499999999999994</v>
      </c>
      <c r="S366" s="31">
        <f t="shared" si="17"/>
        <v>0</v>
      </c>
      <c r="T366" s="136"/>
      <c r="U366" s="136"/>
      <c r="V366" s="137">
        <f>(Tabla1[[#This Row],[COS.BASE 3]]*0.25+Tabla1[[#This Row],[COS.BASE 3]])*Tabla1[[#This Row],[HORAS 25 % ]]</f>
        <v>0</v>
      </c>
      <c r="W366" s="138">
        <f>(Tabla1[[#This Row],[COS.BASE 3]]*0.35+Tabla1[[#This Row],[COS.BASE 3]])*Tabla1[[#This Row],[HORAS 35% ]]</f>
        <v>0</v>
      </c>
      <c r="X366" s="138">
        <f>SUM(Tabla1[[#This Row],[C.HORA.35]],Tabla1[[#This Row],[C.HORA.25]])</f>
        <v>0</v>
      </c>
      <c r="Y366" s="4"/>
      <c r="Z366" s="10">
        <f>Tabla1[[#This Row],[T.HORAS]]*24</f>
        <v>8.9999999999999982</v>
      </c>
      <c r="AA366" s="4">
        <f>Tabla1[[#This Row],[H.NORMALES]]*24</f>
        <v>8.9999999999999982</v>
      </c>
      <c r="AB366" s="10">
        <f>Tabla1[[#This Row],[H.EXTRAS]]*24</f>
        <v>0</v>
      </c>
      <c r="AC366" s="105">
        <f t="shared" si="18"/>
        <v>68.149999999999991</v>
      </c>
      <c r="AD366" s="120">
        <f>Tabla1[[#This Row],[COS.BASE 2]]/8</f>
        <v>8.5187499999999989</v>
      </c>
      <c r="AE366" s="105">
        <f>Tabla1[[#This Row],[CST_H_E]]+Tabla1[[#This Row],[COS.BASE 2]]</f>
        <v>68.149999999999991</v>
      </c>
      <c r="AF366" s="106">
        <f>+_xlfn.IFNA(INDEX(RUBRO!$W$2:$AA$732,MATCH(Tabla1[[#This Row],[FECHA ]],RUBRO!$W$2:$W$732,0),5)," ")</f>
        <v>0</v>
      </c>
      <c r="AG366" s="10">
        <f>+_xlfn.IFNA(INDEX(RUBRO!$W$2:$AA$732,MATCH(Tabla1[[#This Row],[FECHA ]],RUBRO!$W$2:$W$732,0),2)," ")</f>
        <v>0</v>
      </c>
      <c r="AH366" s="40">
        <f>IFERROR(Tabla1[[#This Row],[F]]*Tabla1[[#This Row],[COS.B+E]]," ")</f>
        <v>0</v>
      </c>
      <c r="AI366" s="40">
        <f>IFERROR(Tabla1[[#This Row],[COS.B+E]]*Tabla1[[#This Row],[D]]," ")</f>
        <v>0</v>
      </c>
      <c r="AJ366" s="40" t="str">
        <f>IFERROR(Tabla1[[#This Row],[F]]*#REF!," ")</f>
        <v xml:space="preserve"> </v>
      </c>
      <c r="AK366" s="40" t="str">
        <f>IFERROR(#REF!*Tabla1[[#This Row],[D]]," ")</f>
        <v xml:space="preserve"> </v>
      </c>
      <c r="AL366" s="103"/>
      <c r="AM366" s="103"/>
      <c r="AN366" s="103"/>
      <c r="AO366" s="38">
        <f>+Tabla1[[#This Row],[COS.B+E]]+Tabla1[[#This Row],[COS.F1]]+Tabla1[[#This Row],[COS.D1]]+Tabla1[[#This Row],[ALIMENTACION]]+Tabla1[[#This Row],[PRESTAMO]]+AN366</f>
        <v>68.149999999999991</v>
      </c>
      <c r="AP366" s="38" t="e">
        <f>+#REF!+Tabla1[[#This Row],[COS F2]]+Tabla1[[#This Row],[COS D2]]+Tabla1[[#This Row],[ALIMENTACION]]+Tabla1[[#This Row],[PRESTAMO]]+Tabla1[[#This Row],[PASAJES]]</f>
        <v>#REF!</v>
      </c>
    </row>
    <row r="367" spans="1:44" x14ac:dyDescent="0.25">
      <c r="A367" s="2" t="str">
        <f>TEXT(Tabla1[[#This Row],[FECHA ]],"DDDDD")</f>
        <v>jueves</v>
      </c>
      <c r="B367" s="2" t="str">
        <f>_xlfn.IFNA(VLOOKUP(Tabla1[[#This Row],[DESTINO]],RUBRO!$Q$1:$R$9996,2,FALSE)," ")</f>
        <v>FALTA</v>
      </c>
      <c r="C367" s="104">
        <f>WEEKNUM(Tabla1[[#This Row],[FECHA ]],2)</f>
        <v>20</v>
      </c>
      <c r="D367" s="104" t="str">
        <f>TEXT(Tabla1[[#This Row],[FECHA ]],"MMM-YY")</f>
        <v>may-YY</v>
      </c>
      <c r="E367" s="104" t="str">
        <f>VLOOKUP(Tabla1[[#This Row],[DNI ]],RUBRO!$F$1:$O$9996,7,FALSE)</f>
        <v>5ta</v>
      </c>
      <c r="F367" s="104" t="e">
        <f>VLOOKUP(Tabla1[[#This Row],[DNI ]],RUBRO!$F$1:$O$88,3,FALSE)</f>
        <v>#N/A</v>
      </c>
      <c r="G367" s="104" t="str">
        <f>VLOOKUP(Tabla1[[#This Row],[DNI ]],RUBRO!$F$1:$O$9996,5,FALSE)</f>
        <v>AYUDANTE DE PRODUCCION</v>
      </c>
      <c r="H367" s="66" t="str">
        <f>VLOOKUP(Tabla1[[#This Row],[DNI ]],RUBRO!$F$1:$O$9996,6,FALSE)</f>
        <v>GUERRERO CORDOVA ISMAEL</v>
      </c>
      <c r="I367" s="94">
        <v>44329</v>
      </c>
      <c r="J367" s="10">
        <v>4</v>
      </c>
      <c r="K367" s="2">
        <v>75790434</v>
      </c>
      <c r="L367" s="4">
        <f>VLOOKUP(Tabla1[[#This Row],[DNI ]],RUBRO!$F$2:$O$9996,8,FALSE)</f>
        <v>35.81</v>
      </c>
      <c r="M367" s="88"/>
      <c r="N367" s="28"/>
      <c r="P367" s="28"/>
      <c r="Q367" s="31">
        <f>(Tabla1[[#This Row],[SALIDA]]-Tabla1[[#This Row],[FIN ]])+(Tabla1[[#This Row],[INICIO]]-Tabla1[[#This Row],[INGRESO]])</f>
        <v>0</v>
      </c>
      <c r="R367" s="13">
        <f t="shared" si="16"/>
        <v>0</v>
      </c>
      <c r="S367" s="31">
        <f t="shared" si="17"/>
        <v>0</v>
      </c>
      <c r="T367" s="136"/>
      <c r="U367" s="136"/>
      <c r="V367" s="137">
        <f>(Tabla1[[#This Row],[COS.BASE 3]]*0.25+Tabla1[[#This Row],[COS.BASE 3]])*Tabla1[[#This Row],[HORAS 25 % ]]</f>
        <v>0</v>
      </c>
      <c r="W367" s="138">
        <f>(Tabla1[[#This Row],[COS.BASE 3]]*0.35+Tabla1[[#This Row],[COS.BASE 3]])*Tabla1[[#This Row],[HORAS 35% ]]</f>
        <v>0</v>
      </c>
      <c r="X367" s="138">
        <f>SUM(Tabla1[[#This Row],[C.HORA.35]],Tabla1[[#This Row],[C.HORA.25]])</f>
        <v>0</v>
      </c>
      <c r="Y367" s="4"/>
      <c r="Z367" s="10">
        <f>Tabla1[[#This Row],[T.HORAS]]*24</f>
        <v>0</v>
      </c>
      <c r="AA367" s="4">
        <f>Tabla1[[#This Row],[H.NORMALES]]*24</f>
        <v>0</v>
      </c>
      <c r="AB367" s="10">
        <f>Tabla1[[#This Row],[H.EXTRAS]]*24</f>
        <v>0</v>
      </c>
      <c r="AC367" s="105">
        <f t="shared" si="18"/>
        <v>0</v>
      </c>
      <c r="AD367" s="120">
        <f>Tabla1[[#This Row],[COS.BASE 2]]/8</f>
        <v>0</v>
      </c>
      <c r="AE367" s="105">
        <f>Tabla1[[#This Row],[CST_H_E]]+Tabla1[[#This Row],[COS.BASE 2]]</f>
        <v>0</v>
      </c>
      <c r="AF367" s="106">
        <f>+_xlfn.IFNA(INDEX(RUBRO!$W$2:$AA$732,MATCH(Tabla1[[#This Row],[FECHA ]],RUBRO!$W$2:$W$732,0),5)," ")</f>
        <v>0</v>
      </c>
      <c r="AG367" s="10">
        <f>+_xlfn.IFNA(INDEX(RUBRO!$W$2:$AA$732,MATCH(Tabla1[[#This Row],[FECHA ]],RUBRO!$W$2:$W$732,0),2)," ")</f>
        <v>0</v>
      </c>
      <c r="AH367" s="40">
        <f>IFERROR(Tabla1[[#This Row],[F]]*Tabla1[[#This Row],[COS.B+E]]," ")</f>
        <v>0</v>
      </c>
      <c r="AI367" s="40">
        <f>IFERROR(Tabla1[[#This Row],[COS.B+E]]*Tabla1[[#This Row],[D]]," ")</f>
        <v>0</v>
      </c>
      <c r="AJ367" s="40" t="str">
        <f>IFERROR(Tabla1[[#This Row],[F]]*#REF!," ")</f>
        <v xml:space="preserve"> </v>
      </c>
      <c r="AK367" s="40" t="str">
        <f>IFERROR(#REF!*Tabla1[[#This Row],[D]]," ")</f>
        <v xml:space="preserve"> </v>
      </c>
      <c r="AL367" s="103"/>
      <c r="AM367" s="103"/>
      <c r="AN367" s="103"/>
      <c r="AO367" s="38">
        <f>+Tabla1[[#This Row],[COS.B+E]]+Tabla1[[#This Row],[COS.F1]]+Tabla1[[#This Row],[COS.D1]]+Tabla1[[#This Row],[ALIMENTACION]]+Tabla1[[#This Row],[PRESTAMO]]+AN367</f>
        <v>0</v>
      </c>
      <c r="AP367" s="38" t="e">
        <f>+#REF!+Tabla1[[#This Row],[COS F2]]+Tabla1[[#This Row],[COS D2]]+Tabla1[[#This Row],[ALIMENTACION]]+Tabla1[[#This Row],[PRESTAMO]]+Tabla1[[#This Row],[PASAJES]]</f>
        <v>#REF!</v>
      </c>
    </row>
    <row r="368" spans="1:44" x14ac:dyDescent="0.25">
      <c r="A368" s="2" t="str">
        <f>TEXT(Tabla1[[#This Row],[FECHA ]],"DDDDD")</f>
        <v>jueves</v>
      </c>
      <c r="B368" s="2" t="str">
        <f>_xlfn.IFNA(VLOOKUP(Tabla1[[#This Row],[DESTINO]],RUBRO!$Q$1:$R$9996,2,FALSE)," ")</f>
        <v>PLANTA</v>
      </c>
      <c r="C368" s="104">
        <f>WEEKNUM(Tabla1[[#This Row],[FECHA ]],2)</f>
        <v>20</v>
      </c>
      <c r="D368" s="104" t="str">
        <f>TEXT(Tabla1[[#This Row],[FECHA ]],"MMM-YY")</f>
        <v>may-YY</v>
      </c>
      <c r="E368" s="104" t="str">
        <f>VLOOKUP(Tabla1[[#This Row],[DNI ]],RUBRO!$F$1:$O$9996,7,FALSE)</f>
        <v>4ta</v>
      </c>
      <c r="F368" s="104" t="str">
        <f>VLOOKUP(Tabla1[[#This Row],[DNI ]],RUBRO!$F$1:$O$88,3,FALSE)</f>
        <v>TEC-01</v>
      </c>
      <c r="G368" s="104" t="str">
        <f>VLOOKUP(Tabla1[[#This Row],[DNI ]],RUBRO!$F$1:$O$9996,5,FALSE)</f>
        <v>TECNICO SOLDADOR</v>
      </c>
      <c r="H368" s="66" t="str">
        <f>VLOOKUP(Tabla1[[#This Row],[DNI ]],RUBRO!$F$1:$O$9996,6,FALSE)</f>
        <v>GUEVARA PACHERREZ ERICK DANIEL</v>
      </c>
      <c r="I368" s="94">
        <v>44329</v>
      </c>
      <c r="J368" s="10">
        <v>1</v>
      </c>
      <c r="K368" s="2">
        <v>45545014</v>
      </c>
      <c r="L368" s="4">
        <f>VLOOKUP(Tabla1[[#This Row],[DNI ]],RUBRO!$F$2:$O$9996,8,FALSE)</f>
        <v>60</v>
      </c>
      <c r="M368" s="88">
        <v>0.29166666666666669</v>
      </c>
      <c r="N368" s="28">
        <v>0.54166666666666663</v>
      </c>
      <c r="O368" s="28">
        <v>0.58333333333333337</v>
      </c>
      <c r="P368" s="28">
        <v>0.79166666666666663</v>
      </c>
      <c r="Q368" s="31">
        <f>(Tabla1[[#This Row],[SALIDA]]-Tabla1[[#This Row],[FIN ]])+(Tabla1[[#This Row],[INICIO]]-Tabla1[[#This Row],[INGRESO]])</f>
        <v>0.4583333333333332</v>
      </c>
      <c r="R368" s="13">
        <f t="shared" si="16"/>
        <v>0.375</v>
      </c>
      <c r="S368" s="31">
        <f t="shared" si="17"/>
        <v>8.3333333333333204E-2</v>
      </c>
      <c r="T368" s="136"/>
      <c r="U368" s="136"/>
      <c r="V368" s="137">
        <f>(Tabla1[[#This Row],[COS.BASE 3]]*0.25+Tabla1[[#This Row],[COS.BASE 3]])*Tabla1[[#This Row],[HORAS 25 % ]]</f>
        <v>0</v>
      </c>
      <c r="W368" s="138">
        <f>(Tabla1[[#This Row],[COS.BASE 3]]*0.35+Tabla1[[#This Row],[COS.BASE 3]])*Tabla1[[#This Row],[HORAS 35% ]]</f>
        <v>0</v>
      </c>
      <c r="X368" s="138">
        <f>SUM(Tabla1[[#This Row],[C.HORA.35]],Tabla1[[#This Row],[C.HORA.25]])</f>
        <v>0</v>
      </c>
      <c r="Y368" s="4"/>
      <c r="Z368" s="10">
        <f>Tabla1[[#This Row],[T.HORAS]]*24</f>
        <v>10.999999999999996</v>
      </c>
      <c r="AA368" s="4">
        <f>Tabla1[[#This Row],[H.NORMALES]]*24</f>
        <v>9</v>
      </c>
      <c r="AB368" s="10">
        <f>Tabla1[[#This Row],[H.EXTRAS]]*24</f>
        <v>1.9999999999999969</v>
      </c>
      <c r="AC368" s="105">
        <f t="shared" si="18"/>
        <v>60</v>
      </c>
      <c r="AD368" s="120">
        <f>Tabla1[[#This Row],[COS.BASE 2]]/8</f>
        <v>7.5</v>
      </c>
      <c r="AE368" s="105">
        <f>Tabla1[[#This Row],[CST_H_E]]+Tabla1[[#This Row],[COS.BASE 2]]</f>
        <v>60</v>
      </c>
      <c r="AF368" s="106">
        <f>+_xlfn.IFNA(INDEX(RUBRO!$W$2:$AA$732,MATCH(Tabla1[[#This Row],[FECHA ]],RUBRO!$W$2:$W$732,0),5)," ")</f>
        <v>0</v>
      </c>
      <c r="AG368" s="10">
        <f>+_xlfn.IFNA(INDEX(RUBRO!$W$2:$AA$732,MATCH(Tabla1[[#This Row],[FECHA ]],RUBRO!$W$2:$W$732,0),2)," ")</f>
        <v>0</v>
      </c>
      <c r="AH368" s="40">
        <f>IFERROR(Tabla1[[#This Row],[F]]*Tabla1[[#This Row],[COS.B+E]]," ")</f>
        <v>0</v>
      </c>
      <c r="AI368" s="40">
        <f>IFERROR(Tabla1[[#This Row],[COS.B+E]]*Tabla1[[#This Row],[D]]," ")</f>
        <v>0</v>
      </c>
      <c r="AJ368" s="40" t="str">
        <f>IFERROR(Tabla1[[#This Row],[F]]*#REF!," ")</f>
        <v xml:space="preserve"> </v>
      </c>
      <c r="AK368" s="40" t="str">
        <f>IFERROR(#REF!*Tabla1[[#This Row],[D]]," ")</f>
        <v xml:space="preserve"> </v>
      </c>
      <c r="AL368" s="103"/>
      <c r="AM368" s="103"/>
      <c r="AN368" s="103"/>
      <c r="AO368" s="38">
        <f>+Tabla1[[#This Row],[COS.B+E]]+Tabla1[[#This Row],[COS.F1]]+Tabla1[[#This Row],[COS.D1]]+Tabla1[[#This Row],[ALIMENTACION]]+Tabla1[[#This Row],[PRESTAMO]]+AN368</f>
        <v>60</v>
      </c>
      <c r="AP368" s="38" t="e">
        <f>+#REF!+Tabla1[[#This Row],[COS F2]]+Tabla1[[#This Row],[COS D2]]+Tabla1[[#This Row],[ALIMENTACION]]+Tabla1[[#This Row],[PRESTAMO]]+Tabla1[[#This Row],[PASAJES]]</f>
        <v>#REF!</v>
      </c>
    </row>
    <row r="369" spans="1:44" x14ac:dyDescent="0.25">
      <c r="A369" s="2" t="str">
        <f>TEXT(Tabla1[[#This Row],[FECHA ]],"DDDDD")</f>
        <v>jueves</v>
      </c>
      <c r="B369" s="2" t="str">
        <f>_xlfn.IFNA(VLOOKUP(Tabla1[[#This Row],[DESTINO]],RUBRO!$Q$1:$R$9996,2,FALSE)," ")</f>
        <v>OBRA</v>
      </c>
      <c r="C369" s="104">
        <f>WEEKNUM(Tabla1[[#This Row],[FECHA ]],2)</f>
        <v>20</v>
      </c>
      <c r="D369" s="104" t="str">
        <f>TEXT(Tabla1[[#This Row],[FECHA ]],"MMM-YY")</f>
        <v>may-YY</v>
      </c>
      <c r="E369" s="104" t="str">
        <f>VLOOKUP(Tabla1[[#This Row],[DNI ]],RUBRO!$F$1:$O$9996,7,FALSE)</f>
        <v>5ta</v>
      </c>
      <c r="F369" s="104" t="str">
        <f>VLOOKUP(Tabla1[[#This Row],[DNI ]],RUBRO!$F$1:$O$88,3,FALSE)</f>
        <v>X6</v>
      </c>
      <c r="G369" s="104" t="str">
        <f>VLOOKUP(Tabla1[[#This Row],[DNI ]],RUBRO!$F$1:$O$9996,5,FALSE)</f>
        <v>SUPERVISOR DE MONTAJE Y DESMONTAJE</v>
      </c>
      <c r="H369" s="66" t="str">
        <f>VLOOKUP(Tabla1[[#This Row],[DNI ]],RUBRO!$F$1:$O$9996,6,FALSE)</f>
        <v>HERRERA NAVARRO OSMER</v>
      </c>
      <c r="I369" s="94">
        <v>44329</v>
      </c>
      <c r="J369" s="10">
        <v>2</v>
      </c>
      <c r="K369" s="2">
        <v>45327555</v>
      </c>
      <c r="L369" s="4">
        <f>VLOOKUP(Tabla1[[#This Row],[DNI ]],RUBRO!$F$2:$O$9996,8,FALSE)</f>
        <v>62.31</v>
      </c>
      <c r="M369" s="88">
        <v>0.29166666666666669</v>
      </c>
      <c r="N369" s="28">
        <v>0.54166666666666663</v>
      </c>
      <c r="O369" s="28">
        <v>0.58333333333333337</v>
      </c>
      <c r="P369" s="28">
        <v>0.75</v>
      </c>
      <c r="Q369" s="31">
        <f>(Tabla1[[#This Row],[SALIDA]]-Tabla1[[#This Row],[FIN ]])+(Tabla1[[#This Row],[INICIO]]-Tabla1[[#This Row],[INGRESO]])</f>
        <v>0.41666666666666657</v>
      </c>
      <c r="R369" s="13">
        <f t="shared" si="16"/>
        <v>0.33333333333333331</v>
      </c>
      <c r="S369" s="31">
        <f t="shared" si="17"/>
        <v>8.3333333333333259E-2</v>
      </c>
      <c r="T369" s="136"/>
      <c r="U369" s="136"/>
      <c r="V369" s="137">
        <f>(Tabla1[[#This Row],[COS.BASE 3]]*0.25+Tabla1[[#This Row],[COS.BASE 3]])*Tabla1[[#This Row],[HORAS 25 % ]]</f>
        <v>0</v>
      </c>
      <c r="W369" s="138">
        <f>(Tabla1[[#This Row],[COS.BASE 3]]*0.35+Tabla1[[#This Row],[COS.BASE 3]])*Tabla1[[#This Row],[HORAS 35% ]]</f>
        <v>0</v>
      </c>
      <c r="X369" s="138">
        <f>SUM(Tabla1[[#This Row],[C.HORA.35]],Tabla1[[#This Row],[C.HORA.25]])</f>
        <v>0</v>
      </c>
      <c r="Y369" s="4"/>
      <c r="Z369" s="10">
        <f>Tabla1[[#This Row],[T.HORAS]]*24</f>
        <v>9.9999999999999982</v>
      </c>
      <c r="AA369" s="4">
        <f>Tabla1[[#This Row],[H.NORMALES]]*24</f>
        <v>8</v>
      </c>
      <c r="AB369" s="10">
        <f>Tabla1[[#This Row],[H.EXTRAS]]*24</f>
        <v>1.9999999999999982</v>
      </c>
      <c r="AC369" s="105">
        <f t="shared" si="18"/>
        <v>62.31</v>
      </c>
      <c r="AD369" s="120">
        <f>Tabla1[[#This Row],[COS.BASE 2]]/8</f>
        <v>7.7887500000000003</v>
      </c>
      <c r="AE369" s="105">
        <f>Tabla1[[#This Row],[CST_H_E]]+Tabla1[[#This Row],[COS.BASE 2]]</f>
        <v>62.31</v>
      </c>
      <c r="AF369" s="106">
        <f>+_xlfn.IFNA(INDEX(RUBRO!$W$2:$AA$732,MATCH(Tabla1[[#This Row],[FECHA ]],RUBRO!$W$2:$W$732,0),5)," ")</f>
        <v>0</v>
      </c>
      <c r="AG369" s="10">
        <f>+_xlfn.IFNA(INDEX(RUBRO!$W$2:$AA$732,MATCH(Tabla1[[#This Row],[FECHA ]],RUBRO!$W$2:$W$732,0),2)," ")</f>
        <v>0</v>
      </c>
      <c r="AH369" s="40">
        <f>IFERROR(Tabla1[[#This Row],[F]]*Tabla1[[#This Row],[COS.B+E]]," ")</f>
        <v>0</v>
      </c>
      <c r="AI369" s="40">
        <f>IFERROR(Tabla1[[#This Row],[COS.B+E]]*Tabla1[[#This Row],[D]]," ")</f>
        <v>0</v>
      </c>
      <c r="AJ369" s="40" t="str">
        <f>IFERROR(Tabla1[[#This Row],[F]]*#REF!," ")</f>
        <v xml:space="preserve"> </v>
      </c>
      <c r="AK369" s="40" t="str">
        <f>IFERROR(#REF!*Tabla1[[#This Row],[D]]," ")</f>
        <v xml:space="preserve"> </v>
      </c>
      <c r="AL369" s="103"/>
      <c r="AM369" s="103"/>
      <c r="AN369" s="103"/>
      <c r="AO369" s="38">
        <f>+Tabla1[[#This Row],[COS.B+E]]+Tabla1[[#This Row],[COS.F1]]+Tabla1[[#This Row],[COS.D1]]+Tabla1[[#This Row],[ALIMENTACION]]+Tabla1[[#This Row],[PRESTAMO]]+AN369</f>
        <v>62.31</v>
      </c>
      <c r="AP369" s="38" t="e">
        <f>+#REF!+Tabla1[[#This Row],[COS F2]]+Tabla1[[#This Row],[COS D2]]+Tabla1[[#This Row],[ALIMENTACION]]+Tabla1[[#This Row],[PRESTAMO]]+Tabla1[[#This Row],[PASAJES]]</f>
        <v>#REF!</v>
      </c>
    </row>
    <row r="370" spans="1:44" x14ac:dyDescent="0.25">
      <c r="A370" s="2" t="str">
        <f>TEXT(Tabla1[[#This Row],[FECHA ]],"DDDDD")</f>
        <v>jueves</v>
      </c>
      <c r="B370" s="2" t="str">
        <f>_xlfn.IFNA(VLOOKUP(Tabla1[[#This Row],[DESTINO]],RUBRO!$Q$1:$R$9996,2,FALSE)," ")</f>
        <v>PLANTA</v>
      </c>
      <c r="C370" s="104">
        <f>WEEKNUM(Tabla1[[#This Row],[FECHA ]],2)</f>
        <v>20</v>
      </c>
      <c r="D370" s="104" t="str">
        <f>TEXT(Tabla1[[#This Row],[FECHA ]],"MMM-YY")</f>
        <v>may-YY</v>
      </c>
      <c r="E370" s="104" t="str">
        <f>VLOOKUP(Tabla1[[#This Row],[DNI ]],RUBRO!$F$1:$O$9996,7,FALSE)</f>
        <v>5ta</v>
      </c>
      <c r="F370" s="104" t="str">
        <f>VLOOKUP(Tabla1[[#This Row],[DNI ]],RUBRO!$F$1:$O$88,3,FALSE)</f>
        <v>TEC-04</v>
      </c>
      <c r="G370" s="104" t="str">
        <f>VLOOKUP(Tabla1[[#This Row],[DNI ]],RUBRO!$F$1:$O$9996,5,FALSE)</f>
        <v>TECNICO MECANICO MONTAJISTA DE MAQUINARIA EXTRANJERA</v>
      </c>
      <c r="H370" s="66" t="str">
        <f>VLOOKUP(Tabla1[[#This Row],[DNI ]],RUBRO!$F$1:$O$9996,6,FALSE)</f>
        <v>IDROGO CHAVEZ EMANUEL</v>
      </c>
      <c r="I370" s="94">
        <v>44329</v>
      </c>
      <c r="J370" s="10">
        <v>1</v>
      </c>
      <c r="K370" s="2">
        <v>46228460</v>
      </c>
      <c r="L370" s="4">
        <f>VLOOKUP(Tabla1[[#This Row],[DNI ]],RUBRO!$F$2:$O$9996,8,FALSE)</f>
        <v>67.66</v>
      </c>
      <c r="M370" s="88">
        <v>0.29166666666666669</v>
      </c>
      <c r="N370" s="28">
        <v>0.54166666666666663</v>
      </c>
      <c r="O370" s="28">
        <v>0.58333333333333337</v>
      </c>
      <c r="P370" s="28">
        <v>0.75</v>
      </c>
      <c r="Q370" s="31">
        <f>(Tabla1[[#This Row],[SALIDA]]-Tabla1[[#This Row],[FIN ]])+(Tabla1[[#This Row],[INICIO]]-Tabla1[[#This Row],[INGRESO]])</f>
        <v>0.41666666666666657</v>
      </c>
      <c r="R370" s="13">
        <f t="shared" si="16"/>
        <v>0.375</v>
      </c>
      <c r="S370" s="31">
        <f t="shared" si="17"/>
        <v>4.1666666666666574E-2</v>
      </c>
      <c r="T370" s="136"/>
      <c r="U370" s="136"/>
      <c r="V370" s="137">
        <f>(Tabla1[[#This Row],[COS.BASE 3]]*0.25+Tabla1[[#This Row],[COS.BASE 3]])*Tabla1[[#This Row],[HORAS 25 % ]]</f>
        <v>0</v>
      </c>
      <c r="W370" s="138">
        <f>(Tabla1[[#This Row],[COS.BASE 3]]*0.35+Tabla1[[#This Row],[COS.BASE 3]])*Tabla1[[#This Row],[HORAS 35% ]]</f>
        <v>0</v>
      </c>
      <c r="X370" s="138">
        <f>SUM(Tabla1[[#This Row],[C.HORA.35]],Tabla1[[#This Row],[C.HORA.25]])</f>
        <v>0</v>
      </c>
      <c r="Y370" s="4"/>
      <c r="Z370" s="10">
        <f>Tabla1[[#This Row],[T.HORAS]]*24</f>
        <v>9.9999999999999982</v>
      </c>
      <c r="AA370" s="4">
        <f>Tabla1[[#This Row],[H.NORMALES]]*24</f>
        <v>9</v>
      </c>
      <c r="AB370" s="10">
        <f>Tabla1[[#This Row],[H.EXTRAS]]*24</f>
        <v>0.99999999999999778</v>
      </c>
      <c r="AC370" s="105">
        <f t="shared" si="18"/>
        <v>67.66</v>
      </c>
      <c r="AD370" s="120">
        <f>Tabla1[[#This Row],[COS.BASE 2]]/8</f>
        <v>8.4574999999999996</v>
      </c>
      <c r="AE370" s="105">
        <f>Tabla1[[#This Row],[CST_H_E]]+Tabla1[[#This Row],[COS.BASE 2]]</f>
        <v>67.66</v>
      </c>
      <c r="AF370" s="106">
        <f>+_xlfn.IFNA(INDEX(RUBRO!$W$2:$AA$732,MATCH(Tabla1[[#This Row],[FECHA ]],RUBRO!$W$2:$W$732,0),5)," ")</f>
        <v>0</v>
      </c>
      <c r="AG370" s="10">
        <f>+_xlfn.IFNA(INDEX(RUBRO!$W$2:$AA$732,MATCH(Tabla1[[#This Row],[FECHA ]],RUBRO!$W$2:$W$732,0),2)," ")</f>
        <v>0</v>
      </c>
      <c r="AH370" s="40">
        <f>IFERROR(Tabla1[[#This Row],[F]]*Tabla1[[#This Row],[COS.B+E]]," ")</f>
        <v>0</v>
      </c>
      <c r="AI370" s="40">
        <f>IFERROR(Tabla1[[#This Row],[COS.B+E]]*Tabla1[[#This Row],[D]]," ")</f>
        <v>0</v>
      </c>
      <c r="AJ370" s="40" t="str">
        <f>IFERROR(Tabla1[[#This Row],[F]]*#REF!," ")</f>
        <v xml:space="preserve"> </v>
      </c>
      <c r="AK370" s="40" t="str">
        <f>IFERROR(#REF!*Tabla1[[#This Row],[D]]," ")</f>
        <v xml:space="preserve"> </v>
      </c>
      <c r="AL370" s="103"/>
      <c r="AM370" s="103"/>
      <c r="AN370" s="103"/>
      <c r="AO370" s="38">
        <f>+Tabla1[[#This Row],[COS.B+E]]+Tabla1[[#This Row],[COS.F1]]+Tabla1[[#This Row],[COS.D1]]+Tabla1[[#This Row],[ALIMENTACION]]+Tabla1[[#This Row],[PRESTAMO]]+AN370</f>
        <v>67.66</v>
      </c>
      <c r="AP370" s="38" t="e">
        <f>+#REF!+Tabla1[[#This Row],[COS F2]]+Tabla1[[#This Row],[COS D2]]+Tabla1[[#This Row],[ALIMENTACION]]+Tabla1[[#This Row],[PRESTAMO]]+Tabla1[[#This Row],[PASAJES]]</f>
        <v>#REF!</v>
      </c>
    </row>
    <row r="371" spans="1:44" x14ac:dyDescent="0.25">
      <c r="A371" s="2" t="str">
        <f>TEXT(Tabla1[[#This Row],[FECHA ]],"DDDDD")</f>
        <v>jueves</v>
      </c>
      <c r="B371" s="2" t="str">
        <f>_xlfn.IFNA(VLOOKUP(Tabla1[[#This Row],[DESTINO]],RUBRO!$Q$1:$R$9996,2,FALSE)," ")</f>
        <v>OBRA</v>
      </c>
      <c r="C371" s="104">
        <f>WEEKNUM(Tabla1[[#This Row],[FECHA ]],2)</f>
        <v>20</v>
      </c>
      <c r="D371" s="104" t="str">
        <f>TEXT(Tabla1[[#This Row],[FECHA ]],"MMM-YY")</f>
        <v>may-YY</v>
      </c>
      <c r="E371" s="104" t="str">
        <f>VLOOKUP(Tabla1[[#This Row],[DNI ]],RUBRO!$F$1:$O$9996,7,FALSE)</f>
        <v>5ta</v>
      </c>
      <c r="F371" s="104" t="e">
        <f>VLOOKUP(Tabla1[[#This Row],[DNI ]],RUBRO!$F$1:$O$88,3,FALSE)</f>
        <v>#N/A</v>
      </c>
      <c r="G371" s="104" t="str">
        <f>VLOOKUP(Tabla1[[#This Row],[DNI ]],RUBRO!$F$1:$O$9996,5,FALSE)</f>
        <v>AYUDANTE DE PRODUCCION</v>
      </c>
      <c r="H371" s="66" t="str">
        <f>VLOOKUP(Tabla1[[#This Row],[DNI ]],RUBRO!$F$1:$O$9996,6,FALSE)</f>
        <v>JUNCO ORDOÑEZ SAMUEL</v>
      </c>
      <c r="I371" s="94">
        <v>44329</v>
      </c>
      <c r="J371" s="10">
        <v>2</v>
      </c>
      <c r="K371" s="2">
        <v>75913657</v>
      </c>
      <c r="L371" s="4">
        <f>VLOOKUP(Tabla1[[#This Row],[DNI ]],RUBRO!$F$2:$O$9996,8,FALSE)</f>
        <v>60</v>
      </c>
      <c r="M371" s="88">
        <v>0.29166666666666669</v>
      </c>
      <c r="N371" s="28">
        <v>0.54166666666666663</v>
      </c>
      <c r="O371" s="28">
        <v>0.58333333333333337</v>
      </c>
      <c r="P371" s="28">
        <v>0.75</v>
      </c>
      <c r="Q371" s="31">
        <f>(Tabla1[[#This Row],[SALIDA]]-Tabla1[[#This Row],[FIN ]])+(Tabla1[[#This Row],[INICIO]]-Tabla1[[#This Row],[INGRESO]])</f>
        <v>0.41666666666666657</v>
      </c>
      <c r="R371" s="13">
        <f t="shared" si="16"/>
        <v>0.33333333333333331</v>
      </c>
      <c r="S371" s="31">
        <f t="shared" si="17"/>
        <v>8.3333333333333259E-2</v>
      </c>
      <c r="T371" s="136"/>
      <c r="U371" s="136"/>
      <c r="V371" s="137">
        <f>(Tabla1[[#This Row],[COS.BASE 3]]*0.25+Tabla1[[#This Row],[COS.BASE 3]])*Tabla1[[#This Row],[HORAS 25 % ]]</f>
        <v>0</v>
      </c>
      <c r="W371" s="138">
        <f>(Tabla1[[#This Row],[COS.BASE 3]]*0.35+Tabla1[[#This Row],[COS.BASE 3]])*Tabla1[[#This Row],[HORAS 35% ]]</f>
        <v>0</v>
      </c>
      <c r="X371" s="138">
        <f>SUM(Tabla1[[#This Row],[C.HORA.35]],Tabla1[[#This Row],[C.HORA.25]])</f>
        <v>0</v>
      </c>
      <c r="Y371" s="4"/>
      <c r="Z371" s="10">
        <f>Tabla1[[#This Row],[T.HORAS]]*24</f>
        <v>9.9999999999999982</v>
      </c>
      <c r="AA371" s="4">
        <f>Tabla1[[#This Row],[H.NORMALES]]*24</f>
        <v>8</v>
      </c>
      <c r="AB371" s="10">
        <f>Tabla1[[#This Row],[H.EXTRAS]]*24</f>
        <v>1.9999999999999982</v>
      </c>
      <c r="AC371" s="105">
        <f t="shared" si="18"/>
        <v>60</v>
      </c>
      <c r="AD371" s="120">
        <f>Tabla1[[#This Row],[COS.BASE 2]]/8</f>
        <v>7.5</v>
      </c>
      <c r="AE371" s="105">
        <f>Tabla1[[#This Row],[CST_H_E]]+Tabla1[[#This Row],[COS.BASE 2]]</f>
        <v>60</v>
      </c>
      <c r="AF371" s="106">
        <f>+_xlfn.IFNA(INDEX(RUBRO!$W$2:$AA$732,MATCH(Tabla1[[#This Row],[FECHA ]],RUBRO!$W$2:$W$732,0),5)," ")</f>
        <v>0</v>
      </c>
      <c r="AG371" s="10">
        <f>+_xlfn.IFNA(INDEX(RUBRO!$W$2:$AA$732,MATCH(Tabla1[[#This Row],[FECHA ]],RUBRO!$W$2:$W$732,0),2)," ")</f>
        <v>0</v>
      </c>
      <c r="AH371" s="40">
        <f>IFERROR(Tabla1[[#This Row],[F]]*Tabla1[[#This Row],[COS.B+E]]," ")</f>
        <v>0</v>
      </c>
      <c r="AI371" s="40">
        <f>IFERROR(Tabla1[[#This Row],[COS.B+E]]*Tabla1[[#This Row],[D]]," ")</f>
        <v>0</v>
      </c>
      <c r="AJ371" s="40" t="str">
        <f>IFERROR(Tabla1[[#This Row],[F]]*#REF!," ")</f>
        <v xml:space="preserve"> </v>
      </c>
      <c r="AK371" s="40" t="str">
        <f>IFERROR(#REF!*Tabla1[[#This Row],[D]]," ")</f>
        <v xml:space="preserve"> </v>
      </c>
      <c r="AL371" s="103"/>
      <c r="AM371" s="103"/>
      <c r="AN371" s="103"/>
      <c r="AO371" s="38">
        <f>+Tabla1[[#This Row],[COS.B+E]]+Tabla1[[#This Row],[COS.F1]]+Tabla1[[#This Row],[COS.D1]]+Tabla1[[#This Row],[ALIMENTACION]]+Tabla1[[#This Row],[PRESTAMO]]+AN371</f>
        <v>60</v>
      </c>
      <c r="AP371" s="38" t="e">
        <f>+#REF!+Tabla1[[#This Row],[COS F2]]+Tabla1[[#This Row],[COS D2]]+Tabla1[[#This Row],[ALIMENTACION]]+Tabla1[[#This Row],[PRESTAMO]]+Tabla1[[#This Row],[PASAJES]]</f>
        <v>#REF!</v>
      </c>
    </row>
    <row r="372" spans="1:44" x14ac:dyDescent="0.25">
      <c r="A372" s="2" t="str">
        <f>TEXT(Tabla1[[#This Row],[FECHA ]],"DDDDD")</f>
        <v>jueves</v>
      </c>
      <c r="B372" s="2" t="str">
        <f>_xlfn.IFNA(VLOOKUP(Tabla1[[#This Row],[DESTINO]],RUBRO!$Q$1:$R$9996,2,FALSE)," ")</f>
        <v>PLANTA</v>
      </c>
      <c r="C372" s="104">
        <f>WEEKNUM(Tabla1[[#This Row],[FECHA ]],2)</f>
        <v>20</v>
      </c>
      <c r="D372" s="104" t="str">
        <f>TEXT(Tabla1[[#This Row],[FECHA ]],"MMM-YY")</f>
        <v>may-YY</v>
      </c>
      <c r="E372" s="104" t="str">
        <f>VLOOKUP(Tabla1[[#This Row],[DNI ]],RUBRO!$F$1:$O$9996,7,FALSE)</f>
        <v>5ta</v>
      </c>
      <c r="F372" s="104" t="str">
        <f>VLOOKUP(Tabla1[[#This Row],[DNI ]],RUBRO!$F$1:$O$88,3,FALSE)</f>
        <v>MAE3G-01</v>
      </c>
      <c r="G372" s="104" t="str">
        <f>VLOOKUP(Tabla1[[#This Row],[DNI ]],RUBRO!$F$1:$O$9996,5,FALSE)</f>
        <v>MAESTRO SOLDADOR 3G</v>
      </c>
      <c r="H372" s="66" t="str">
        <f>VLOOKUP(Tabla1[[#This Row],[DNI ]],RUBRO!$F$1:$O$9996,6,FALSE)</f>
        <v>LABAN SEVERINO EDWIN DENIS</v>
      </c>
      <c r="I372" s="94">
        <v>44329</v>
      </c>
      <c r="J372" s="10">
        <v>1</v>
      </c>
      <c r="K372" s="2">
        <v>47466045</v>
      </c>
      <c r="L372" s="4">
        <f>VLOOKUP(Tabla1[[#This Row],[DNI ]],RUBRO!$F$2:$O$9996,8,FALSE)</f>
        <v>70.38</v>
      </c>
      <c r="M372" s="88">
        <v>0.29166666666666669</v>
      </c>
      <c r="N372" s="28">
        <v>0.54166666666666663</v>
      </c>
      <c r="O372" s="28">
        <v>0.58333333333333337</v>
      </c>
      <c r="P372" s="28">
        <v>0.75</v>
      </c>
      <c r="Q372" s="31">
        <f>(Tabla1[[#This Row],[SALIDA]]-Tabla1[[#This Row],[FIN ]])+(Tabla1[[#This Row],[INICIO]]-Tabla1[[#This Row],[INGRESO]])</f>
        <v>0.41666666666666657</v>
      </c>
      <c r="R372" s="13">
        <f t="shared" si="16"/>
        <v>0.375</v>
      </c>
      <c r="S372" s="31">
        <f t="shared" si="17"/>
        <v>4.1666666666666574E-2</v>
      </c>
      <c r="T372" s="136"/>
      <c r="U372" s="136"/>
      <c r="V372" s="137">
        <f>(Tabla1[[#This Row],[COS.BASE 3]]*0.25+Tabla1[[#This Row],[COS.BASE 3]])*Tabla1[[#This Row],[HORAS 25 % ]]</f>
        <v>0</v>
      </c>
      <c r="W372" s="138">
        <f>(Tabla1[[#This Row],[COS.BASE 3]]*0.35+Tabla1[[#This Row],[COS.BASE 3]])*Tabla1[[#This Row],[HORAS 35% ]]</f>
        <v>0</v>
      </c>
      <c r="X372" s="138">
        <f>SUM(Tabla1[[#This Row],[C.HORA.35]],Tabla1[[#This Row],[C.HORA.25]])</f>
        <v>0</v>
      </c>
      <c r="Y372" s="4"/>
      <c r="Z372" s="10">
        <f>Tabla1[[#This Row],[T.HORAS]]*24</f>
        <v>9.9999999999999982</v>
      </c>
      <c r="AA372" s="4">
        <f>Tabla1[[#This Row],[H.NORMALES]]*24</f>
        <v>9</v>
      </c>
      <c r="AB372" s="10">
        <f>Tabla1[[#This Row],[H.EXTRAS]]*24</f>
        <v>0.99999999999999778</v>
      </c>
      <c r="AC372" s="105">
        <f t="shared" si="18"/>
        <v>70.38</v>
      </c>
      <c r="AD372" s="120">
        <f>Tabla1[[#This Row],[COS.BASE 2]]/8</f>
        <v>8.7974999999999994</v>
      </c>
      <c r="AE372" s="105">
        <f>Tabla1[[#This Row],[CST_H_E]]+Tabla1[[#This Row],[COS.BASE 2]]</f>
        <v>70.38</v>
      </c>
      <c r="AF372" s="106">
        <f>+_xlfn.IFNA(INDEX(RUBRO!$W$2:$AA$732,MATCH(Tabla1[[#This Row],[FECHA ]],RUBRO!$W$2:$W$732,0),5)," ")</f>
        <v>0</v>
      </c>
      <c r="AG372" s="10">
        <f>+_xlfn.IFNA(INDEX(RUBRO!$W$2:$AA$732,MATCH(Tabla1[[#This Row],[FECHA ]],RUBRO!$W$2:$W$732,0),2)," ")</f>
        <v>0</v>
      </c>
      <c r="AH372" s="40">
        <f>IFERROR(Tabla1[[#This Row],[F]]*Tabla1[[#This Row],[COS.B+E]]," ")</f>
        <v>0</v>
      </c>
      <c r="AI372" s="40">
        <f>IFERROR(Tabla1[[#This Row],[COS.B+E]]*Tabla1[[#This Row],[D]]," ")</f>
        <v>0</v>
      </c>
      <c r="AJ372" s="40" t="str">
        <f>IFERROR(Tabla1[[#This Row],[F]]*#REF!," ")</f>
        <v xml:space="preserve"> </v>
      </c>
      <c r="AK372" s="40" t="str">
        <f>IFERROR(#REF!*Tabla1[[#This Row],[D]]," ")</f>
        <v xml:space="preserve"> </v>
      </c>
      <c r="AL372" s="103"/>
      <c r="AM372" s="103"/>
      <c r="AN372" s="103"/>
      <c r="AO372" s="38">
        <f>+Tabla1[[#This Row],[COS.B+E]]+Tabla1[[#This Row],[COS.F1]]+Tabla1[[#This Row],[COS.D1]]+Tabla1[[#This Row],[ALIMENTACION]]+Tabla1[[#This Row],[PRESTAMO]]+AN372</f>
        <v>70.38</v>
      </c>
      <c r="AP372" s="38" t="e">
        <f>+#REF!+Tabla1[[#This Row],[COS F2]]+Tabla1[[#This Row],[COS D2]]+Tabla1[[#This Row],[ALIMENTACION]]+Tabla1[[#This Row],[PRESTAMO]]+Tabla1[[#This Row],[PASAJES]]</f>
        <v>#REF!</v>
      </c>
    </row>
    <row r="373" spans="1:44" x14ac:dyDescent="0.25">
      <c r="A373" s="2" t="str">
        <f>TEXT(Tabla1[[#This Row],[FECHA ]],"DDDDD")</f>
        <v>jueves</v>
      </c>
      <c r="B373" s="2" t="str">
        <f>_xlfn.IFNA(VLOOKUP(Tabla1[[#This Row],[DESTINO]],RUBRO!$Q$1:$R$9996,2,FALSE)," ")</f>
        <v>OBRA</v>
      </c>
      <c r="C373" s="104">
        <f>WEEKNUM(Tabla1[[#This Row],[FECHA ]],2)</f>
        <v>20</v>
      </c>
      <c r="D373" s="104" t="str">
        <f>TEXT(Tabla1[[#This Row],[FECHA ]],"MMM-YY")</f>
        <v>may-YY</v>
      </c>
      <c r="E373" s="104" t="str">
        <f>VLOOKUP(Tabla1[[#This Row],[DNI ]],RUBRO!$F$1:$O$9996,7,FALSE)</f>
        <v>5ta</v>
      </c>
      <c r="F373" s="104" t="str">
        <f>VLOOKUP(Tabla1[[#This Row],[DNI ]],RUBRO!$F$1:$O$88,3,FALSE)</f>
        <v>AYU-VA</v>
      </c>
      <c r="G373" s="104" t="str">
        <f>VLOOKUP(Tabla1[[#This Row],[DNI ]],RUBRO!$F$1:$O$9996,5,FALSE)</f>
        <v>AYUDANTE DE PRODUCCION</v>
      </c>
      <c r="H373" s="66" t="str">
        <f>VLOOKUP(Tabla1[[#This Row],[DNI ]],RUBRO!$F$1:$O$9996,6,FALSE)</f>
        <v xml:space="preserve">LOPEZ TANTARICO ELY </v>
      </c>
      <c r="I373" s="94">
        <v>44329</v>
      </c>
      <c r="J373" s="10">
        <v>2</v>
      </c>
      <c r="K373" s="2">
        <v>62188868</v>
      </c>
      <c r="L373" s="4">
        <f>VLOOKUP(Tabla1[[#This Row],[DNI ]],RUBRO!$F$2:$O$9996,8,FALSE)</f>
        <v>39.15</v>
      </c>
      <c r="M373" s="88">
        <v>0.29166666666666669</v>
      </c>
      <c r="N373" s="28">
        <v>0.54166666666666663</v>
      </c>
      <c r="O373" s="28">
        <v>0.58333333333333337</v>
      </c>
      <c r="P373" s="28">
        <v>0.79166666666666663</v>
      </c>
      <c r="Q373" s="31">
        <f>(Tabla1[[#This Row],[SALIDA]]-Tabla1[[#This Row],[FIN ]])+(Tabla1[[#This Row],[INICIO]]-Tabla1[[#This Row],[INGRESO]])</f>
        <v>0.4583333333333332</v>
      </c>
      <c r="R373" s="13">
        <f t="shared" si="16"/>
        <v>0.33333333333333331</v>
      </c>
      <c r="S373" s="31">
        <f t="shared" si="17"/>
        <v>0.12499999999999989</v>
      </c>
      <c r="T373" s="136"/>
      <c r="U373" s="136"/>
      <c r="V373" s="137">
        <f>(Tabla1[[#This Row],[COS.BASE 3]]*0.25+Tabla1[[#This Row],[COS.BASE 3]])*Tabla1[[#This Row],[HORAS 25 % ]]</f>
        <v>0</v>
      </c>
      <c r="W373" s="138">
        <f>(Tabla1[[#This Row],[COS.BASE 3]]*0.35+Tabla1[[#This Row],[COS.BASE 3]])*Tabla1[[#This Row],[HORAS 35% ]]</f>
        <v>0</v>
      </c>
      <c r="X373" s="138">
        <f>SUM(Tabla1[[#This Row],[C.HORA.35]],Tabla1[[#This Row],[C.HORA.25]])</f>
        <v>0</v>
      </c>
      <c r="Y373" s="4"/>
      <c r="Z373" s="10">
        <f>Tabla1[[#This Row],[T.HORAS]]*24</f>
        <v>10.999999999999996</v>
      </c>
      <c r="AA373" s="4">
        <f>Tabla1[[#This Row],[H.NORMALES]]*24</f>
        <v>8</v>
      </c>
      <c r="AB373" s="10">
        <f>Tabla1[[#This Row],[H.EXTRAS]]*24</f>
        <v>2.9999999999999973</v>
      </c>
      <c r="AC373" s="105">
        <f t="shared" si="18"/>
        <v>39.15</v>
      </c>
      <c r="AD373" s="120">
        <f>Tabla1[[#This Row],[COS.BASE 2]]/8</f>
        <v>4.8937499999999998</v>
      </c>
      <c r="AE373" s="105">
        <f>Tabla1[[#This Row],[CST_H_E]]+Tabla1[[#This Row],[COS.BASE 2]]</f>
        <v>39.15</v>
      </c>
      <c r="AF373" s="106">
        <f>+_xlfn.IFNA(INDEX(RUBRO!$W$2:$AA$732,MATCH(Tabla1[[#This Row],[FECHA ]],RUBRO!$W$2:$W$732,0),5)," ")</f>
        <v>0</v>
      </c>
      <c r="AG373" s="10">
        <f>+_xlfn.IFNA(INDEX(RUBRO!$W$2:$AA$732,MATCH(Tabla1[[#This Row],[FECHA ]],RUBRO!$W$2:$W$732,0),2)," ")</f>
        <v>0</v>
      </c>
      <c r="AH373" s="40">
        <f>IFERROR(Tabla1[[#This Row],[F]]*Tabla1[[#This Row],[COS.B+E]]," ")</f>
        <v>0</v>
      </c>
      <c r="AI373" s="40">
        <f>IFERROR(Tabla1[[#This Row],[COS.B+E]]*Tabla1[[#This Row],[D]]," ")</f>
        <v>0</v>
      </c>
      <c r="AJ373" s="40" t="str">
        <f>IFERROR(Tabla1[[#This Row],[F]]*#REF!," ")</f>
        <v xml:space="preserve"> </v>
      </c>
      <c r="AK373" s="40" t="str">
        <f>IFERROR(#REF!*Tabla1[[#This Row],[D]]," ")</f>
        <v xml:space="preserve"> </v>
      </c>
      <c r="AL373" s="103"/>
      <c r="AM373" s="103"/>
      <c r="AN373" s="103"/>
      <c r="AO373" s="38">
        <f>+Tabla1[[#This Row],[COS.B+E]]+Tabla1[[#This Row],[COS.F1]]+Tabla1[[#This Row],[COS.D1]]+Tabla1[[#This Row],[ALIMENTACION]]+Tabla1[[#This Row],[PRESTAMO]]+AN373</f>
        <v>39.15</v>
      </c>
      <c r="AP373" s="38" t="e">
        <f>+#REF!+Tabla1[[#This Row],[COS F2]]+Tabla1[[#This Row],[COS D2]]+Tabla1[[#This Row],[ALIMENTACION]]+Tabla1[[#This Row],[PRESTAMO]]+Tabla1[[#This Row],[PASAJES]]</f>
        <v>#REF!</v>
      </c>
    </row>
    <row r="374" spans="1:44" x14ac:dyDescent="0.25">
      <c r="A374" s="2" t="str">
        <f>TEXT(Tabla1[[#This Row],[FECHA ]],"DDDDD")</f>
        <v>jueves</v>
      </c>
      <c r="B374" s="2" t="str">
        <f>_xlfn.IFNA(VLOOKUP(Tabla1[[#This Row],[DESTINO]],RUBRO!$Q$1:$R$9996,2,FALSE)," ")</f>
        <v>OBRA</v>
      </c>
      <c r="C374" s="104">
        <f>WEEKNUM(Tabla1[[#This Row],[FECHA ]],2)</f>
        <v>20</v>
      </c>
      <c r="D374" s="104" t="str">
        <f>TEXT(Tabla1[[#This Row],[FECHA ]],"MMM-YY")</f>
        <v>may-YY</v>
      </c>
      <c r="E374" s="104" t="str">
        <f>VLOOKUP(Tabla1[[#This Row],[DNI ]],RUBRO!$F$1:$O$9996,7,FALSE)</f>
        <v>5ta</v>
      </c>
      <c r="F374" s="104" t="str">
        <f>VLOOKUP(Tabla1[[#This Row],[DNI ]],RUBRO!$F$1:$O$88,3,FALSE)</f>
        <v>TEC-02</v>
      </c>
      <c r="G374" s="104" t="str">
        <f>VLOOKUP(Tabla1[[#This Row],[DNI ]],RUBRO!$F$1:$O$9996,5,FALSE)</f>
        <v>TECNICO MECANICO MONTAJISTA DE MAQUINARIA</v>
      </c>
      <c r="H374" s="66" t="str">
        <f>VLOOKUP(Tabla1[[#This Row],[DNI ]],RUBRO!$F$1:$O$9996,6,FALSE)</f>
        <v>MEJIA AYALA LUIS MANUEL</v>
      </c>
      <c r="I374" s="94">
        <v>44329</v>
      </c>
      <c r="J374" s="10">
        <v>2</v>
      </c>
      <c r="K374" s="2">
        <v>73541627</v>
      </c>
      <c r="L374" s="4">
        <f>VLOOKUP(Tabla1[[#This Row],[DNI ]],RUBRO!$F$2:$O$9996,8,FALSE)</f>
        <v>55</v>
      </c>
      <c r="M374" s="88">
        <v>0.29166666666666669</v>
      </c>
      <c r="N374" s="28">
        <v>0.54166666666666663</v>
      </c>
      <c r="O374" s="28">
        <v>0.58333333333333337</v>
      </c>
      <c r="P374" s="28">
        <v>0.79166666666666663</v>
      </c>
      <c r="Q374" s="31">
        <f>(Tabla1[[#This Row],[SALIDA]]-Tabla1[[#This Row],[FIN ]])+(Tabla1[[#This Row],[INICIO]]-Tabla1[[#This Row],[INGRESO]])</f>
        <v>0.4583333333333332</v>
      </c>
      <c r="R374" s="13">
        <f t="shared" si="16"/>
        <v>0.33333333333333331</v>
      </c>
      <c r="S374" s="31">
        <f t="shared" si="17"/>
        <v>0.12499999999999989</v>
      </c>
      <c r="T374" s="136"/>
      <c r="U374" s="136"/>
      <c r="V374" s="137">
        <f>(Tabla1[[#This Row],[COS.BASE 3]]*0.25+Tabla1[[#This Row],[COS.BASE 3]])*Tabla1[[#This Row],[HORAS 25 % ]]</f>
        <v>0</v>
      </c>
      <c r="W374" s="138">
        <f>(Tabla1[[#This Row],[COS.BASE 3]]*0.35+Tabla1[[#This Row],[COS.BASE 3]])*Tabla1[[#This Row],[HORAS 35% ]]</f>
        <v>0</v>
      </c>
      <c r="X374" s="138">
        <f>SUM(Tabla1[[#This Row],[C.HORA.35]],Tabla1[[#This Row],[C.HORA.25]])</f>
        <v>0</v>
      </c>
      <c r="Y374" s="4"/>
      <c r="Z374" s="10">
        <f>Tabla1[[#This Row],[T.HORAS]]*24</f>
        <v>10.999999999999996</v>
      </c>
      <c r="AA374" s="4">
        <f>Tabla1[[#This Row],[H.NORMALES]]*24</f>
        <v>8</v>
      </c>
      <c r="AB374" s="10">
        <f>Tabla1[[#This Row],[H.EXTRAS]]*24</f>
        <v>2.9999999999999973</v>
      </c>
      <c r="AC374" s="105">
        <f t="shared" si="18"/>
        <v>55</v>
      </c>
      <c r="AD374" s="120">
        <f>Tabla1[[#This Row],[COS.BASE 2]]/8</f>
        <v>6.875</v>
      </c>
      <c r="AE374" s="105">
        <f>Tabla1[[#This Row],[CST_H_E]]+Tabla1[[#This Row],[COS.BASE 2]]</f>
        <v>55</v>
      </c>
      <c r="AF374" s="106">
        <f>+_xlfn.IFNA(INDEX(RUBRO!$W$2:$AA$732,MATCH(Tabla1[[#This Row],[FECHA ]],RUBRO!$W$2:$W$732,0),5)," ")</f>
        <v>0</v>
      </c>
      <c r="AG374" s="10">
        <f>+_xlfn.IFNA(INDEX(RUBRO!$W$2:$AA$732,MATCH(Tabla1[[#This Row],[FECHA ]],RUBRO!$W$2:$W$732,0),2)," ")</f>
        <v>0</v>
      </c>
      <c r="AH374" s="40">
        <f>IFERROR(Tabla1[[#This Row],[F]]*Tabla1[[#This Row],[COS.B+E]]," ")</f>
        <v>0</v>
      </c>
      <c r="AI374" s="40">
        <f>IFERROR(Tabla1[[#This Row],[COS.B+E]]*Tabla1[[#This Row],[D]]," ")</f>
        <v>0</v>
      </c>
      <c r="AJ374" s="40" t="str">
        <f>IFERROR(Tabla1[[#This Row],[F]]*#REF!," ")</f>
        <v xml:space="preserve"> </v>
      </c>
      <c r="AK374" s="40" t="str">
        <f>IFERROR(#REF!*Tabla1[[#This Row],[D]]," ")</f>
        <v xml:space="preserve"> </v>
      </c>
      <c r="AL374" s="103"/>
      <c r="AM374" s="103"/>
      <c r="AN374" s="103"/>
      <c r="AO374" s="38">
        <f>+Tabla1[[#This Row],[COS.B+E]]+Tabla1[[#This Row],[COS.F1]]+Tabla1[[#This Row],[COS.D1]]+Tabla1[[#This Row],[ALIMENTACION]]+Tabla1[[#This Row],[PRESTAMO]]+AN374</f>
        <v>55</v>
      </c>
      <c r="AP374" s="38" t="e">
        <f>+#REF!+Tabla1[[#This Row],[COS F2]]+Tabla1[[#This Row],[COS D2]]+Tabla1[[#This Row],[ALIMENTACION]]+Tabla1[[#This Row],[PRESTAMO]]+Tabla1[[#This Row],[PASAJES]]</f>
        <v>#REF!</v>
      </c>
    </row>
    <row r="375" spans="1:44" x14ac:dyDescent="0.25">
      <c r="A375" s="2" t="str">
        <f>TEXT(Tabla1[[#This Row],[FECHA ]],"DDDDD")</f>
        <v>jueves</v>
      </c>
      <c r="B375" s="2" t="str">
        <f>_xlfn.IFNA(VLOOKUP(Tabla1[[#This Row],[DESTINO]],RUBRO!$Q$1:$R$9996,2,FALSE)," ")</f>
        <v>PLANTA</v>
      </c>
      <c r="C375" s="104">
        <f>WEEKNUM(Tabla1[[#This Row],[FECHA ]],2)</f>
        <v>20</v>
      </c>
      <c r="D375" s="104" t="str">
        <f>TEXT(Tabla1[[#This Row],[FECHA ]],"MMM-YY")</f>
        <v>may-YY</v>
      </c>
      <c r="E375" s="104" t="str">
        <f>VLOOKUP(Tabla1[[#This Row],[DNI ]],RUBRO!$F$1:$O$9996,7,FALSE)</f>
        <v>5ta</v>
      </c>
      <c r="F375" s="104" t="str">
        <f>VLOOKUP(Tabla1[[#This Row],[DNI ]],RUBRO!$F$1:$O$88,3,FALSE)</f>
        <v>TEC-04</v>
      </c>
      <c r="G375" s="104" t="str">
        <f>VLOOKUP(Tabla1[[#This Row],[DNI ]],RUBRO!$F$1:$O$9996,5,FALSE)</f>
        <v>TECNICO MECANICO MONTAJISTA DE MAQUINARIA EXTRANJERA</v>
      </c>
      <c r="H375" s="66" t="str">
        <f>VLOOKUP(Tabla1[[#This Row],[DNI ]],RUBRO!$F$1:$O$9996,6,FALSE)</f>
        <v>MEREGILDO CABRERA RICARDO JOEL</v>
      </c>
      <c r="I375" s="94">
        <v>44329</v>
      </c>
      <c r="J375" s="10">
        <v>1</v>
      </c>
      <c r="K375" s="2">
        <v>76811302</v>
      </c>
      <c r="L375" s="4">
        <f>VLOOKUP(Tabla1[[#This Row],[DNI ]],RUBRO!$F$2:$O$9996,8,FALSE)</f>
        <v>60</v>
      </c>
      <c r="M375" s="88">
        <v>0.29166666666666669</v>
      </c>
      <c r="N375" s="28">
        <v>0.54166666666666663</v>
      </c>
      <c r="O375" s="28">
        <v>0.58333333333333337</v>
      </c>
      <c r="P375" s="28">
        <v>0.70833333333333337</v>
      </c>
      <c r="Q375" s="31">
        <f>(Tabla1[[#This Row],[SALIDA]]-Tabla1[[#This Row],[FIN ]])+(Tabla1[[#This Row],[INICIO]]-Tabla1[[#This Row],[INGRESO]])</f>
        <v>0.37499999999999994</v>
      </c>
      <c r="R375" s="13">
        <f t="shared" si="16"/>
        <v>0.37499999999999994</v>
      </c>
      <c r="S375" s="31">
        <f t="shared" si="17"/>
        <v>0</v>
      </c>
      <c r="T375" s="136"/>
      <c r="U375" s="136"/>
      <c r="V375" s="137">
        <f>(Tabla1[[#This Row],[COS.BASE 3]]*0.25+Tabla1[[#This Row],[COS.BASE 3]])*Tabla1[[#This Row],[HORAS 25 % ]]</f>
        <v>0</v>
      </c>
      <c r="W375" s="138">
        <f>(Tabla1[[#This Row],[COS.BASE 3]]*0.35+Tabla1[[#This Row],[COS.BASE 3]])*Tabla1[[#This Row],[HORAS 35% ]]</f>
        <v>0</v>
      </c>
      <c r="X375" s="138">
        <f>SUM(Tabla1[[#This Row],[C.HORA.35]],Tabla1[[#This Row],[C.HORA.25]])</f>
        <v>0</v>
      </c>
      <c r="Y375" s="4"/>
      <c r="Z375" s="10">
        <f>Tabla1[[#This Row],[T.HORAS]]*24</f>
        <v>8.9999999999999982</v>
      </c>
      <c r="AA375" s="4">
        <f>Tabla1[[#This Row],[H.NORMALES]]*24</f>
        <v>8.9999999999999982</v>
      </c>
      <c r="AB375" s="10">
        <f>Tabla1[[#This Row],[H.EXTRAS]]*24</f>
        <v>0</v>
      </c>
      <c r="AC375" s="105">
        <f t="shared" si="18"/>
        <v>59.999999999999993</v>
      </c>
      <c r="AD375" s="120">
        <f>Tabla1[[#This Row],[COS.BASE 2]]/8</f>
        <v>7.4999999999999991</v>
      </c>
      <c r="AE375" s="105">
        <f>Tabla1[[#This Row],[CST_H_E]]+Tabla1[[#This Row],[COS.BASE 2]]</f>
        <v>59.999999999999993</v>
      </c>
      <c r="AF375" s="106">
        <f>+_xlfn.IFNA(INDEX(RUBRO!$W$2:$AA$732,MATCH(Tabla1[[#This Row],[FECHA ]],RUBRO!$W$2:$W$732,0),5)," ")</f>
        <v>0</v>
      </c>
      <c r="AG375" s="10">
        <f>+_xlfn.IFNA(INDEX(RUBRO!$W$2:$AA$732,MATCH(Tabla1[[#This Row],[FECHA ]],RUBRO!$W$2:$W$732,0),2)," ")</f>
        <v>0</v>
      </c>
      <c r="AH375" s="40">
        <f>IFERROR(Tabla1[[#This Row],[F]]*Tabla1[[#This Row],[COS.B+E]]," ")</f>
        <v>0</v>
      </c>
      <c r="AI375" s="40">
        <f>IFERROR(Tabla1[[#This Row],[COS.B+E]]*Tabla1[[#This Row],[D]]," ")</f>
        <v>0</v>
      </c>
      <c r="AJ375" s="40" t="str">
        <f>IFERROR(Tabla1[[#This Row],[F]]*#REF!," ")</f>
        <v xml:space="preserve"> </v>
      </c>
      <c r="AK375" s="40" t="str">
        <f>IFERROR(#REF!*Tabla1[[#This Row],[D]]," ")</f>
        <v xml:space="preserve"> </v>
      </c>
      <c r="AL375" s="103"/>
      <c r="AM375" s="103"/>
      <c r="AN375" s="103"/>
      <c r="AO375" s="38">
        <f>+Tabla1[[#This Row],[COS.B+E]]+Tabla1[[#This Row],[COS.F1]]+Tabla1[[#This Row],[COS.D1]]+Tabla1[[#This Row],[ALIMENTACION]]+Tabla1[[#This Row],[PRESTAMO]]+AN375</f>
        <v>59.999999999999993</v>
      </c>
      <c r="AP375" s="38" t="e">
        <f>+#REF!+Tabla1[[#This Row],[COS F2]]+Tabla1[[#This Row],[COS D2]]+Tabla1[[#This Row],[ALIMENTACION]]+Tabla1[[#This Row],[PRESTAMO]]+Tabla1[[#This Row],[PASAJES]]</f>
        <v>#REF!</v>
      </c>
    </row>
    <row r="376" spans="1:44" x14ac:dyDescent="0.25">
      <c r="A376" s="2" t="str">
        <f>TEXT(Tabla1[[#This Row],[FECHA ]],"DDDDD")</f>
        <v>jueves</v>
      </c>
      <c r="B376" s="2" t="str">
        <f>_xlfn.IFNA(VLOOKUP(Tabla1[[#This Row],[DESTINO]],RUBRO!$Q$1:$R$9996,2,FALSE)," ")</f>
        <v>FALTA</v>
      </c>
      <c r="C376" s="104">
        <f>WEEKNUM(Tabla1[[#This Row],[FECHA ]],2)</f>
        <v>20</v>
      </c>
      <c r="D376" s="104" t="str">
        <f>TEXT(Tabla1[[#This Row],[FECHA ]],"MMM-YY")</f>
        <v>may-YY</v>
      </c>
      <c r="E376" s="104" t="str">
        <f>VLOOKUP(Tabla1[[#This Row],[DNI ]],RUBRO!$F$1:$O$9996,7,FALSE)</f>
        <v xml:space="preserve">5ta </v>
      </c>
      <c r="F376" s="104" t="str">
        <f>VLOOKUP(Tabla1[[#This Row],[DNI ]],RUBRO!$F$1:$O$88,3,FALSE)</f>
        <v>AYU-VA</v>
      </c>
      <c r="G376" s="104" t="str">
        <f>VLOOKUP(Tabla1[[#This Row],[DNI ]],RUBRO!$F$1:$O$9996,5,FALSE)</f>
        <v>AYUDANTE DE PRODUCCION</v>
      </c>
      <c r="H376" s="66" t="str">
        <f>VLOOKUP(Tabla1[[#This Row],[DNI ]],RUBRO!$F$1:$O$9996,6,FALSE)</f>
        <v>MIO QUIÑONES ALEXIS</v>
      </c>
      <c r="I376" s="94">
        <v>44329</v>
      </c>
      <c r="J376" s="10">
        <v>4</v>
      </c>
      <c r="K376" s="2">
        <v>76457697</v>
      </c>
      <c r="L376" s="4">
        <f>VLOOKUP(Tabla1[[#This Row],[DNI ]],RUBRO!$F$2:$O$9996,8,FALSE)</f>
        <v>45</v>
      </c>
      <c r="M376" s="88"/>
      <c r="N376" s="28"/>
      <c r="P376" s="28"/>
      <c r="Q376" s="31">
        <f>(Tabla1[[#This Row],[SALIDA]]-Tabla1[[#This Row],[FIN ]])+(Tabla1[[#This Row],[INICIO]]-Tabla1[[#This Row],[INGRESO]])</f>
        <v>0</v>
      </c>
      <c r="R376" s="13">
        <f t="shared" si="16"/>
        <v>0</v>
      </c>
      <c r="S376" s="31">
        <f t="shared" si="17"/>
        <v>0</v>
      </c>
      <c r="T376" s="136"/>
      <c r="U376" s="136"/>
      <c r="V376" s="137">
        <f>(Tabla1[[#This Row],[COS.BASE 3]]*0.25+Tabla1[[#This Row],[COS.BASE 3]])*Tabla1[[#This Row],[HORAS 25 % ]]</f>
        <v>0</v>
      </c>
      <c r="W376" s="138">
        <f>(Tabla1[[#This Row],[COS.BASE 3]]*0.35+Tabla1[[#This Row],[COS.BASE 3]])*Tabla1[[#This Row],[HORAS 35% ]]</f>
        <v>0</v>
      </c>
      <c r="X376" s="138">
        <f>SUM(Tabla1[[#This Row],[C.HORA.35]],Tabla1[[#This Row],[C.HORA.25]])</f>
        <v>0</v>
      </c>
      <c r="Y376" s="4"/>
      <c r="Z376" s="10">
        <f>Tabla1[[#This Row],[T.HORAS]]*24</f>
        <v>0</v>
      </c>
      <c r="AA376" s="4">
        <f>Tabla1[[#This Row],[H.NORMALES]]*24</f>
        <v>0</v>
      </c>
      <c r="AB376" s="10">
        <f>Tabla1[[#This Row],[H.EXTRAS]]*24</f>
        <v>0</v>
      </c>
      <c r="AC376" s="105">
        <f t="shared" si="18"/>
        <v>0</v>
      </c>
      <c r="AD376" s="120">
        <f>Tabla1[[#This Row],[COS.BASE 2]]/8</f>
        <v>0</v>
      </c>
      <c r="AE376" s="105">
        <f>Tabla1[[#This Row],[CST_H_E]]+Tabla1[[#This Row],[COS.BASE 2]]</f>
        <v>0</v>
      </c>
      <c r="AF376" s="106">
        <f>+_xlfn.IFNA(INDEX(RUBRO!$W$2:$AA$732,MATCH(Tabla1[[#This Row],[FECHA ]],RUBRO!$W$2:$W$732,0),5)," ")</f>
        <v>0</v>
      </c>
      <c r="AG376" s="10">
        <f>+_xlfn.IFNA(INDEX(RUBRO!$W$2:$AA$732,MATCH(Tabla1[[#This Row],[FECHA ]],RUBRO!$W$2:$W$732,0),2)," ")</f>
        <v>0</v>
      </c>
      <c r="AH376" s="40">
        <f>IFERROR(Tabla1[[#This Row],[F]]*Tabla1[[#This Row],[COS.B+E]]," ")</f>
        <v>0</v>
      </c>
      <c r="AI376" s="40">
        <f>IFERROR(Tabla1[[#This Row],[COS.B+E]]*Tabla1[[#This Row],[D]]," ")</f>
        <v>0</v>
      </c>
      <c r="AJ376" s="40" t="str">
        <f>IFERROR(Tabla1[[#This Row],[F]]*#REF!," ")</f>
        <v xml:space="preserve"> </v>
      </c>
      <c r="AK376" s="40" t="str">
        <f>IFERROR(#REF!*Tabla1[[#This Row],[D]]," ")</f>
        <v xml:space="preserve"> </v>
      </c>
      <c r="AL376" s="103"/>
      <c r="AM376" s="103"/>
      <c r="AN376" s="103"/>
      <c r="AO376" s="38">
        <f>+Tabla1[[#This Row],[COS.B+E]]+Tabla1[[#This Row],[COS.F1]]+Tabla1[[#This Row],[COS.D1]]+Tabla1[[#This Row],[ALIMENTACION]]+Tabla1[[#This Row],[PRESTAMO]]+AN376</f>
        <v>0</v>
      </c>
      <c r="AP376" s="38" t="e">
        <f>+#REF!+Tabla1[[#This Row],[COS F2]]+Tabla1[[#This Row],[COS D2]]+Tabla1[[#This Row],[ALIMENTACION]]+Tabla1[[#This Row],[PRESTAMO]]+Tabla1[[#This Row],[PASAJES]]</f>
        <v>#REF!</v>
      </c>
    </row>
    <row r="377" spans="1:44" x14ac:dyDescent="0.25">
      <c r="A377" s="2" t="str">
        <f>TEXT(Tabla1[[#This Row],[FECHA ]],"DDDDD")</f>
        <v>jueves</v>
      </c>
      <c r="B377" s="2" t="str">
        <f>_xlfn.IFNA(VLOOKUP(Tabla1[[#This Row],[DESTINO]],RUBRO!$Q$1:$R$9996,2,FALSE)," ")</f>
        <v>OBRA</v>
      </c>
      <c r="C377" s="104">
        <f>WEEKNUM(Tabla1[[#This Row],[FECHA ]],2)</f>
        <v>20</v>
      </c>
      <c r="D377" s="104" t="str">
        <f>TEXT(Tabla1[[#This Row],[FECHA ]],"MMM-YY")</f>
        <v>may-YY</v>
      </c>
      <c r="E377" s="104">
        <f>VLOOKUP(Tabla1[[#This Row],[DNI ]],RUBRO!$F$1:$O$9996,7,FALSE)</f>
        <v>0</v>
      </c>
      <c r="F377" s="104" t="e">
        <f>VLOOKUP(Tabla1[[#This Row],[DNI ]],RUBRO!$F$1:$O$88,3,FALSE)</f>
        <v>#N/A</v>
      </c>
      <c r="G377" s="104">
        <f>VLOOKUP(Tabla1[[#This Row],[DNI ]],RUBRO!$F$1:$O$9996,5,FALSE)</f>
        <v>0</v>
      </c>
      <c r="H377" s="66" t="str">
        <f>VLOOKUP(Tabla1[[#This Row],[DNI ]],RUBRO!$F$1:$O$9996,6,FALSE)</f>
        <v>MONJA ACOSTA RONALD</v>
      </c>
      <c r="I377" s="94">
        <v>44329</v>
      </c>
      <c r="J377" s="10">
        <v>2</v>
      </c>
      <c r="K377" s="2">
        <v>75561146</v>
      </c>
      <c r="L377" s="4">
        <f>VLOOKUP(Tabla1[[#This Row],[DNI ]],RUBRO!$F$2:$O$9996,8,FALSE)</f>
        <v>0</v>
      </c>
      <c r="M377" s="88">
        <v>0.29166666666666669</v>
      </c>
      <c r="N377" s="28">
        <v>0.54166666666666663</v>
      </c>
      <c r="O377" s="28">
        <v>0.58333333333333337</v>
      </c>
      <c r="P377" s="28">
        <v>0.75</v>
      </c>
      <c r="Q377" s="31">
        <f>(Tabla1[[#This Row],[SALIDA]]-Tabla1[[#This Row],[FIN ]])+(Tabla1[[#This Row],[INICIO]]-Tabla1[[#This Row],[INGRESO]])</f>
        <v>0.41666666666666657</v>
      </c>
      <c r="R377" s="13">
        <f t="shared" si="16"/>
        <v>0.33333333333333331</v>
      </c>
      <c r="S377" s="31">
        <f t="shared" si="17"/>
        <v>8.3333333333333259E-2</v>
      </c>
      <c r="T377" s="136"/>
      <c r="U377" s="136"/>
      <c r="V377" s="137">
        <f>(Tabla1[[#This Row],[COS.BASE 3]]*0.25+Tabla1[[#This Row],[COS.BASE 3]])*Tabla1[[#This Row],[HORAS 25 % ]]</f>
        <v>0</v>
      </c>
      <c r="W377" s="138">
        <f>(Tabla1[[#This Row],[COS.BASE 3]]*0.35+Tabla1[[#This Row],[COS.BASE 3]])*Tabla1[[#This Row],[HORAS 35% ]]</f>
        <v>0</v>
      </c>
      <c r="X377" s="138">
        <f>SUM(Tabla1[[#This Row],[C.HORA.35]],Tabla1[[#This Row],[C.HORA.25]])</f>
        <v>0</v>
      </c>
      <c r="Y377" s="4"/>
      <c r="Z377" s="10">
        <f>Tabla1[[#This Row],[T.HORAS]]*24</f>
        <v>9.9999999999999982</v>
      </c>
      <c r="AA377" s="4">
        <f>Tabla1[[#This Row],[H.NORMALES]]*24</f>
        <v>8</v>
      </c>
      <c r="AB377" s="10">
        <f>Tabla1[[#This Row],[H.EXTRAS]]*24</f>
        <v>1.9999999999999982</v>
      </c>
      <c r="AC377" s="105">
        <f t="shared" si="18"/>
        <v>0</v>
      </c>
      <c r="AD377" s="120">
        <f>Tabla1[[#This Row],[COS.BASE 2]]/8</f>
        <v>0</v>
      </c>
      <c r="AE377" s="105">
        <f>Tabla1[[#This Row],[CST_H_E]]+Tabla1[[#This Row],[COS.BASE 2]]</f>
        <v>0</v>
      </c>
      <c r="AF377" s="106">
        <f>+_xlfn.IFNA(INDEX(RUBRO!$W$2:$AA$732,MATCH(Tabla1[[#This Row],[FECHA ]],RUBRO!$W$2:$W$732,0),5)," ")</f>
        <v>0</v>
      </c>
      <c r="AG377" s="10">
        <f>+_xlfn.IFNA(INDEX(RUBRO!$W$2:$AA$732,MATCH(Tabla1[[#This Row],[FECHA ]],RUBRO!$W$2:$W$732,0),2)," ")</f>
        <v>0</v>
      </c>
      <c r="AH377" s="40">
        <f>IFERROR(Tabla1[[#This Row],[F]]*Tabla1[[#This Row],[COS.B+E]]," ")</f>
        <v>0</v>
      </c>
      <c r="AI377" s="40">
        <f>IFERROR(Tabla1[[#This Row],[COS.B+E]]*Tabla1[[#This Row],[D]]," ")</f>
        <v>0</v>
      </c>
      <c r="AJ377" s="40" t="str">
        <f>IFERROR(Tabla1[[#This Row],[F]]*#REF!," ")</f>
        <v xml:space="preserve"> </v>
      </c>
      <c r="AK377" s="40" t="str">
        <f>IFERROR(#REF!*Tabla1[[#This Row],[D]]," ")</f>
        <v xml:space="preserve"> </v>
      </c>
      <c r="AL377" s="103"/>
      <c r="AM377" s="103"/>
      <c r="AN377" s="103"/>
      <c r="AO377" s="38">
        <f>+Tabla1[[#This Row],[COS.B+E]]+Tabla1[[#This Row],[COS.F1]]+Tabla1[[#This Row],[COS.D1]]+Tabla1[[#This Row],[ALIMENTACION]]+Tabla1[[#This Row],[PRESTAMO]]+AN377</f>
        <v>0</v>
      </c>
      <c r="AP377" s="38" t="e">
        <f>+#REF!+Tabla1[[#This Row],[COS F2]]+Tabla1[[#This Row],[COS D2]]+Tabla1[[#This Row],[ALIMENTACION]]+Tabla1[[#This Row],[PRESTAMO]]+Tabla1[[#This Row],[PASAJES]]</f>
        <v>#REF!</v>
      </c>
    </row>
    <row r="378" spans="1:44" x14ac:dyDescent="0.25">
      <c r="A378" s="2" t="str">
        <f>TEXT(Tabla1[[#This Row],[FECHA ]],"DDDDD")</f>
        <v>jueves</v>
      </c>
      <c r="B378" s="2" t="str">
        <f>_xlfn.IFNA(VLOOKUP(Tabla1[[#This Row],[DESTINO]],RUBRO!$Q$1:$R$9996,2,FALSE)," ")</f>
        <v>PLANTA</v>
      </c>
      <c r="C378" s="104">
        <f>WEEKNUM(Tabla1[[#This Row],[FECHA ]],2)</f>
        <v>20</v>
      </c>
      <c r="D378" s="104" t="str">
        <f>TEXT(Tabla1[[#This Row],[FECHA ]],"MMM-YY")</f>
        <v>may-YY</v>
      </c>
      <c r="E378" s="104">
        <f>VLOOKUP(Tabla1[[#This Row],[DNI ]],RUBRO!$F$1:$O$9996,7,FALSE)</f>
        <v>0</v>
      </c>
      <c r="F378" s="104" t="e">
        <f>VLOOKUP(Tabla1[[#This Row],[DNI ]],RUBRO!$F$1:$O$88,3,FALSE)</f>
        <v>#N/A</v>
      </c>
      <c r="G378" s="104">
        <f>VLOOKUP(Tabla1[[#This Row],[DNI ]],RUBRO!$F$1:$O$9996,5,FALSE)</f>
        <v>0</v>
      </c>
      <c r="H378" s="66" t="str">
        <f>VLOOKUP(Tabla1[[#This Row],[DNI ]],RUBRO!$F$1:$O$9996,6,FALSE)</f>
        <v>MONTENEGRO DAVILA EVER</v>
      </c>
      <c r="I378" s="94">
        <v>44329</v>
      </c>
      <c r="J378" s="10">
        <v>1</v>
      </c>
      <c r="K378" s="2">
        <v>76847602</v>
      </c>
      <c r="L378" s="4">
        <f>VLOOKUP(Tabla1[[#This Row],[DNI ]],RUBRO!$F$2:$O$9996,8,FALSE)</f>
        <v>0</v>
      </c>
      <c r="M378" s="88">
        <v>0.29166666666666669</v>
      </c>
      <c r="N378" s="28">
        <v>0.54166666666666663</v>
      </c>
      <c r="O378" s="28">
        <v>0.58333333333333337</v>
      </c>
      <c r="P378" s="28">
        <v>0.75</v>
      </c>
      <c r="Q378" s="31">
        <f>(Tabla1[[#This Row],[SALIDA]]-Tabla1[[#This Row],[FIN ]])+(Tabla1[[#This Row],[INICIO]]-Tabla1[[#This Row],[INGRESO]])</f>
        <v>0.41666666666666657</v>
      </c>
      <c r="R378" s="13">
        <f t="shared" si="16"/>
        <v>0.375</v>
      </c>
      <c r="S378" s="31">
        <f t="shared" si="17"/>
        <v>4.1666666666666574E-2</v>
      </c>
      <c r="T378" s="136"/>
      <c r="U378" s="136"/>
      <c r="V378" s="137">
        <f>(Tabla1[[#This Row],[COS.BASE 3]]*0.25+Tabla1[[#This Row],[COS.BASE 3]])*Tabla1[[#This Row],[HORAS 25 % ]]</f>
        <v>0</v>
      </c>
      <c r="W378" s="138">
        <f>(Tabla1[[#This Row],[COS.BASE 3]]*0.35+Tabla1[[#This Row],[COS.BASE 3]])*Tabla1[[#This Row],[HORAS 35% ]]</f>
        <v>0</v>
      </c>
      <c r="X378" s="138">
        <f>SUM(Tabla1[[#This Row],[C.HORA.35]],Tabla1[[#This Row],[C.HORA.25]])</f>
        <v>0</v>
      </c>
      <c r="Y378" s="4"/>
      <c r="Z378" s="10">
        <f>Tabla1[[#This Row],[T.HORAS]]*24</f>
        <v>9.9999999999999982</v>
      </c>
      <c r="AA378" s="4">
        <f>Tabla1[[#This Row],[H.NORMALES]]*24</f>
        <v>9</v>
      </c>
      <c r="AB378" s="10">
        <f>Tabla1[[#This Row],[H.EXTRAS]]*24</f>
        <v>0.99999999999999778</v>
      </c>
      <c r="AC378" s="105">
        <f t="shared" si="18"/>
        <v>0</v>
      </c>
      <c r="AD378" s="120">
        <f>Tabla1[[#This Row],[COS.BASE 2]]/8</f>
        <v>0</v>
      </c>
      <c r="AE378" s="105">
        <f>Tabla1[[#This Row],[CST_H_E]]+Tabla1[[#This Row],[COS.BASE 2]]</f>
        <v>0</v>
      </c>
      <c r="AF378" s="106">
        <f>+_xlfn.IFNA(INDEX(RUBRO!$W$2:$AA$732,MATCH(Tabla1[[#This Row],[FECHA ]],RUBRO!$W$2:$W$732,0),5)," ")</f>
        <v>0</v>
      </c>
      <c r="AG378" s="10">
        <f>+_xlfn.IFNA(INDEX(RUBRO!$W$2:$AA$732,MATCH(Tabla1[[#This Row],[FECHA ]],RUBRO!$W$2:$W$732,0),2)," ")</f>
        <v>0</v>
      </c>
      <c r="AH378" s="40">
        <f>IFERROR(Tabla1[[#This Row],[F]]*Tabla1[[#This Row],[COS.B+E]]," ")</f>
        <v>0</v>
      </c>
      <c r="AI378" s="40">
        <f>IFERROR(Tabla1[[#This Row],[COS.B+E]]*Tabla1[[#This Row],[D]]," ")</f>
        <v>0</v>
      </c>
      <c r="AJ378" s="40" t="str">
        <f>IFERROR(Tabla1[[#This Row],[F]]*#REF!," ")</f>
        <v xml:space="preserve"> </v>
      </c>
      <c r="AK378" s="40" t="str">
        <f>IFERROR(#REF!*Tabla1[[#This Row],[D]]," ")</f>
        <v xml:space="preserve"> </v>
      </c>
      <c r="AL378" s="103"/>
      <c r="AM378" s="103"/>
      <c r="AN378" s="103"/>
      <c r="AO378" s="38">
        <f>+Tabla1[[#This Row],[COS.B+E]]+Tabla1[[#This Row],[COS.F1]]+Tabla1[[#This Row],[COS.D1]]+Tabla1[[#This Row],[ALIMENTACION]]+Tabla1[[#This Row],[PRESTAMO]]+AN378</f>
        <v>0</v>
      </c>
      <c r="AP378" s="38" t="e">
        <f>+#REF!+Tabla1[[#This Row],[COS F2]]+Tabla1[[#This Row],[COS D2]]+Tabla1[[#This Row],[ALIMENTACION]]+Tabla1[[#This Row],[PRESTAMO]]+Tabla1[[#This Row],[PASAJES]]</f>
        <v>#REF!</v>
      </c>
    </row>
    <row r="379" spans="1:44" x14ac:dyDescent="0.25">
      <c r="A379" s="2" t="str">
        <f>TEXT(Tabla1[[#This Row],[FECHA ]],"DDDDD")</f>
        <v>jueves</v>
      </c>
      <c r="B379" s="2" t="str">
        <f>_xlfn.IFNA(VLOOKUP(Tabla1[[#This Row],[DESTINO]],RUBRO!$Q$1:$R$9996,2,FALSE)," ")</f>
        <v>OBRA</v>
      </c>
      <c r="C379" s="104">
        <f>WEEKNUM(Tabla1[[#This Row],[FECHA ]],2)</f>
        <v>20</v>
      </c>
      <c r="D379" s="104" t="str">
        <f>TEXT(Tabla1[[#This Row],[FECHA ]],"MMM-YY")</f>
        <v>may-YY</v>
      </c>
      <c r="E379" s="104" t="str">
        <f>VLOOKUP(Tabla1[[#This Row],[DNI ]],RUBRO!$F$1:$O$9996,7,FALSE)</f>
        <v>5ta</v>
      </c>
      <c r="F379" s="104" t="str">
        <f>VLOOKUP(Tabla1[[#This Row],[DNI ]],RUBRO!$F$1:$O$88,3,FALSE)</f>
        <v>TEC-01</v>
      </c>
      <c r="G379" s="104" t="str">
        <f>VLOOKUP(Tabla1[[#This Row],[DNI ]],RUBRO!$F$1:$O$9996,5,FALSE)</f>
        <v>TECNICO SOLDADOR</v>
      </c>
      <c r="H379" s="66" t="str">
        <f>VLOOKUP(Tabla1[[#This Row],[DNI ]],RUBRO!$F$1:$O$9996,6,FALSE)</f>
        <v>MUÑOZ EXEBIO IRWIS MANUEL</v>
      </c>
      <c r="I379" s="94">
        <v>44329</v>
      </c>
      <c r="J379" s="10">
        <v>2</v>
      </c>
      <c r="K379" s="2">
        <v>46933574</v>
      </c>
      <c r="L379" s="4">
        <f>VLOOKUP(Tabla1[[#This Row],[DNI ]],RUBRO!$F$2:$O$9996,8,FALSE)</f>
        <v>65</v>
      </c>
      <c r="M379" s="88">
        <v>0.29166666666666669</v>
      </c>
      <c r="N379" s="28">
        <v>0.54166666666666663</v>
      </c>
      <c r="O379" s="28">
        <v>0.58333333333333337</v>
      </c>
      <c r="P379" s="28">
        <v>0.75</v>
      </c>
      <c r="Q379" s="31">
        <f>(Tabla1[[#This Row],[SALIDA]]-Tabla1[[#This Row],[FIN ]])+(Tabla1[[#This Row],[INICIO]]-Tabla1[[#This Row],[INGRESO]])</f>
        <v>0.41666666666666657</v>
      </c>
      <c r="R379" s="13">
        <f t="shared" si="16"/>
        <v>0.33333333333333331</v>
      </c>
      <c r="S379" s="31">
        <f t="shared" si="17"/>
        <v>8.3333333333333259E-2</v>
      </c>
      <c r="T379" s="136"/>
      <c r="U379" s="136"/>
      <c r="V379" s="137">
        <f>(Tabla1[[#This Row],[COS.BASE 3]]*0.25+Tabla1[[#This Row],[COS.BASE 3]])*Tabla1[[#This Row],[HORAS 25 % ]]</f>
        <v>0</v>
      </c>
      <c r="W379" s="138">
        <f>(Tabla1[[#This Row],[COS.BASE 3]]*0.35+Tabla1[[#This Row],[COS.BASE 3]])*Tabla1[[#This Row],[HORAS 35% ]]</f>
        <v>0</v>
      </c>
      <c r="X379" s="138">
        <f>SUM(Tabla1[[#This Row],[C.HORA.35]],Tabla1[[#This Row],[C.HORA.25]])</f>
        <v>0</v>
      </c>
      <c r="Y379" s="4"/>
      <c r="Z379" s="10">
        <f>Tabla1[[#This Row],[T.HORAS]]*24</f>
        <v>9.9999999999999982</v>
      </c>
      <c r="AA379" s="4">
        <f>Tabla1[[#This Row],[H.NORMALES]]*24</f>
        <v>8</v>
      </c>
      <c r="AB379" s="10">
        <f>Tabla1[[#This Row],[H.EXTRAS]]*24</f>
        <v>1.9999999999999982</v>
      </c>
      <c r="AC379" s="105">
        <f t="shared" si="18"/>
        <v>65</v>
      </c>
      <c r="AD379" s="120">
        <f>Tabla1[[#This Row],[COS.BASE 2]]/8</f>
        <v>8.125</v>
      </c>
      <c r="AE379" s="105">
        <f>Tabla1[[#This Row],[CST_H_E]]+Tabla1[[#This Row],[COS.BASE 2]]</f>
        <v>65</v>
      </c>
      <c r="AF379" s="106">
        <f>+_xlfn.IFNA(INDEX(RUBRO!$W$2:$AA$732,MATCH(Tabla1[[#This Row],[FECHA ]],RUBRO!$W$2:$W$732,0),5)," ")</f>
        <v>0</v>
      </c>
      <c r="AG379" s="10">
        <f>+_xlfn.IFNA(INDEX(RUBRO!$W$2:$AA$732,MATCH(Tabla1[[#This Row],[FECHA ]],RUBRO!$W$2:$W$732,0),2)," ")</f>
        <v>0</v>
      </c>
      <c r="AH379" s="40">
        <f>IFERROR(Tabla1[[#This Row],[F]]*Tabla1[[#This Row],[COS.B+E]]," ")</f>
        <v>0</v>
      </c>
      <c r="AI379" s="40">
        <f>IFERROR(Tabla1[[#This Row],[COS.B+E]]*Tabla1[[#This Row],[D]]," ")</f>
        <v>0</v>
      </c>
      <c r="AJ379" s="40" t="str">
        <f>IFERROR(Tabla1[[#This Row],[F]]*#REF!," ")</f>
        <v xml:space="preserve"> </v>
      </c>
      <c r="AK379" s="40" t="str">
        <f>IFERROR(#REF!*Tabla1[[#This Row],[D]]," ")</f>
        <v xml:space="preserve"> </v>
      </c>
      <c r="AL379" s="103"/>
      <c r="AM379" s="103"/>
      <c r="AN379" s="103"/>
      <c r="AO379" s="38">
        <f>+Tabla1[[#This Row],[COS.B+E]]+Tabla1[[#This Row],[COS.F1]]+Tabla1[[#This Row],[COS.D1]]+Tabla1[[#This Row],[ALIMENTACION]]+Tabla1[[#This Row],[PRESTAMO]]+AN379</f>
        <v>65</v>
      </c>
      <c r="AP379" s="38" t="e">
        <f>+#REF!+Tabla1[[#This Row],[COS F2]]+Tabla1[[#This Row],[COS D2]]+Tabla1[[#This Row],[ALIMENTACION]]+Tabla1[[#This Row],[PRESTAMO]]+Tabla1[[#This Row],[PASAJES]]</f>
        <v>#REF!</v>
      </c>
    </row>
    <row r="380" spans="1:44" x14ac:dyDescent="0.25">
      <c r="A380" s="2" t="str">
        <f>TEXT(Tabla1[[#This Row],[FECHA ]],"DDDDD")</f>
        <v>jueves</v>
      </c>
      <c r="B380" s="2" t="str">
        <f>_xlfn.IFNA(VLOOKUP(Tabla1[[#This Row],[DESTINO]],RUBRO!$Q$1:$R$9996,2,FALSE)," ")</f>
        <v>PLANTA</v>
      </c>
      <c r="C380" s="104">
        <f>WEEKNUM(Tabla1[[#This Row],[FECHA ]],2)</f>
        <v>20</v>
      </c>
      <c r="D380" s="104" t="str">
        <f>TEXT(Tabla1[[#This Row],[FECHA ]],"MMM-YY")</f>
        <v>may-YY</v>
      </c>
      <c r="E380" s="104" t="str">
        <f>VLOOKUP(Tabla1[[#This Row],[DNI ]],RUBRO!$F$1:$O$9996,7,FALSE)</f>
        <v>5ta</v>
      </c>
      <c r="F380" s="104" t="e">
        <f>VLOOKUP(Tabla1[[#This Row],[DNI ]],RUBRO!$F$1:$O$88,3,FALSE)</f>
        <v>#N/A</v>
      </c>
      <c r="G380" s="104" t="str">
        <f>VLOOKUP(Tabla1[[#This Row],[DNI ]],RUBRO!$F$1:$O$9996,5,FALSE)</f>
        <v>AYUDANTE DE PRODUCCION</v>
      </c>
      <c r="H380" s="66" t="str">
        <f>VLOOKUP(Tabla1[[#This Row],[DNI ]],RUBRO!$F$1:$O$9996,6,FALSE)</f>
        <v>NIQUEN CHAFLOQUE LUIS</v>
      </c>
      <c r="I380" s="94">
        <v>44329</v>
      </c>
      <c r="J380" s="10">
        <v>1</v>
      </c>
      <c r="K380" s="2">
        <v>16723336</v>
      </c>
      <c r="L380" s="4">
        <f>VLOOKUP(Tabla1[[#This Row],[DNI ]],RUBRO!$F$2:$O$9996,8,FALSE)</f>
        <v>55</v>
      </c>
      <c r="M380" s="88">
        <v>0.29166666666666669</v>
      </c>
      <c r="N380" s="28">
        <v>0.54166666666666663</v>
      </c>
      <c r="O380" s="28">
        <v>0.58333333333333337</v>
      </c>
      <c r="P380" s="28">
        <v>0.70833333333333337</v>
      </c>
      <c r="Q380" s="31">
        <f>(Tabla1[[#This Row],[SALIDA]]-Tabla1[[#This Row],[FIN ]])+(Tabla1[[#This Row],[INICIO]]-Tabla1[[#This Row],[INGRESO]])</f>
        <v>0.37499999999999994</v>
      </c>
      <c r="R380" s="13">
        <f t="shared" si="16"/>
        <v>0.37499999999999994</v>
      </c>
      <c r="S380" s="31">
        <f t="shared" si="17"/>
        <v>0</v>
      </c>
      <c r="T380" s="136"/>
      <c r="U380" s="136"/>
      <c r="V380" s="137">
        <f>(Tabla1[[#This Row],[COS.BASE 3]]*0.25+Tabla1[[#This Row],[COS.BASE 3]])*Tabla1[[#This Row],[HORAS 25 % ]]</f>
        <v>0</v>
      </c>
      <c r="W380" s="138">
        <f>(Tabla1[[#This Row],[COS.BASE 3]]*0.35+Tabla1[[#This Row],[COS.BASE 3]])*Tabla1[[#This Row],[HORAS 35% ]]</f>
        <v>0</v>
      </c>
      <c r="X380" s="138">
        <f>SUM(Tabla1[[#This Row],[C.HORA.35]],Tabla1[[#This Row],[C.HORA.25]])</f>
        <v>0</v>
      </c>
      <c r="Y380" s="4"/>
      <c r="Z380" s="10">
        <f>Tabla1[[#This Row],[T.HORAS]]*24</f>
        <v>8.9999999999999982</v>
      </c>
      <c r="AA380" s="4">
        <f>Tabla1[[#This Row],[H.NORMALES]]*24</f>
        <v>8.9999999999999982</v>
      </c>
      <c r="AB380" s="10">
        <f>Tabla1[[#This Row],[H.EXTRAS]]*24</f>
        <v>0</v>
      </c>
      <c r="AC380" s="105">
        <f t="shared" si="18"/>
        <v>54.999999999999986</v>
      </c>
      <c r="AD380" s="120">
        <f>Tabla1[[#This Row],[COS.BASE 2]]/8</f>
        <v>6.8749999999999982</v>
      </c>
      <c r="AE380" s="105">
        <f>Tabla1[[#This Row],[CST_H_E]]+Tabla1[[#This Row],[COS.BASE 2]]</f>
        <v>54.999999999999986</v>
      </c>
      <c r="AF380" s="106">
        <f>+_xlfn.IFNA(INDEX(RUBRO!$W$2:$AA$732,MATCH(Tabla1[[#This Row],[FECHA ]],RUBRO!$W$2:$W$732,0),5)," ")</f>
        <v>0</v>
      </c>
      <c r="AG380" s="10">
        <f>+_xlfn.IFNA(INDEX(RUBRO!$W$2:$AA$732,MATCH(Tabla1[[#This Row],[FECHA ]],RUBRO!$W$2:$W$732,0),2)," ")</f>
        <v>0</v>
      </c>
      <c r="AH380" s="40">
        <f>IFERROR(Tabla1[[#This Row],[F]]*Tabla1[[#This Row],[COS.B+E]]," ")</f>
        <v>0</v>
      </c>
      <c r="AI380" s="40">
        <f>IFERROR(Tabla1[[#This Row],[COS.B+E]]*Tabla1[[#This Row],[D]]," ")</f>
        <v>0</v>
      </c>
      <c r="AJ380" s="40" t="str">
        <f>IFERROR(Tabla1[[#This Row],[F]]*#REF!," ")</f>
        <v xml:space="preserve"> </v>
      </c>
      <c r="AK380" s="40" t="str">
        <f>IFERROR(#REF!*Tabla1[[#This Row],[D]]," ")</f>
        <v xml:space="preserve"> </v>
      </c>
      <c r="AL380" s="107"/>
      <c r="AM380" s="107"/>
      <c r="AN380" s="107"/>
      <c r="AO380" s="38">
        <f>+Tabla1[[#This Row],[COS.B+E]]+Tabla1[[#This Row],[COS.F1]]+Tabla1[[#This Row],[COS.D1]]+Tabla1[[#This Row],[ALIMENTACION]]+Tabla1[[#This Row],[PRESTAMO]]+AN380</f>
        <v>54.999999999999986</v>
      </c>
      <c r="AP380" s="38" t="e">
        <f>+#REF!+Tabla1[[#This Row],[COS F2]]+Tabla1[[#This Row],[COS D2]]+Tabla1[[#This Row],[ALIMENTACION]]+Tabla1[[#This Row],[PRESTAMO]]+Tabla1[[#This Row],[PASAJES]]</f>
        <v>#REF!</v>
      </c>
      <c r="AQ380" s="107"/>
      <c r="AR380" s="107"/>
    </row>
    <row r="381" spans="1:44" x14ac:dyDescent="0.25">
      <c r="A381" s="2" t="str">
        <f>TEXT(Tabla1[[#This Row],[FECHA ]],"DDDDD")</f>
        <v>jueves</v>
      </c>
      <c r="B381" s="2" t="str">
        <f>_xlfn.IFNA(VLOOKUP(Tabla1[[#This Row],[DESTINO]],RUBRO!$Q$1:$R$9996,2,FALSE)," ")</f>
        <v>PLANTA</v>
      </c>
      <c r="C381" s="104">
        <f>WEEKNUM(Tabla1[[#This Row],[FECHA ]],2)</f>
        <v>20</v>
      </c>
      <c r="D381" s="104" t="str">
        <f>TEXT(Tabla1[[#This Row],[FECHA ]],"MMM-YY")</f>
        <v>may-YY</v>
      </c>
      <c r="E381" s="104" t="str">
        <f>VLOOKUP(Tabla1[[#This Row],[DNI ]],RUBRO!$F$1:$O$9996,7,FALSE)</f>
        <v>5ta</v>
      </c>
      <c r="F381" s="104" t="e">
        <f>VLOOKUP(Tabla1[[#This Row],[DNI ]],RUBRO!$F$1:$O$88,3,FALSE)</f>
        <v>#N/A</v>
      </c>
      <c r="G381" s="104">
        <f>VLOOKUP(Tabla1[[#This Row],[DNI ]],RUBRO!$F$1:$O$9996,5,FALSE)</f>
        <v>0</v>
      </c>
      <c r="H381" s="66" t="str">
        <f>VLOOKUP(Tabla1[[#This Row],[DNI ]],RUBRO!$F$1:$O$9996,6,FALSE)</f>
        <v>OLANO GARCIA</v>
      </c>
      <c r="I381" s="94">
        <v>44329</v>
      </c>
      <c r="J381" s="10">
        <v>1</v>
      </c>
      <c r="K381" s="2">
        <v>41234982</v>
      </c>
      <c r="L381" s="4">
        <f>VLOOKUP(Tabla1[[#This Row],[DNI ]],RUBRO!$F$2:$O$9996,8,FALSE)</f>
        <v>0</v>
      </c>
      <c r="M381" s="88">
        <v>0.29166666666666669</v>
      </c>
      <c r="N381" s="28">
        <v>0.54166666666666663</v>
      </c>
      <c r="O381" s="28">
        <v>0.58333333333333337</v>
      </c>
      <c r="P381" s="28">
        <v>0.70833333333333337</v>
      </c>
      <c r="Q381" s="31">
        <f>(Tabla1[[#This Row],[SALIDA]]-Tabla1[[#This Row],[FIN ]])+(Tabla1[[#This Row],[INICIO]]-Tabla1[[#This Row],[INGRESO]])</f>
        <v>0.37499999999999994</v>
      </c>
      <c r="R381" s="13">
        <f t="shared" si="16"/>
        <v>0.37499999999999994</v>
      </c>
      <c r="S381" s="31">
        <f t="shared" si="17"/>
        <v>0</v>
      </c>
      <c r="T381" s="136"/>
      <c r="U381" s="136"/>
      <c r="V381" s="137">
        <f>(Tabla1[[#This Row],[COS.BASE 3]]*0.25+Tabla1[[#This Row],[COS.BASE 3]])*Tabla1[[#This Row],[HORAS 25 % ]]</f>
        <v>0</v>
      </c>
      <c r="W381" s="138">
        <f>(Tabla1[[#This Row],[COS.BASE 3]]*0.35+Tabla1[[#This Row],[COS.BASE 3]])*Tabla1[[#This Row],[HORAS 35% ]]</f>
        <v>0</v>
      </c>
      <c r="X381" s="138">
        <f>SUM(Tabla1[[#This Row],[C.HORA.35]],Tabla1[[#This Row],[C.HORA.25]])</f>
        <v>0</v>
      </c>
      <c r="Y381" s="4"/>
      <c r="Z381" s="10">
        <f>Tabla1[[#This Row],[T.HORAS]]*24</f>
        <v>8.9999999999999982</v>
      </c>
      <c r="AA381" s="4">
        <f>Tabla1[[#This Row],[H.NORMALES]]*24</f>
        <v>8.9999999999999982</v>
      </c>
      <c r="AB381" s="10">
        <f>Tabla1[[#This Row],[H.EXTRAS]]*24</f>
        <v>0</v>
      </c>
      <c r="AC381" s="105">
        <f t="shared" si="18"/>
        <v>0</v>
      </c>
      <c r="AD381" s="120">
        <f>Tabla1[[#This Row],[COS.BASE 2]]/8</f>
        <v>0</v>
      </c>
      <c r="AE381" s="105">
        <f>Tabla1[[#This Row],[CST_H_E]]+Tabla1[[#This Row],[COS.BASE 2]]</f>
        <v>0</v>
      </c>
      <c r="AF381" s="106">
        <f>+_xlfn.IFNA(INDEX(RUBRO!$W$2:$AA$732,MATCH(Tabla1[[#This Row],[FECHA ]],RUBRO!$W$2:$W$732,0),5)," ")</f>
        <v>0</v>
      </c>
      <c r="AG381" s="10">
        <f>+_xlfn.IFNA(INDEX(RUBRO!$W$2:$AA$732,MATCH(Tabla1[[#This Row],[FECHA ]],RUBRO!$W$2:$W$732,0),2)," ")</f>
        <v>0</v>
      </c>
      <c r="AH381" s="40">
        <f>IFERROR(Tabla1[[#This Row],[F]]*Tabla1[[#This Row],[COS.B+E]]," ")</f>
        <v>0</v>
      </c>
      <c r="AI381" s="40">
        <f>IFERROR(Tabla1[[#This Row],[COS.B+E]]*Tabla1[[#This Row],[D]]," ")</f>
        <v>0</v>
      </c>
      <c r="AJ381" s="40" t="str">
        <f>IFERROR(Tabla1[[#This Row],[F]]*#REF!," ")</f>
        <v xml:space="preserve"> </v>
      </c>
      <c r="AK381" s="40" t="str">
        <f>IFERROR(#REF!*Tabla1[[#This Row],[D]]," ")</f>
        <v xml:space="preserve"> </v>
      </c>
      <c r="AL381" s="103"/>
      <c r="AM381" s="103"/>
      <c r="AN381" s="103"/>
      <c r="AO381" s="38">
        <f>+Tabla1[[#This Row],[COS.B+E]]+Tabla1[[#This Row],[COS.F1]]+Tabla1[[#This Row],[COS.D1]]+Tabla1[[#This Row],[ALIMENTACION]]+Tabla1[[#This Row],[PRESTAMO]]+AN381</f>
        <v>0</v>
      </c>
      <c r="AP381" s="38" t="e">
        <f>+#REF!+Tabla1[[#This Row],[COS F2]]+Tabla1[[#This Row],[COS D2]]+Tabla1[[#This Row],[ALIMENTACION]]+Tabla1[[#This Row],[PRESTAMO]]+Tabla1[[#This Row],[PASAJES]]</f>
        <v>#REF!</v>
      </c>
    </row>
    <row r="382" spans="1:44" x14ac:dyDescent="0.25">
      <c r="A382" s="2" t="str">
        <f>TEXT(Tabla1[[#This Row],[FECHA ]],"DDDDD")</f>
        <v>jueves</v>
      </c>
      <c r="B382" s="2" t="str">
        <f>_xlfn.IFNA(VLOOKUP(Tabla1[[#This Row],[DESTINO]],RUBRO!$Q$1:$R$9996,2,FALSE)," ")</f>
        <v>PLANTA</v>
      </c>
      <c r="C382" s="104">
        <f>WEEKNUM(Tabla1[[#This Row],[FECHA ]],2)</f>
        <v>20</v>
      </c>
      <c r="D382" s="104" t="str">
        <f>TEXT(Tabla1[[#This Row],[FECHA ]],"MMM-YY")</f>
        <v>may-YY</v>
      </c>
      <c r="E382" s="104" t="str">
        <f>VLOOKUP(Tabla1[[#This Row],[DNI ]],RUBRO!$F$1:$O$9996,7,FALSE)</f>
        <v>5ta</v>
      </c>
      <c r="F382" s="104" t="str">
        <f>VLOOKUP(Tabla1[[#This Row],[DNI ]],RUBRO!$F$1:$O$88,3,FALSE)</f>
        <v>TEC-05</v>
      </c>
      <c r="G382" s="104" t="str">
        <f>VLOOKUP(Tabla1[[#This Row],[DNI ]],RUBRO!$F$1:$O$9996,5,FALSE)</f>
        <v>TECNICO MECANICO MONTAJISTA DE NAVE INDUSTRIAL</v>
      </c>
      <c r="H382" s="66" t="str">
        <f>VLOOKUP(Tabla1[[#This Row],[DNI ]],RUBRO!$F$1:$O$9996,6,FALSE)</f>
        <v>ORTIZ PANTALEON POLH MANIX</v>
      </c>
      <c r="I382" s="94">
        <v>44329</v>
      </c>
      <c r="J382" s="10">
        <v>1</v>
      </c>
      <c r="K382" s="2">
        <v>45821420</v>
      </c>
      <c r="L382" s="4">
        <f>VLOOKUP(Tabla1[[#This Row],[DNI ]],RUBRO!$F$2:$O$9996,8,FALSE)</f>
        <v>56.55</v>
      </c>
      <c r="M382" s="88">
        <v>0.29166666666666669</v>
      </c>
      <c r="N382" s="28">
        <v>0.54166666666666663</v>
      </c>
      <c r="O382" s="28">
        <v>0.58333333333333337</v>
      </c>
      <c r="P382" s="28">
        <v>0.75</v>
      </c>
      <c r="Q382" s="31">
        <f>(Tabla1[[#This Row],[SALIDA]]-Tabla1[[#This Row],[FIN ]])+(Tabla1[[#This Row],[INICIO]]-Tabla1[[#This Row],[INGRESO]])</f>
        <v>0.41666666666666657</v>
      </c>
      <c r="R382" s="13">
        <f t="shared" si="16"/>
        <v>0.375</v>
      </c>
      <c r="S382" s="31">
        <f t="shared" si="17"/>
        <v>4.1666666666666574E-2</v>
      </c>
      <c r="T382" s="136"/>
      <c r="U382" s="136"/>
      <c r="V382" s="137">
        <f>(Tabla1[[#This Row],[COS.BASE 3]]*0.25+Tabla1[[#This Row],[COS.BASE 3]])*Tabla1[[#This Row],[HORAS 25 % ]]</f>
        <v>0</v>
      </c>
      <c r="W382" s="138">
        <f>(Tabla1[[#This Row],[COS.BASE 3]]*0.35+Tabla1[[#This Row],[COS.BASE 3]])*Tabla1[[#This Row],[HORAS 35% ]]</f>
        <v>0</v>
      </c>
      <c r="X382" s="138">
        <f>SUM(Tabla1[[#This Row],[C.HORA.35]],Tabla1[[#This Row],[C.HORA.25]])</f>
        <v>0</v>
      </c>
      <c r="Y382" s="4"/>
      <c r="Z382" s="10">
        <f>Tabla1[[#This Row],[T.HORAS]]*24</f>
        <v>9.9999999999999982</v>
      </c>
      <c r="AA382" s="4">
        <f>Tabla1[[#This Row],[H.NORMALES]]*24</f>
        <v>9</v>
      </c>
      <c r="AB382" s="10">
        <f>Tabla1[[#This Row],[H.EXTRAS]]*24</f>
        <v>0.99999999999999778</v>
      </c>
      <c r="AC382" s="105">
        <f t="shared" si="18"/>
        <v>56.55</v>
      </c>
      <c r="AD382" s="120">
        <f>Tabla1[[#This Row],[COS.BASE 2]]/8</f>
        <v>7.0687499999999996</v>
      </c>
      <c r="AE382" s="105">
        <f>Tabla1[[#This Row],[CST_H_E]]+Tabla1[[#This Row],[COS.BASE 2]]</f>
        <v>56.55</v>
      </c>
      <c r="AF382" s="106">
        <f>+_xlfn.IFNA(INDEX(RUBRO!$W$2:$AA$732,MATCH(Tabla1[[#This Row],[FECHA ]],RUBRO!$W$2:$W$732,0),5)," ")</f>
        <v>0</v>
      </c>
      <c r="AG382" s="10">
        <f>+_xlfn.IFNA(INDEX(RUBRO!$W$2:$AA$732,MATCH(Tabla1[[#This Row],[FECHA ]],RUBRO!$W$2:$W$732,0),2)," ")</f>
        <v>0</v>
      </c>
      <c r="AH382" s="40">
        <f>IFERROR(Tabla1[[#This Row],[F]]*Tabla1[[#This Row],[COS.B+E]]," ")</f>
        <v>0</v>
      </c>
      <c r="AI382" s="40">
        <f>IFERROR(Tabla1[[#This Row],[COS.B+E]]*Tabla1[[#This Row],[D]]," ")</f>
        <v>0</v>
      </c>
      <c r="AJ382" s="40" t="str">
        <f>IFERROR(Tabla1[[#This Row],[F]]*#REF!," ")</f>
        <v xml:space="preserve"> </v>
      </c>
      <c r="AK382" s="40" t="str">
        <f>IFERROR(#REF!*Tabla1[[#This Row],[D]]," ")</f>
        <v xml:space="preserve"> </v>
      </c>
      <c r="AL382" s="103"/>
      <c r="AM382" s="103"/>
      <c r="AN382" s="103"/>
      <c r="AO382" s="38">
        <f>+Tabla1[[#This Row],[COS.B+E]]+Tabla1[[#This Row],[COS.F1]]+Tabla1[[#This Row],[COS.D1]]+Tabla1[[#This Row],[ALIMENTACION]]+Tabla1[[#This Row],[PRESTAMO]]+AN382</f>
        <v>56.55</v>
      </c>
      <c r="AP382" s="38" t="e">
        <f>+#REF!+Tabla1[[#This Row],[COS F2]]+Tabla1[[#This Row],[COS D2]]+Tabla1[[#This Row],[ALIMENTACION]]+Tabla1[[#This Row],[PRESTAMO]]+Tabla1[[#This Row],[PASAJES]]</f>
        <v>#REF!</v>
      </c>
    </row>
    <row r="383" spans="1:44" x14ac:dyDescent="0.25">
      <c r="A383" s="2" t="str">
        <f>TEXT(Tabla1[[#This Row],[FECHA ]],"DDDDD")</f>
        <v>jueves</v>
      </c>
      <c r="B383" s="2" t="str">
        <f>_xlfn.IFNA(VLOOKUP(Tabla1[[#This Row],[DESTINO]],RUBRO!$Q$1:$R$9996,2,FALSE)," ")</f>
        <v>PLANTA</v>
      </c>
      <c r="C383" s="104">
        <f>WEEKNUM(Tabla1[[#This Row],[FECHA ]],2)</f>
        <v>20</v>
      </c>
      <c r="D383" s="104" t="str">
        <f>TEXT(Tabla1[[#This Row],[FECHA ]],"MMM-YY")</f>
        <v>may-YY</v>
      </c>
      <c r="E383" s="104" t="str">
        <f>VLOOKUP(Tabla1[[#This Row],[DNI ]],RUBRO!$F$1:$O$9996,7,FALSE)</f>
        <v>5ta</v>
      </c>
      <c r="F383" s="104" t="str">
        <f>VLOOKUP(Tabla1[[#This Row],[DNI ]],RUBRO!$F$1:$O$88,3,FALSE)</f>
        <v>TEC-01</v>
      </c>
      <c r="G383" s="104" t="str">
        <f>VLOOKUP(Tabla1[[#This Row],[DNI ]],RUBRO!$F$1:$O$9996,5,FALSE)</f>
        <v>TECNICO SOLDADOR</v>
      </c>
      <c r="H383" s="66" t="str">
        <f>VLOOKUP(Tabla1[[#This Row],[DNI ]],RUBRO!$F$1:$O$9996,6,FALSE)</f>
        <v>PANDO SALAZAR LUIS BRYAN</v>
      </c>
      <c r="I383" s="94">
        <v>44329</v>
      </c>
      <c r="J383" s="10">
        <v>1</v>
      </c>
      <c r="K383" s="2">
        <v>47887505</v>
      </c>
      <c r="L383" s="4">
        <f>VLOOKUP(Tabla1[[#This Row],[DNI ]],RUBRO!$F$2:$O$9996,8,FALSE)</f>
        <v>66.48</v>
      </c>
      <c r="M383" s="88">
        <v>0.29166666666666669</v>
      </c>
      <c r="N383" s="28">
        <v>0.54166666666666663</v>
      </c>
      <c r="O383" s="28">
        <v>0.58333333333333337</v>
      </c>
      <c r="P383" s="28">
        <v>0.79166666666666663</v>
      </c>
      <c r="Q383" s="31">
        <f>(Tabla1[[#This Row],[SALIDA]]-Tabla1[[#This Row],[FIN ]])+(Tabla1[[#This Row],[INICIO]]-Tabla1[[#This Row],[INGRESO]])</f>
        <v>0.4583333333333332</v>
      </c>
      <c r="R383" s="13">
        <f t="shared" si="16"/>
        <v>0.375</v>
      </c>
      <c r="S383" s="31">
        <f t="shared" si="17"/>
        <v>8.3333333333333204E-2</v>
      </c>
      <c r="T383" s="136"/>
      <c r="U383" s="136"/>
      <c r="V383" s="137">
        <f>(Tabla1[[#This Row],[COS.BASE 3]]*0.25+Tabla1[[#This Row],[COS.BASE 3]])*Tabla1[[#This Row],[HORAS 25 % ]]</f>
        <v>0</v>
      </c>
      <c r="W383" s="138">
        <f>(Tabla1[[#This Row],[COS.BASE 3]]*0.35+Tabla1[[#This Row],[COS.BASE 3]])*Tabla1[[#This Row],[HORAS 35% ]]</f>
        <v>0</v>
      </c>
      <c r="X383" s="138">
        <f>SUM(Tabla1[[#This Row],[C.HORA.35]],Tabla1[[#This Row],[C.HORA.25]])</f>
        <v>0</v>
      </c>
      <c r="Y383" s="4"/>
      <c r="Z383" s="10">
        <f>Tabla1[[#This Row],[T.HORAS]]*24</f>
        <v>10.999999999999996</v>
      </c>
      <c r="AA383" s="4">
        <f>Tabla1[[#This Row],[H.NORMALES]]*24</f>
        <v>9</v>
      </c>
      <c r="AB383" s="10">
        <f>Tabla1[[#This Row],[H.EXTRAS]]*24</f>
        <v>1.9999999999999969</v>
      </c>
      <c r="AC383" s="105">
        <f t="shared" si="18"/>
        <v>66.48</v>
      </c>
      <c r="AD383" s="120">
        <f>Tabla1[[#This Row],[COS.BASE 2]]/8</f>
        <v>8.31</v>
      </c>
      <c r="AE383" s="105">
        <f>Tabla1[[#This Row],[CST_H_E]]+Tabla1[[#This Row],[COS.BASE 2]]</f>
        <v>66.48</v>
      </c>
      <c r="AF383" s="106">
        <f>+_xlfn.IFNA(INDEX(RUBRO!$W$2:$AA$732,MATCH(Tabla1[[#This Row],[FECHA ]],RUBRO!$W$2:$W$732,0),5)," ")</f>
        <v>0</v>
      </c>
      <c r="AG383" s="10">
        <f>+_xlfn.IFNA(INDEX(RUBRO!$W$2:$AA$732,MATCH(Tabla1[[#This Row],[FECHA ]],RUBRO!$W$2:$W$732,0),2)," ")</f>
        <v>0</v>
      </c>
      <c r="AH383" s="40">
        <f>IFERROR(Tabla1[[#This Row],[F]]*Tabla1[[#This Row],[COS.B+E]]," ")</f>
        <v>0</v>
      </c>
      <c r="AI383" s="40">
        <f>IFERROR(Tabla1[[#This Row],[COS.B+E]]*Tabla1[[#This Row],[D]]," ")</f>
        <v>0</v>
      </c>
      <c r="AJ383" s="40" t="str">
        <f>IFERROR(Tabla1[[#This Row],[F]]*#REF!," ")</f>
        <v xml:space="preserve"> </v>
      </c>
      <c r="AK383" s="40" t="str">
        <f>IFERROR(#REF!*Tabla1[[#This Row],[D]]," ")</f>
        <v xml:space="preserve"> </v>
      </c>
      <c r="AL383" s="103"/>
      <c r="AM383" s="103"/>
      <c r="AN383" s="103"/>
      <c r="AO383" s="38">
        <f>+Tabla1[[#This Row],[COS.B+E]]+Tabla1[[#This Row],[COS.F1]]+Tabla1[[#This Row],[COS.D1]]+Tabla1[[#This Row],[ALIMENTACION]]+Tabla1[[#This Row],[PRESTAMO]]+AN383</f>
        <v>66.48</v>
      </c>
      <c r="AP383" s="38" t="e">
        <f>+#REF!+Tabla1[[#This Row],[COS F2]]+Tabla1[[#This Row],[COS D2]]+Tabla1[[#This Row],[ALIMENTACION]]+Tabla1[[#This Row],[PRESTAMO]]+Tabla1[[#This Row],[PASAJES]]</f>
        <v>#REF!</v>
      </c>
    </row>
    <row r="384" spans="1:44" x14ac:dyDescent="0.25">
      <c r="A384" s="2" t="str">
        <f>TEXT(Tabla1[[#This Row],[FECHA ]],"DDDDD")</f>
        <v>jueves</v>
      </c>
      <c r="B384" s="2" t="str">
        <f>_xlfn.IFNA(VLOOKUP(Tabla1[[#This Row],[DESTINO]],RUBRO!$Q$1:$R$9996,2,FALSE)," ")</f>
        <v>FALTA</v>
      </c>
      <c r="C384" s="104">
        <f>WEEKNUM(Tabla1[[#This Row],[FECHA ]],2)</f>
        <v>20</v>
      </c>
      <c r="D384" s="104" t="str">
        <f>TEXT(Tabla1[[#This Row],[FECHA ]],"MMM-YY")</f>
        <v>may-YY</v>
      </c>
      <c r="E384" s="104" t="str">
        <f>VLOOKUP(Tabla1[[#This Row],[DNI ]],RUBRO!$F$1:$O$9996,7,FALSE)</f>
        <v>5ta</v>
      </c>
      <c r="F384" s="104" t="e">
        <f>VLOOKUP(Tabla1[[#This Row],[DNI ]],RUBRO!$F$1:$O$88,3,FALSE)</f>
        <v>#N/A</v>
      </c>
      <c r="G384" s="104">
        <f>VLOOKUP(Tabla1[[#This Row],[DNI ]],RUBRO!$F$1:$O$9996,5,FALSE)</f>
        <v>0</v>
      </c>
      <c r="H384" s="66" t="str">
        <f>VLOOKUP(Tabla1[[#This Row],[DNI ]],RUBRO!$F$1:$O$9996,6,FALSE)</f>
        <v xml:space="preserve">PECHE CHAPOÑAN ALBERTO </v>
      </c>
      <c r="I384" s="94">
        <v>44329</v>
      </c>
      <c r="J384" s="10">
        <v>4</v>
      </c>
      <c r="K384" s="2">
        <v>77226886</v>
      </c>
      <c r="L384" s="4">
        <f>VLOOKUP(Tabla1[[#This Row],[DNI ]],RUBRO!$F$2:$O$9996,8,FALSE)</f>
        <v>80</v>
      </c>
      <c r="M384" s="88"/>
      <c r="N384" s="28"/>
      <c r="P384" s="28"/>
      <c r="Q384" s="31">
        <f>(Tabla1[[#This Row],[SALIDA]]-Tabla1[[#This Row],[FIN ]])+(Tabla1[[#This Row],[INICIO]]-Tabla1[[#This Row],[INGRESO]])</f>
        <v>0</v>
      </c>
      <c r="R384" s="13">
        <f t="shared" si="16"/>
        <v>0</v>
      </c>
      <c r="S384" s="31">
        <f t="shared" si="17"/>
        <v>0</v>
      </c>
      <c r="T384" s="136"/>
      <c r="U384" s="136"/>
      <c r="V384" s="137">
        <f>(Tabla1[[#This Row],[COS.BASE 3]]*0.25+Tabla1[[#This Row],[COS.BASE 3]])*Tabla1[[#This Row],[HORAS 25 % ]]</f>
        <v>0</v>
      </c>
      <c r="W384" s="138">
        <f>(Tabla1[[#This Row],[COS.BASE 3]]*0.35+Tabla1[[#This Row],[COS.BASE 3]])*Tabla1[[#This Row],[HORAS 35% ]]</f>
        <v>0</v>
      </c>
      <c r="X384" s="138">
        <f>SUM(Tabla1[[#This Row],[C.HORA.35]],Tabla1[[#This Row],[C.HORA.25]])</f>
        <v>0</v>
      </c>
      <c r="Y384" s="4"/>
      <c r="Z384" s="10">
        <f>Tabla1[[#This Row],[T.HORAS]]*24</f>
        <v>0</v>
      </c>
      <c r="AA384" s="4">
        <f>Tabla1[[#This Row],[H.NORMALES]]*24</f>
        <v>0</v>
      </c>
      <c r="AB384" s="10">
        <f>Tabla1[[#This Row],[H.EXTRAS]]*24</f>
        <v>0</v>
      </c>
      <c r="AC384" s="105">
        <f t="shared" si="18"/>
        <v>0</v>
      </c>
      <c r="AD384" s="120">
        <f>Tabla1[[#This Row],[COS.BASE 2]]/8</f>
        <v>0</v>
      </c>
      <c r="AE384" s="105">
        <f>Tabla1[[#This Row],[CST_H_E]]+Tabla1[[#This Row],[COS.BASE 2]]</f>
        <v>0</v>
      </c>
      <c r="AF384" s="106">
        <f>+_xlfn.IFNA(INDEX(RUBRO!$W$2:$AA$732,MATCH(Tabla1[[#This Row],[FECHA ]],RUBRO!$W$2:$W$732,0),5)," ")</f>
        <v>0</v>
      </c>
      <c r="AG384" s="10">
        <f>+_xlfn.IFNA(INDEX(RUBRO!$W$2:$AA$732,MATCH(Tabla1[[#This Row],[FECHA ]],RUBRO!$W$2:$W$732,0),2)," ")</f>
        <v>0</v>
      </c>
      <c r="AH384" s="40">
        <f>IFERROR(Tabla1[[#This Row],[F]]*Tabla1[[#This Row],[COS.B+E]]," ")</f>
        <v>0</v>
      </c>
      <c r="AI384" s="40">
        <f>IFERROR(Tabla1[[#This Row],[COS.B+E]]*Tabla1[[#This Row],[D]]," ")</f>
        <v>0</v>
      </c>
      <c r="AJ384" s="40" t="str">
        <f>IFERROR(Tabla1[[#This Row],[F]]*#REF!," ")</f>
        <v xml:space="preserve"> </v>
      </c>
      <c r="AK384" s="40" t="str">
        <f>IFERROR(#REF!*Tabla1[[#This Row],[D]]," ")</f>
        <v xml:space="preserve"> </v>
      </c>
      <c r="AL384" s="103"/>
      <c r="AM384" s="103"/>
      <c r="AN384" s="103"/>
      <c r="AO384" s="38">
        <f>+Tabla1[[#This Row],[COS.B+E]]+Tabla1[[#This Row],[COS.F1]]+Tabla1[[#This Row],[COS.D1]]+Tabla1[[#This Row],[ALIMENTACION]]+Tabla1[[#This Row],[PRESTAMO]]+AN384</f>
        <v>0</v>
      </c>
      <c r="AP384" s="38" t="e">
        <f>+#REF!+Tabla1[[#This Row],[COS F2]]+Tabla1[[#This Row],[COS D2]]+Tabla1[[#This Row],[ALIMENTACION]]+Tabla1[[#This Row],[PRESTAMO]]+Tabla1[[#This Row],[PASAJES]]</f>
        <v>#REF!</v>
      </c>
    </row>
    <row r="385" spans="1:42" x14ac:dyDescent="0.25">
      <c r="A385" s="2" t="str">
        <f>TEXT(Tabla1[[#This Row],[FECHA ]],"DDDDD")</f>
        <v>jueves</v>
      </c>
      <c r="B385" s="2" t="str">
        <f>_xlfn.IFNA(VLOOKUP(Tabla1[[#This Row],[DESTINO]],RUBRO!$Q$1:$R$9996,2,FALSE)," ")</f>
        <v xml:space="preserve"> </v>
      </c>
      <c r="C385" s="104">
        <f>WEEKNUM(Tabla1[[#This Row],[FECHA ]],2)</f>
        <v>20</v>
      </c>
      <c r="D385" s="104" t="str">
        <f>TEXT(Tabla1[[#This Row],[FECHA ]],"MMM-YY")</f>
        <v>may-YY</v>
      </c>
      <c r="E385" s="104" t="str">
        <f>VLOOKUP(Tabla1[[#This Row],[DNI ]],RUBRO!$F$1:$O$9996,7,FALSE)</f>
        <v>5ta</v>
      </c>
      <c r="F385" s="104" t="str">
        <f>VLOOKUP(Tabla1[[#This Row],[DNI ]],RUBRO!$F$1:$O$88,3,FALSE)</f>
        <v>MEC-02</v>
      </c>
      <c r="G385" s="104" t="str">
        <f>VLOOKUP(Tabla1[[#This Row],[DNI ]],RUBRO!$F$1:$O$9996,5,FALSE)</f>
        <v>MECANICO MONTAJISTA DE MAQUINARIA</v>
      </c>
      <c r="H385" s="66" t="str">
        <f>VLOOKUP(Tabla1[[#This Row],[DNI ]],RUBRO!$F$1:$O$9996,6,FALSE)</f>
        <v>PEREZ VASQUEZ RONAL</v>
      </c>
      <c r="I385" s="94">
        <v>44329</v>
      </c>
      <c r="K385" s="2">
        <v>47942907</v>
      </c>
      <c r="L385" s="4">
        <f>VLOOKUP(Tabla1[[#This Row],[DNI ]],RUBRO!$F$2:$O$9996,8,FALSE)</f>
        <v>75</v>
      </c>
      <c r="M385" s="88"/>
      <c r="N385" s="28"/>
      <c r="P385" s="28"/>
      <c r="Q385" s="31">
        <f>(Tabla1[[#This Row],[SALIDA]]-Tabla1[[#This Row],[FIN ]])+(Tabla1[[#This Row],[INICIO]]-Tabla1[[#This Row],[INGRESO]])</f>
        <v>0</v>
      </c>
      <c r="R385" s="13">
        <f t="shared" si="16"/>
        <v>0</v>
      </c>
      <c r="S385" s="31">
        <f t="shared" si="17"/>
        <v>0</v>
      </c>
      <c r="T385" s="136"/>
      <c r="U385" s="136"/>
      <c r="V385" s="137">
        <f>(Tabla1[[#This Row],[COS.BASE 3]]*0.25+Tabla1[[#This Row],[COS.BASE 3]])*Tabla1[[#This Row],[HORAS 25 % ]]</f>
        <v>0</v>
      </c>
      <c r="W385" s="138">
        <f>(Tabla1[[#This Row],[COS.BASE 3]]*0.35+Tabla1[[#This Row],[COS.BASE 3]])*Tabla1[[#This Row],[HORAS 35% ]]</f>
        <v>0</v>
      </c>
      <c r="X385" s="138">
        <f>SUM(Tabla1[[#This Row],[C.HORA.35]],Tabla1[[#This Row],[C.HORA.25]])</f>
        <v>0</v>
      </c>
      <c r="Y385" s="4"/>
      <c r="Z385" s="10">
        <f>Tabla1[[#This Row],[T.HORAS]]*24</f>
        <v>0</v>
      </c>
      <c r="AA385" s="4">
        <f>Tabla1[[#This Row],[H.NORMALES]]*24</f>
        <v>0</v>
      </c>
      <c r="AB385" s="10">
        <f>Tabla1[[#This Row],[H.EXTRAS]]*24</f>
        <v>0</v>
      </c>
      <c r="AC385" s="105">
        <f t="shared" si="18"/>
        <v>0</v>
      </c>
      <c r="AD385" s="120">
        <f>Tabla1[[#This Row],[COS.BASE 2]]/8</f>
        <v>0</v>
      </c>
      <c r="AE385" s="105">
        <f>Tabla1[[#This Row],[CST_H_E]]+Tabla1[[#This Row],[COS.BASE 2]]</f>
        <v>0</v>
      </c>
      <c r="AF385" s="106">
        <f>+_xlfn.IFNA(INDEX(RUBRO!$W$2:$AA$732,MATCH(Tabla1[[#This Row],[FECHA ]],RUBRO!$W$2:$W$732,0),5)," ")</f>
        <v>0</v>
      </c>
      <c r="AG385" s="10">
        <f>+_xlfn.IFNA(INDEX(RUBRO!$W$2:$AA$732,MATCH(Tabla1[[#This Row],[FECHA ]],RUBRO!$W$2:$W$732,0),2)," ")</f>
        <v>0</v>
      </c>
      <c r="AH385" s="40">
        <f>IFERROR(Tabla1[[#This Row],[F]]*Tabla1[[#This Row],[COS.B+E]]," ")</f>
        <v>0</v>
      </c>
      <c r="AI385" s="40">
        <f>IFERROR(Tabla1[[#This Row],[COS.B+E]]*Tabla1[[#This Row],[D]]," ")</f>
        <v>0</v>
      </c>
      <c r="AJ385" s="40" t="str">
        <f>IFERROR(Tabla1[[#This Row],[F]]*#REF!," ")</f>
        <v xml:space="preserve"> </v>
      </c>
      <c r="AK385" s="40" t="str">
        <f>IFERROR(#REF!*Tabla1[[#This Row],[D]]," ")</f>
        <v xml:space="preserve"> </v>
      </c>
      <c r="AL385" s="103"/>
      <c r="AM385" s="103"/>
      <c r="AN385" s="103"/>
      <c r="AO385" s="38">
        <f>+Tabla1[[#This Row],[COS.B+E]]+Tabla1[[#This Row],[COS.F1]]+Tabla1[[#This Row],[COS.D1]]+Tabla1[[#This Row],[ALIMENTACION]]+Tabla1[[#This Row],[PRESTAMO]]+AN385</f>
        <v>0</v>
      </c>
      <c r="AP385" s="38" t="e">
        <f>+#REF!+Tabla1[[#This Row],[COS F2]]+Tabla1[[#This Row],[COS D2]]+Tabla1[[#This Row],[ALIMENTACION]]+Tabla1[[#This Row],[PRESTAMO]]+Tabla1[[#This Row],[PASAJES]]</f>
        <v>#REF!</v>
      </c>
    </row>
    <row r="386" spans="1:42" x14ac:dyDescent="0.25">
      <c r="A386" s="2" t="str">
        <f>TEXT(Tabla1[[#This Row],[FECHA ]],"DDDDD")</f>
        <v>jueves</v>
      </c>
      <c r="B386" s="2" t="str">
        <f>_xlfn.IFNA(VLOOKUP(Tabla1[[#This Row],[DESTINO]],RUBRO!$Q$1:$R$9996,2,FALSE)," ")</f>
        <v>PLANTA</v>
      </c>
      <c r="C386" s="104">
        <f>WEEKNUM(Tabla1[[#This Row],[FECHA ]],2)</f>
        <v>20</v>
      </c>
      <c r="D386" s="104" t="str">
        <f>TEXT(Tabla1[[#This Row],[FECHA ]],"MMM-YY")</f>
        <v>may-YY</v>
      </c>
      <c r="E386" s="104" t="str">
        <f>VLOOKUP(Tabla1[[#This Row],[DNI ]],RUBRO!$F$1:$O$9996,7,FALSE)</f>
        <v>5ta</v>
      </c>
      <c r="F386" s="104" t="str">
        <f>VLOOKUP(Tabla1[[#This Row],[DNI ]],RUBRO!$F$1:$O$88,3,FALSE)</f>
        <v>TEC-02</v>
      </c>
      <c r="G386" s="104" t="str">
        <f>VLOOKUP(Tabla1[[#This Row],[DNI ]],RUBRO!$F$1:$O$9996,5,FALSE)</f>
        <v>TECNICO MECANICO MONTAJISTA DE MAQUINARIA</v>
      </c>
      <c r="H386" s="66" t="str">
        <f>VLOOKUP(Tabla1[[#This Row],[DNI ]],RUBRO!$F$1:$O$9996,6,FALSE)</f>
        <v>PURIZACA CHUÑE JHON ANDERSON</v>
      </c>
      <c r="I386" s="94">
        <v>44329</v>
      </c>
      <c r="J386" s="10">
        <v>1</v>
      </c>
      <c r="K386" s="2">
        <v>48372384</v>
      </c>
      <c r="L386" s="4">
        <f>VLOOKUP(Tabla1[[#This Row],[DNI ]],RUBRO!$F$2:$O$9996,8,FALSE)</f>
        <v>57.62</v>
      </c>
      <c r="M386" s="88">
        <v>0.29166666666666669</v>
      </c>
      <c r="N386" s="28">
        <v>0.54166666666666663</v>
      </c>
      <c r="O386" s="28">
        <v>0.58333333333333337</v>
      </c>
      <c r="P386" s="28">
        <v>0.75</v>
      </c>
      <c r="Q386" s="31">
        <f>(Tabla1[[#This Row],[SALIDA]]-Tabla1[[#This Row],[FIN ]])+(Tabla1[[#This Row],[INICIO]]-Tabla1[[#This Row],[INGRESO]])</f>
        <v>0.41666666666666657</v>
      </c>
      <c r="R386" s="13">
        <f t="shared" si="16"/>
        <v>0.375</v>
      </c>
      <c r="S386" s="31">
        <f t="shared" si="17"/>
        <v>4.1666666666666574E-2</v>
      </c>
      <c r="T386" s="136"/>
      <c r="U386" s="136"/>
      <c r="V386" s="137">
        <f>(Tabla1[[#This Row],[COS.BASE 3]]*0.25+Tabla1[[#This Row],[COS.BASE 3]])*Tabla1[[#This Row],[HORAS 25 % ]]</f>
        <v>0</v>
      </c>
      <c r="W386" s="138">
        <f>(Tabla1[[#This Row],[COS.BASE 3]]*0.35+Tabla1[[#This Row],[COS.BASE 3]])*Tabla1[[#This Row],[HORAS 35% ]]</f>
        <v>0</v>
      </c>
      <c r="X386" s="138">
        <f>SUM(Tabla1[[#This Row],[C.HORA.35]],Tabla1[[#This Row],[C.HORA.25]])</f>
        <v>0</v>
      </c>
      <c r="Y386" s="4"/>
      <c r="Z386" s="10">
        <f>Tabla1[[#This Row],[T.HORAS]]*24</f>
        <v>9.9999999999999982</v>
      </c>
      <c r="AA386" s="4">
        <f>Tabla1[[#This Row],[H.NORMALES]]*24</f>
        <v>9</v>
      </c>
      <c r="AB386" s="10">
        <f>Tabla1[[#This Row],[H.EXTRAS]]*24</f>
        <v>0.99999999999999778</v>
      </c>
      <c r="AC386" s="105">
        <f t="shared" si="18"/>
        <v>57.62</v>
      </c>
      <c r="AD386" s="120">
        <f>Tabla1[[#This Row],[COS.BASE 2]]/8</f>
        <v>7.2024999999999997</v>
      </c>
      <c r="AE386" s="105">
        <f>Tabla1[[#This Row],[CST_H_E]]+Tabla1[[#This Row],[COS.BASE 2]]</f>
        <v>57.62</v>
      </c>
      <c r="AF386" s="106">
        <f>+_xlfn.IFNA(INDEX(RUBRO!$W$2:$AA$732,MATCH(Tabla1[[#This Row],[FECHA ]],RUBRO!$W$2:$W$732,0),5)," ")</f>
        <v>0</v>
      </c>
      <c r="AG386" s="10">
        <f>+_xlfn.IFNA(INDEX(RUBRO!$W$2:$AA$732,MATCH(Tabla1[[#This Row],[FECHA ]],RUBRO!$W$2:$W$732,0),2)," ")</f>
        <v>0</v>
      </c>
      <c r="AH386" s="40">
        <f>IFERROR(Tabla1[[#This Row],[F]]*Tabla1[[#This Row],[COS.B+E]]," ")</f>
        <v>0</v>
      </c>
      <c r="AI386" s="40">
        <f>IFERROR(Tabla1[[#This Row],[COS.B+E]]*Tabla1[[#This Row],[D]]," ")</f>
        <v>0</v>
      </c>
      <c r="AJ386" s="40" t="str">
        <f>IFERROR(Tabla1[[#This Row],[F]]*#REF!," ")</f>
        <v xml:space="preserve"> </v>
      </c>
      <c r="AK386" s="40" t="str">
        <f>IFERROR(#REF!*Tabla1[[#This Row],[D]]," ")</f>
        <v xml:space="preserve"> </v>
      </c>
      <c r="AL386" s="103"/>
      <c r="AM386" s="103"/>
      <c r="AN386" s="103"/>
      <c r="AO386" s="38">
        <f>+Tabla1[[#This Row],[COS.B+E]]+Tabla1[[#This Row],[COS.F1]]+Tabla1[[#This Row],[COS.D1]]+Tabla1[[#This Row],[ALIMENTACION]]+Tabla1[[#This Row],[PRESTAMO]]+AN386</f>
        <v>57.62</v>
      </c>
      <c r="AP386" s="38" t="e">
        <f>+#REF!+Tabla1[[#This Row],[COS F2]]+Tabla1[[#This Row],[COS D2]]+Tabla1[[#This Row],[ALIMENTACION]]+Tabla1[[#This Row],[PRESTAMO]]+Tabla1[[#This Row],[PASAJES]]</f>
        <v>#REF!</v>
      </c>
    </row>
    <row r="387" spans="1:42" x14ac:dyDescent="0.25">
      <c r="A387" s="2" t="str">
        <f>TEXT(Tabla1[[#This Row],[FECHA ]],"DDDDD")</f>
        <v>jueves</v>
      </c>
      <c r="B387" s="2" t="str">
        <f>_xlfn.IFNA(VLOOKUP(Tabla1[[#This Row],[DESTINO]],RUBRO!$Q$1:$R$9996,2,FALSE)," ")</f>
        <v>PLANTA</v>
      </c>
      <c r="C387" s="104">
        <f>WEEKNUM(Tabla1[[#This Row],[FECHA ]],2)</f>
        <v>20</v>
      </c>
      <c r="D387" s="104" t="str">
        <f>TEXT(Tabla1[[#This Row],[FECHA ]],"MMM-YY")</f>
        <v>may-YY</v>
      </c>
      <c r="E387" s="104" t="str">
        <f>VLOOKUP(Tabla1[[#This Row],[DNI ]],RUBRO!$F$1:$O$9996,7,FALSE)</f>
        <v>5ta</v>
      </c>
      <c r="F387" s="104" t="str">
        <f>VLOOKUP(Tabla1[[#This Row],[DNI ]],RUBRO!$F$1:$O$88,3,FALSE)</f>
        <v>MAE-02</v>
      </c>
      <c r="G387" s="104" t="str">
        <f>VLOOKUP(Tabla1[[#This Row],[DNI ]],RUBRO!$F$1:$O$9996,5,FALSE)</f>
        <v>MAESTRO MECANICO MONTAJISTA DE MAQUINARIA</v>
      </c>
      <c r="H387" s="66" t="str">
        <f>VLOOKUP(Tabla1[[#This Row],[DNI ]],RUBRO!$F$1:$O$9996,6,FALSE)</f>
        <v>PURIZACA SEVERINO DANIEL FERNANDO</v>
      </c>
      <c r="I387" s="94">
        <v>44329</v>
      </c>
      <c r="J387" s="10">
        <v>1</v>
      </c>
      <c r="K387" s="2">
        <v>42308744</v>
      </c>
      <c r="L387" s="4">
        <f>VLOOKUP(Tabla1[[#This Row],[DNI ]],RUBRO!$F$2:$O$9996,8,FALSE)</f>
        <v>87.1</v>
      </c>
      <c r="M387" s="88">
        <v>0.29166666666666669</v>
      </c>
      <c r="N387" s="28">
        <v>0.54166666666666663</v>
      </c>
      <c r="O387" s="28">
        <v>0.58333333333333337</v>
      </c>
      <c r="P387" s="28">
        <v>0.75</v>
      </c>
      <c r="Q387" s="31">
        <f>(Tabla1[[#This Row],[SALIDA]]-Tabla1[[#This Row],[FIN ]])+(Tabla1[[#This Row],[INICIO]]-Tabla1[[#This Row],[INGRESO]])</f>
        <v>0.41666666666666657</v>
      </c>
      <c r="R387" s="13">
        <f t="shared" si="16"/>
        <v>0.375</v>
      </c>
      <c r="S387" s="31">
        <f t="shared" si="17"/>
        <v>4.1666666666666574E-2</v>
      </c>
      <c r="T387" s="136"/>
      <c r="U387" s="136"/>
      <c r="V387" s="137">
        <f>(Tabla1[[#This Row],[COS.BASE 3]]*0.25+Tabla1[[#This Row],[COS.BASE 3]])*Tabla1[[#This Row],[HORAS 25 % ]]</f>
        <v>0</v>
      </c>
      <c r="W387" s="138">
        <f>(Tabla1[[#This Row],[COS.BASE 3]]*0.35+Tabla1[[#This Row],[COS.BASE 3]])*Tabla1[[#This Row],[HORAS 35% ]]</f>
        <v>0</v>
      </c>
      <c r="X387" s="138">
        <f>SUM(Tabla1[[#This Row],[C.HORA.35]],Tabla1[[#This Row],[C.HORA.25]])</f>
        <v>0</v>
      </c>
      <c r="Y387" s="4"/>
      <c r="Z387" s="10">
        <f>Tabla1[[#This Row],[T.HORAS]]*24</f>
        <v>9.9999999999999982</v>
      </c>
      <c r="AA387" s="4">
        <f>Tabla1[[#This Row],[H.NORMALES]]*24</f>
        <v>9</v>
      </c>
      <c r="AB387" s="10">
        <f>Tabla1[[#This Row],[H.EXTRAS]]*24</f>
        <v>0.99999999999999778</v>
      </c>
      <c r="AC387" s="105">
        <f t="shared" si="18"/>
        <v>87.1</v>
      </c>
      <c r="AD387" s="120">
        <f>Tabla1[[#This Row],[COS.BASE 2]]/8</f>
        <v>10.887499999999999</v>
      </c>
      <c r="AE387" s="105">
        <f>Tabla1[[#This Row],[CST_H_E]]+Tabla1[[#This Row],[COS.BASE 2]]</f>
        <v>87.1</v>
      </c>
      <c r="AF387" s="106">
        <f>+_xlfn.IFNA(INDEX(RUBRO!$W$2:$AA$732,MATCH(Tabla1[[#This Row],[FECHA ]],RUBRO!$W$2:$W$732,0),5)," ")</f>
        <v>0</v>
      </c>
      <c r="AG387" s="10">
        <f>+_xlfn.IFNA(INDEX(RUBRO!$W$2:$AA$732,MATCH(Tabla1[[#This Row],[FECHA ]],RUBRO!$W$2:$W$732,0),2)," ")</f>
        <v>0</v>
      </c>
      <c r="AH387" s="40">
        <f>IFERROR(Tabla1[[#This Row],[F]]*Tabla1[[#This Row],[COS.B+E]]," ")</f>
        <v>0</v>
      </c>
      <c r="AI387" s="40">
        <f>IFERROR(Tabla1[[#This Row],[COS.B+E]]*Tabla1[[#This Row],[D]]," ")</f>
        <v>0</v>
      </c>
      <c r="AJ387" s="40" t="str">
        <f>IFERROR(Tabla1[[#This Row],[F]]*#REF!," ")</f>
        <v xml:space="preserve"> </v>
      </c>
      <c r="AK387" s="40" t="str">
        <f>IFERROR(#REF!*Tabla1[[#This Row],[D]]," ")</f>
        <v xml:space="preserve"> </v>
      </c>
      <c r="AL387" s="103"/>
      <c r="AM387" s="103"/>
      <c r="AN387" s="103"/>
      <c r="AO387" s="38">
        <f>+Tabla1[[#This Row],[COS.B+E]]+Tabla1[[#This Row],[COS.F1]]+Tabla1[[#This Row],[COS.D1]]+Tabla1[[#This Row],[ALIMENTACION]]+Tabla1[[#This Row],[PRESTAMO]]+AN387</f>
        <v>87.1</v>
      </c>
      <c r="AP387" s="38" t="e">
        <f>+#REF!+Tabla1[[#This Row],[COS F2]]+Tabla1[[#This Row],[COS D2]]+Tabla1[[#This Row],[ALIMENTACION]]+Tabla1[[#This Row],[PRESTAMO]]+Tabla1[[#This Row],[PASAJES]]</f>
        <v>#REF!</v>
      </c>
    </row>
    <row r="388" spans="1:42" x14ac:dyDescent="0.25">
      <c r="A388" s="2" t="str">
        <f>TEXT(Tabla1[[#This Row],[FECHA ]],"DDDDD")</f>
        <v>jueves</v>
      </c>
      <c r="B388" s="2" t="str">
        <f>_xlfn.IFNA(VLOOKUP(Tabla1[[#This Row],[DESTINO]],RUBRO!$Q$1:$R$9996,2,FALSE)," ")</f>
        <v>OBRA</v>
      </c>
      <c r="C388" s="104">
        <f>WEEKNUM(Tabla1[[#This Row],[FECHA ]],2)</f>
        <v>20</v>
      </c>
      <c r="D388" s="104" t="str">
        <f>TEXT(Tabla1[[#This Row],[FECHA ]],"MMM-YY")</f>
        <v>may-YY</v>
      </c>
      <c r="E388" s="104" t="str">
        <f>VLOOKUP(Tabla1[[#This Row],[DNI ]],RUBRO!$F$1:$O$9996,7,FALSE)</f>
        <v>4ta</v>
      </c>
      <c r="F388" s="104" t="str">
        <f>VLOOKUP(Tabla1[[#This Row],[DNI ]],RUBRO!$F$1:$O$88,3,FALSE)</f>
        <v>MAE3G-01</v>
      </c>
      <c r="G388" s="104" t="str">
        <f>VLOOKUP(Tabla1[[#This Row],[DNI ]],RUBRO!$F$1:$O$9996,5,FALSE)</f>
        <v>MAESTRO SOLDADOR 3G</v>
      </c>
      <c r="H388" s="66" t="str">
        <f>VLOOKUP(Tabla1[[#This Row],[DNI ]],RUBRO!$F$1:$O$9996,6,FALSE)</f>
        <v>QUIROZ CORTEJANA DANTE GABRIEL</v>
      </c>
      <c r="I388" s="94">
        <v>44329</v>
      </c>
      <c r="J388" s="10">
        <v>2</v>
      </c>
      <c r="K388" s="2">
        <v>45486657</v>
      </c>
      <c r="L388" s="4">
        <f>VLOOKUP(Tabla1[[#This Row],[DNI ]],RUBRO!$F$2:$O$9996,8,FALSE)</f>
        <v>90</v>
      </c>
      <c r="M388" s="88">
        <v>0.29166666666666669</v>
      </c>
      <c r="N388" s="28">
        <v>0.54166666666666663</v>
      </c>
      <c r="O388" s="28">
        <v>0.58333333333333337</v>
      </c>
      <c r="P388" s="28">
        <v>0.75</v>
      </c>
      <c r="Q388" s="31">
        <f>(Tabla1[[#This Row],[SALIDA]]-Tabla1[[#This Row],[FIN ]])+(Tabla1[[#This Row],[INICIO]]-Tabla1[[#This Row],[INGRESO]])</f>
        <v>0.41666666666666657</v>
      </c>
      <c r="R388" s="13">
        <f t="shared" si="16"/>
        <v>0.33333333333333331</v>
      </c>
      <c r="S388" s="31">
        <f t="shared" si="17"/>
        <v>8.3333333333333259E-2</v>
      </c>
      <c r="T388" s="136"/>
      <c r="U388" s="136"/>
      <c r="V388" s="137">
        <f>(Tabla1[[#This Row],[COS.BASE 3]]*0.25+Tabla1[[#This Row],[COS.BASE 3]])*Tabla1[[#This Row],[HORAS 25 % ]]</f>
        <v>0</v>
      </c>
      <c r="W388" s="138">
        <f>(Tabla1[[#This Row],[COS.BASE 3]]*0.35+Tabla1[[#This Row],[COS.BASE 3]])*Tabla1[[#This Row],[HORAS 35% ]]</f>
        <v>0</v>
      </c>
      <c r="X388" s="138">
        <f>SUM(Tabla1[[#This Row],[C.HORA.35]],Tabla1[[#This Row],[C.HORA.25]])</f>
        <v>0</v>
      </c>
      <c r="Y388" s="4"/>
      <c r="Z388" s="10">
        <f>Tabla1[[#This Row],[T.HORAS]]*24</f>
        <v>9.9999999999999982</v>
      </c>
      <c r="AA388" s="4">
        <f>Tabla1[[#This Row],[H.NORMALES]]*24</f>
        <v>8</v>
      </c>
      <c r="AB388" s="10">
        <f>Tabla1[[#This Row],[H.EXTRAS]]*24</f>
        <v>1.9999999999999982</v>
      </c>
      <c r="AC388" s="105">
        <f t="shared" si="18"/>
        <v>90</v>
      </c>
      <c r="AD388" s="120">
        <f>Tabla1[[#This Row],[COS.BASE 2]]/8</f>
        <v>11.25</v>
      </c>
      <c r="AE388" s="105">
        <f>Tabla1[[#This Row],[CST_H_E]]+Tabla1[[#This Row],[COS.BASE 2]]</f>
        <v>90</v>
      </c>
      <c r="AF388" s="106">
        <f>+_xlfn.IFNA(INDEX(RUBRO!$W$2:$AA$732,MATCH(Tabla1[[#This Row],[FECHA ]],RUBRO!$W$2:$W$732,0),5)," ")</f>
        <v>0</v>
      </c>
      <c r="AG388" s="10">
        <f>+_xlfn.IFNA(INDEX(RUBRO!$W$2:$AA$732,MATCH(Tabla1[[#This Row],[FECHA ]],RUBRO!$W$2:$W$732,0),2)," ")</f>
        <v>0</v>
      </c>
      <c r="AH388" s="40">
        <f>IFERROR(Tabla1[[#This Row],[F]]*Tabla1[[#This Row],[COS.B+E]]," ")</f>
        <v>0</v>
      </c>
      <c r="AI388" s="40">
        <f>IFERROR(Tabla1[[#This Row],[COS.B+E]]*Tabla1[[#This Row],[D]]," ")</f>
        <v>0</v>
      </c>
      <c r="AJ388" s="40" t="str">
        <f>IFERROR(Tabla1[[#This Row],[F]]*#REF!," ")</f>
        <v xml:space="preserve"> </v>
      </c>
      <c r="AK388" s="40" t="str">
        <f>IFERROR(#REF!*Tabla1[[#This Row],[D]]," ")</f>
        <v xml:space="preserve"> </v>
      </c>
      <c r="AL388" s="103"/>
      <c r="AM388" s="103"/>
      <c r="AN388" s="103"/>
      <c r="AO388" s="38">
        <f>+Tabla1[[#This Row],[COS.B+E]]+Tabla1[[#This Row],[COS.F1]]+Tabla1[[#This Row],[COS.D1]]+Tabla1[[#This Row],[ALIMENTACION]]+Tabla1[[#This Row],[PRESTAMO]]+AN388</f>
        <v>90</v>
      </c>
      <c r="AP388" s="38" t="e">
        <f>+#REF!+Tabla1[[#This Row],[COS F2]]+Tabla1[[#This Row],[COS D2]]+Tabla1[[#This Row],[ALIMENTACION]]+Tabla1[[#This Row],[PRESTAMO]]+Tabla1[[#This Row],[PASAJES]]</f>
        <v>#REF!</v>
      </c>
    </row>
    <row r="389" spans="1:42" x14ac:dyDescent="0.25">
      <c r="A389" s="2" t="str">
        <f>TEXT(Tabla1[[#This Row],[FECHA ]],"DDDDD")</f>
        <v>jueves</v>
      </c>
      <c r="B389" s="2" t="str">
        <f>_xlfn.IFNA(VLOOKUP(Tabla1[[#This Row],[DESTINO]],RUBRO!$Q$1:$R$9996,2,FALSE)," ")</f>
        <v>OBRA</v>
      </c>
      <c r="C389" s="104">
        <f>WEEKNUM(Tabla1[[#This Row],[FECHA ]],2)</f>
        <v>20</v>
      </c>
      <c r="D389" s="104" t="str">
        <f>TEXT(Tabla1[[#This Row],[FECHA ]],"MMM-YY")</f>
        <v>may-YY</v>
      </c>
      <c r="E389" s="104" t="str">
        <f>VLOOKUP(Tabla1[[#This Row],[DNI ]],RUBRO!$F$1:$O$9996,7,FALSE)</f>
        <v>5ta</v>
      </c>
      <c r="F389" s="104" t="str">
        <f>VLOOKUP(Tabla1[[#This Row],[DNI ]],RUBRO!$F$1:$O$88,3,FALSE)</f>
        <v>MAEME-03</v>
      </c>
      <c r="G389" s="104" t="str">
        <f>VLOOKUP(Tabla1[[#This Row],[DNI ]],RUBRO!$F$1:$O$9996,5,FALSE)</f>
        <v>MAESTRO ELECTRICO MONTAJISTA DE MAQUINARIA EXTRANJERA</v>
      </c>
      <c r="H389" s="66" t="str">
        <f>VLOOKUP(Tabla1[[#This Row],[DNI ]],RUBRO!$F$1:$O$9996,6,FALSE)</f>
        <v>RAMIREZ PELAEZ ELIAS</v>
      </c>
      <c r="I389" s="94">
        <v>44329</v>
      </c>
      <c r="J389" s="10">
        <v>2</v>
      </c>
      <c r="K389" s="2">
        <v>45779525</v>
      </c>
      <c r="L389" s="4">
        <f>VLOOKUP(Tabla1[[#This Row],[DNI ]],RUBRO!$F$2:$O$9996,8,FALSE)</f>
        <v>116.06</v>
      </c>
      <c r="M389" s="88">
        <v>0.29166666666666669</v>
      </c>
      <c r="N389" s="28">
        <v>0.54166666666666663</v>
      </c>
      <c r="O389" s="28">
        <v>0.58333333333333337</v>
      </c>
      <c r="P389" s="28">
        <v>0.77083333333333337</v>
      </c>
      <c r="Q389" s="31">
        <f>(Tabla1[[#This Row],[SALIDA]]-Tabla1[[#This Row],[FIN ]])+(Tabla1[[#This Row],[INICIO]]-Tabla1[[#This Row],[INGRESO]])</f>
        <v>0.43749999999999994</v>
      </c>
      <c r="R389" s="13">
        <f t="shared" si="16"/>
        <v>0.33333333333333331</v>
      </c>
      <c r="S389" s="31">
        <f t="shared" si="17"/>
        <v>0.10416666666666663</v>
      </c>
      <c r="T389" s="136"/>
      <c r="U389" s="136"/>
      <c r="V389" s="137">
        <f>(Tabla1[[#This Row],[COS.BASE 3]]*0.25+Tabla1[[#This Row],[COS.BASE 3]])*Tabla1[[#This Row],[HORAS 25 % ]]</f>
        <v>0</v>
      </c>
      <c r="W389" s="138">
        <f>(Tabla1[[#This Row],[COS.BASE 3]]*0.35+Tabla1[[#This Row],[COS.BASE 3]])*Tabla1[[#This Row],[HORAS 35% ]]</f>
        <v>0</v>
      </c>
      <c r="X389" s="138">
        <f>SUM(Tabla1[[#This Row],[C.HORA.35]],Tabla1[[#This Row],[C.HORA.25]])</f>
        <v>0</v>
      </c>
      <c r="Y389" s="4"/>
      <c r="Z389" s="10">
        <f>Tabla1[[#This Row],[T.HORAS]]*24</f>
        <v>10.499999999999998</v>
      </c>
      <c r="AA389" s="4">
        <f>Tabla1[[#This Row],[H.NORMALES]]*24</f>
        <v>8</v>
      </c>
      <c r="AB389" s="10">
        <f>Tabla1[[#This Row],[H.EXTRAS]]*24</f>
        <v>2.4999999999999991</v>
      </c>
      <c r="AC389" s="105">
        <f t="shared" si="18"/>
        <v>116.06</v>
      </c>
      <c r="AD389" s="120">
        <f>Tabla1[[#This Row],[COS.BASE 2]]/8</f>
        <v>14.5075</v>
      </c>
      <c r="AE389" s="105">
        <f>Tabla1[[#This Row],[CST_H_E]]+Tabla1[[#This Row],[COS.BASE 2]]</f>
        <v>116.06</v>
      </c>
      <c r="AF389" s="106">
        <f>+_xlfn.IFNA(INDEX(RUBRO!$W$2:$AA$732,MATCH(Tabla1[[#This Row],[FECHA ]],RUBRO!$W$2:$W$732,0),5)," ")</f>
        <v>0</v>
      </c>
      <c r="AG389" s="10">
        <f>+_xlfn.IFNA(INDEX(RUBRO!$W$2:$AA$732,MATCH(Tabla1[[#This Row],[FECHA ]],RUBRO!$W$2:$W$732,0),2)," ")</f>
        <v>0</v>
      </c>
      <c r="AH389" s="40">
        <f>IFERROR(Tabla1[[#This Row],[F]]*Tabla1[[#This Row],[COS.B+E]]," ")</f>
        <v>0</v>
      </c>
      <c r="AI389" s="40">
        <f>IFERROR(Tabla1[[#This Row],[COS.B+E]]*Tabla1[[#This Row],[D]]," ")</f>
        <v>0</v>
      </c>
      <c r="AJ389" s="40" t="str">
        <f>IFERROR(Tabla1[[#This Row],[F]]*#REF!," ")</f>
        <v xml:space="preserve"> </v>
      </c>
      <c r="AK389" s="40" t="str">
        <f>IFERROR(#REF!*Tabla1[[#This Row],[D]]," ")</f>
        <v xml:space="preserve"> </v>
      </c>
      <c r="AL389" s="103"/>
      <c r="AM389" s="103"/>
      <c r="AN389" s="103"/>
      <c r="AO389" s="38">
        <f>+Tabla1[[#This Row],[COS.B+E]]+Tabla1[[#This Row],[COS.F1]]+Tabla1[[#This Row],[COS.D1]]+Tabla1[[#This Row],[ALIMENTACION]]+Tabla1[[#This Row],[PRESTAMO]]+AN389</f>
        <v>116.06</v>
      </c>
      <c r="AP389" s="38" t="e">
        <f>+#REF!+Tabla1[[#This Row],[COS F2]]+Tabla1[[#This Row],[COS D2]]+Tabla1[[#This Row],[ALIMENTACION]]+Tabla1[[#This Row],[PRESTAMO]]+Tabla1[[#This Row],[PASAJES]]</f>
        <v>#REF!</v>
      </c>
    </row>
    <row r="390" spans="1:42" x14ac:dyDescent="0.25">
      <c r="A390" s="2" t="str">
        <f>TEXT(Tabla1[[#This Row],[FECHA ]],"DDDDD")</f>
        <v>jueves</v>
      </c>
      <c r="B390" s="2" t="str">
        <f>_xlfn.IFNA(VLOOKUP(Tabla1[[#This Row],[DESTINO]],RUBRO!$Q$1:$R$9996,2,FALSE)," ")</f>
        <v>PLANTA</v>
      </c>
      <c r="C390" s="104">
        <f>WEEKNUM(Tabla1[[#This Row],[FECHA ]],2)</f>
        <v>20</v>
      </c>
      <c r="D390" s="104" t="str">
        <f>TEXT(Tabla1[[#This Row],[FECHA ]],"MMM-YY")</f>
        <v>may-YY</v>
      </c>
      <c r="E390" s="104" t="str">
        <f>VLOOKUP(Tabla1[[#This Row],[DNI ]],RUBRO!$F$1:$O$9996,7,FALSE)</f>
        <v>5ta</v>
      </c>
      <c r="F390" s="104" t="str">
        <f>VLOOKUP(Tabla1[[#This Row],[DNI ]],RUBRO!$F$1:$O$88,3,FALSE)</f>
        <v>MAE3G-01</v>
      </c>
      <c r="G390" s="104" t="str">
        <f>VLOOKUP(Tabla1[[#This Row],[DNI ]],RUBRO!$F$1:$O$9996,5,FALSE)</f>
        <v>MAESTRO SOLDADOR 3G</v>
      </c>
      <c r="H390" s="66" t="str">
        <f>VLOOKUP(Tabla1[[#This Row],[DNI ]],RUBRO!$F$1:$O$9996,6,FALSE)</f>
        <v>RIOJA RODRIGUEZ MARCO JEAIR</v>
      </c>
      <c r="I390" s="94">
        <v>44329</v>
      </c>
      <c r="J390" s="10">
        <v>1</v>
      </c>
      <c r="K390" s="2">
        <v>77423720</v>
      </c>
      <c r="L390" s="4">
        <f>VLOOKUP(Tabla1[[#This Row],[DNI ]],RUBRO!$F$2:$O$9996,8,FALSE)</f>
        <v>69.44</v>
      </c>
      <c r="M390" s="88">
        <v>0.29166666666666669</v>
      </c>
      <c r="N390" s="28">
        <v>0.54166666666666663</v>
      </c>
      <c r="O390" s="28">
        <v>0.58333333333333337</v>
      </c>
      <c r="P390" s="28">
        <v>0.75</v>
      </c>
      <c r="Q390" s="31">
        <f>(Tabla1[[#This Row],[SALIDA]]-Tabla1[[#This Row],[FIN ]])+(Tabla1[[#This Row],[INICIO]]-Tabla1[[#This Row],[INGRESO]])</f>
        <v>0.41666666666666657</v>
      </c>
      <c r="R390" s="13">
        <f t="shared" ref="R390:R453" si="19">IF(J390=1,IF(Q390&gt;$AU$1,$AU$1,Q390),0)+IF(J390=2,IF(Q390&gt;$AU$3,$AU$3,Q390),0)+IF(J390=8,IF(Q390&gt;$AU$5,$AU$5,Q390),0)</f>
        <v>0.375</v>
      </c>
      <c r="S390" s="31">
        <f t="shared" ref="S390:S453" si="20">IF(J390=1,IF(Q390&gt;$AU$1,(Q390-R390),0),0)+IF(J390=2,IF(Q390&gt;$AU$3,(Q390-R390),0),0)+IF(J390=8,IF(Q390&gt;$AU$5,(Q390-R390),0),0)</f>
        <v>4.1666666666666574E-2</v>
      </c>
      <c r="T390" s="136"/>
      <c r="U390" s="136"/>
      <c r="V390" s="137">
        <f>(Tabla1[[#This Row],[COS.BASE 3]]*0.25+Tabla1[[#This Row],[COS.BASE 3]])*Tabla1[[#This Row],[HORAS 25 % ]]</f>
        <v>0</v>
      </c>
      <c r="W390" s="138">
        <f>(Tabla1[[#This Row],[COS.BASE 3]]*0.35+Tabla1[[#This Row],[COS.BASE 3]])*Tabla1[[#This Row],[HORAS 35% ]]</f>
        <v>0</v>
      </c>
      <c r="X390" s="138">
        <f>SUM(Tabla1[[#This Row],[C.HORA.35]],Tabla1[[#This Row],[C.HORA.25]])</f>
        <v>0</v>
      </c>
      <c r="Y390" s="4"/>
      <c r="Z390" s="10">
        <f>Tabla1[[#This Row],[T.HORAS]]*24</f>
        <v>9.9999999999999982</v>
      </c>
      <c r="AA390" s="4">
        <f>Tabla1[[#This Row],[H.NORMALES]]*24</f>
        <v>9</v>
      </c>
      <c r="AB390" s="10">
        <f>Tabla1[[#This Row],[H.EXTRAS]]*24</f>
        <v>0.99999999999999778</v>
      </c>
      <c r="AC390" s="105">
        <f t="shared" ref="AC390:AC407" si="21">IF(J390=1,(((R390*24)*(L390/9))),0)+IF(J390=2,(((R390*24)*(L390/8))),0)+IF(J390=8,(((R390*24)*(L390/8))),0)</f>
        <v>69.44</v>
      </c>
      <c r="AD390" s="120">
        <f>Tabla1[[#This Row],[COS.BASE 2]]/8</f>
        <v>8.68</v>
      </c>
      <c r="AE390" s="105">
        <f>Tabla1[[#This Row],[CST_H_E]]+Tabla1[[#This Row],[COS.BASE 2]]</f>
        <v>69.44</v>
      </c>
      <c r="AF390" s="106">
        <f>+_xlfn.IFNA(INDEX(RUBRO!$W$2:$AA$732,MATCH(Tabla1[[#This Row],[FECHA ]],RUBRO!$W$2:$W$732,0),5)," ")</f>
        <v>0</v>
      </c>
      <c r="AG390" s="10">
        <f>+_xlfn.IFNA(INDEX(RUBRO!$W$2:$AA$732,MATCH(Tabla1[[#This Row],[FECHA ]],RUBRO!$W$2:$W$732,0),2)," ")</f>
        <v>0</v>
      </c>
      <c r="AH390" s="40">
        <f>IFERROR(Tabla1[[#This Row],[F]]*Tabla1[[#This Row],[COS.B+E]]," ")</f>
        <v>0</v>
      </c>
      <c r="AI390" s="40">
        <f>IFERROR(Tabla1[[#This Row],[COS.B+E]]*Tabla1[[#This Row],[D]]," ")</f>
        <v>0</v>
      </c>
      <c r="AJ390" s="40" t="str">
        <f>IFERROR(Tabla1[[#This Row],[F]]*#REF!," ")</f>
        <v xml:space="preserve"> </v>
      </c>
      <c r="AK390" s="40" t="str">
        <f>IFERROR(#REF!*Tabla1[[#This Row],[D]]," ")</f>
        <v xml:space="preserve"> </v>
      </c>
      <c r="AL390" s="103"/>
      <c r="AM390" s="103"/>
      <c r="AN390" s="103"/>
      <c r="AO390" s="38">
        <f>+Tabla1[[#This Row],[COS.B+E]]+Tabla1[[#This Row],[COS.F1]]+Tabla1[[#This Row],[COS.D1]]+Tabla1[[#This Row],[ALIMENTACION]]+Tabla1[[#This Row],[PRESTAMO]]+AN390</f>
        <v>69.44</v>
      </c>
      <c r="AP390" s="38" t="e">
        <f>+#REF!+Tabla1[[#This Row],[COS F2]]+Tabla1[[#This Row],[COS D2]]+Tabla1[[#This Row],[ALIMENTACION]]+Tabla1[[#This Row],[PRESTAMO]]+Tabla1[[#This Row],[PASAJES]]</f>
        <v>#REF!</v>
      </c>
    </row>
    <row r="391" spans="1:42" x14ac:dyDescent="0.25">
      <c r="A391" s="2" t="str">
        <f>TEXT(Tabla1[[#This Row],[FECHA ]],"DDDDD")</f>
        <v>jueves</v>
      </c>
      <c r="B391" s="2" t="str">
        <f>_xlfn.IFNA(VLOOKUP(Tabla1[[#This Row],[DESTINO]],RUBRO!$Q$1:$R$9996,2,FALSE)," ")</f>
        <v>PLANTA</v>
      </c>
      <c r="C391" s="104">
        <f>WEEKNUM(Tabla1[[#This Row],[FECHA ]],2)</f>
        <v>20</v>
      </c>
      <c r="D391" s="104" t="str">
        <f>TEXT(Tabla1[[#This Row],[FECHA ]],"MMM-YY")</f>
        <v>may-YY</v>
      </c>
      <c r="E391" s="104" t="str">
        <f>VLOOKUP(Tabla1[[#This Row],[DNI ]],RUBRO!$F$1:$O$9996,7,FALSE)</f>
        <v>5ta</v>
      </c>
      <c r="F391" s="104" t="str">
        <f>VLOOKUP(Tabla1[[#This Row],[DNI ]],RUBRO!$F$1:$O$88,3,FALSE)</f>
        <v>MAE6G-01</v>
      </c>
      <c r="G391" s="104" t="str">
        <f>VLOOKUP(Tabla1[[#This Row],[DNI ]],RUBRO!$F$1:$O$9996,5,FALSE)</f>
        <v>MAESTRO SOLDADOR 6G MONTAJISTA DE MAQUINARIA</v>
      </c>
      <c r="H391" s="66" t="str">
        <f>VLOOKUP(Tabla1[[#This Row],[DNI ]],RUBRO!$F$1:$O$9996,6,FALSE)</f>
        <v>RIVERA LEONARDO EVER JOSE</v>
      </c>
      <c r="I391" s="94">
        <v>44329</v>
      </c>
      <c r="J391" s="10">
        <v>1</v>
      </c>
      <c r="K391" s="2">
        <v>45035778</v>
      </c>
      <c r="L391" s="4">
        <f>VLOOKUP(Tabla1[[#This Row],[DNI ]],RUBRO!$F$2:$O$9996,8,FALSE)</f>
        <v>92.8</v>
      </c>
      <c r="M391" s="88">
        <v>0.29166666666666669</v>
      </c>
      <c r="N391" s="28">
        <v>0.54166666666666663</v>
      </c>
      <c r="O391" s="28">
        <v>0.58333333333333337</v>
      </c>
      <c r="P391" s="28">
        <v>0.75</v>
      </c>
      <c r="Q391" s="31">
        <f>(Tabla1[[#This Row],[SALIDA]]-Tabla1[[#This Row],[FIN ]])+(Tabla1[[#This Row],[INICIO]]-Tabla1[[#This Row],[INGRESO]])</f>
        <v>0.41666666666666657</v>
      </c>
      <c r="R391" s="13">
        <f t="shared" si="19"/>
        <v>0.375</v>
      </c>
      <c r="S391" s="31">
        <f t="shared" si="20"/>
        <v>4.1666666666666574E-2</v>
      </c>
      <c r="T391" s="136"/>
      <c r="U391" s="136"/>
      <c r="V391" s="137">
        <f>(Tabla1[[#This Row],[COS.BASE 3]]*0.25+Tabla1[[#This Row],[COS.BASE 3]])*Tabla1[[#This Row],[HORAS 25 % ]]</f>
        <v>0</v>
      </c>
      <c r="W391" s="138">
        <f>(Tabla1[[#This Row],[COS.BASE 3]]*0.35+Tabla1[[#This Row],[COS.BASE 3]])*Tabla1[[#This Row],[HORAS 35% ]]</f>
        <v>0</v>
      </c>
      <c r="X391" s="138">
        <f>SUM(Tabla1[[#This Row],[C.HORA.35]],Tabla1[[#This Row],[C.HORA.25]])</f>
        <v>0</v>
      </c>
      <c r="Y391" s="4"/>
      <c r="Z391" s="10">
        <f>Tabla1[[#This Row],[T.HORAS]]*24</f>
        <v>9.9999999999999982</v>
      </c>
      <c r="AA391" s="4">
        <f>Tabla1[[#This Row],[H.NORMALES]]*24</f>
        <v>9</v>
      </c>
      <c r="AB391" s="10">
        <f>Tabla1[[#This Row],[H.EXTRAS]]*24</f>
        <v>0.99999999999999778</v>
      </c>
      <c r="AC391" s="105">
        <f t="shared" si="21"/>
        <v>92.799999999999983</v>
      </c>
      <c r="AD391" s="120">
        <f>Tabla1[[#This Row],[COS.BASE 2]]/8</f>
        <v>11.599999999999998</v>
      </c>
      <c r="AE391" s="105">
        <f>Tabla1[[#This Row],[CST_H_E]]+Tabla1[[#This Row],[COS.BASE 2]]</f>
        <v>92.799999999999983</v>
      </c>
      <c r="AF391" s="106">
        <f>+_xlfn.IFNA(INDEX(RUBRO!$W$2:$AA$732,MATCH(Tabla1[[#This Row],[FECHA ]],RUBRO!$W$2:$W$732,0),5)," ")</f>
        <v>0</v>
      </c>
      <c r="AG391" s="10">
        <f>+_xlfn.IFNA(INDEX(RUBRO!$W$2:$AA$732,MATCH(Tabla1[[#This Row],[FECHA ]],RUBRO!$W$2:$W$732,0),2)," ")</f>
        <v>0</v>
      </c>
      <c r="AH391" s="40">
        <f>IFERROR(Tabla1[[#This Row],[F]]*Tabla1[[#This Row],[COS.B+E]]," ")</f>
        <v>0</v>
      </c>
      <c r="AI391" s="40">
        <f>IFERROR(Tabla1[[#This Row],[COS.B+E]]*Tabla1[[#This Row],[D]]," ")</f>
        <v>0</v>
      </c>
      <c r="AJ391" s="40" t="str">
        <f>IFERROR(Tabla1[[#This Row],[F]]*#REF!," ")</f>
        <v xml:space="preserve"> </v>
      </c>
      <c r="AK391" s="40" t="str">
        <f>IFERROR(#REF!*Tabla1[[#This Row],[D]]," ")</f>
        <v xml:space="preserve"> </v>
      </c>
      <c r="AL391" s="103"/>
      <c r="AM391" s="103"/>
      <c r="AN391" s="103"/>
      <c r="AO391" s="38">
        <f>+Tabla1[[#This Row],[COS.B+E]]+Tabla1[[#This Row],[COS.F1]]+Tabla1[[#This Row],[COS.D1]]+Tabla1[[#This Row],[ALIMENTACION]]+Tabla1[[#This Row],[PRESTAMO]]+AN391</f>
        <v>92.799999999999983</v>
      </c>
      <c r="AP391" s="38" t="e">
        <f>+#REF!+Tabla1[[#This Row],[COS F2]]+Tabla1[[#This Row],[COS D2]]+Tabla1[[#This Row],[ALIMENTACION]]+Tabla1[[#This Row],[PRESTAMO]]+Tabla1[[#This Row],[PASAJES]]</f>
        <v>#REF!</v>
      </c>
    </row>
    <row r="392" spans="1:42" x14ac:dyDescent="0.25">
      <c r="A392" s="2" t="str">
        <f>TEXT(Tabla1[[#This Row],[FECHA ]],"DDDDD")</f>
        <v>jueves</v>
      </c>
      <c r="B392" s="2" t="str">
        <f>_xlfn.IFNA(VLOOKUP(Tabla1[[#This Row],[DESTINO]],RUBRO!$Q$1:$R$9996,2,FALSE)," ")</f>
        <v>OBRA</v>
      </c>
      <c r="C392" s="104">
        <f>WEEKNUM(Tabla1[[#This Row],[FECHA ]],2)</f>
        <v>20</v>
      </c>
      <c r="D392" s="104" t="str">
        <f>TEXT(Tabla1[[#This Row],[FECHA ]],"MMM-YY")</f>
        <v>may-YY</v>
      </c>
      <c r="E392" s="104" t="str">
        <f>VLOOKUP(Tabla1[[#This Row],[DNI ]],RUBRO!$F$1:$O$9996,7,FALSE)</f>
        <v>5ta</v>
      </c>
      <c r="F392" s="104" t="str">
        <f>VLOOKUP(Tabla1[[#This Row],[DNI ]],RUBRO!$F$1:$O$88,3,FALSE)</f>
        <v>MAE-04</v>
      </c>
      <c r="G392" s="104" t="str">
        <f>VLOOKUP(Tabla1[[#This Row],[DNI ]],RUBRO!$F$1:$O$9996,5,FALSE)</f>
        <v>MAESTRO MECANICO MONTAJISTA DE MAQUINARIA EXTRANJERA</v>
      </c>
      <c r="H392" s="66" t="str">
        <f>VLOOKUP(Tabla1[[#This Row],[DNI ]],RUBRO!$F$1:$O$9996,6,FALSE)</f>
        <v>ROMERO MARIN JAIRO JOEL</v>
      </c>
      <c r="I392" s="94">
        <v>44329</v>
      </c>
      <c r="J392" s="10">
        <v>2</v>
      </c>
      <c r="K392" s="2">
        <v>72926564</v>
      </c>
      <c r="L392" s="4">
        <f>VLOOKUP(Tabla1[[#This Row],[DNI ]],RUBRO!$F$2:$O$9996,8,FALSE)</f>
        <v>88.27</v>
      </c>
      <c r="M392" s="88">
        <v>0.33333333333333331</v>
      </c>
      <c r="N392" s="28">
        <v>0.54166666666666663</v>
      </c>
      <c r="O392" s="28">
        <v>0.58333333333333337</v>
      </c>
      <c r="P392" s="28">
        <v>0.75</v>
      </c>
      <c r="Q392" s="31">
        <f>(Tabla1[[#This Row],[SALIDA]]-Tabla1[[#This Row],[FIN ]])+(Tabla1[[#This Row],[INICIO]]-Tabla1[[#This Row],[INGRESO]])</f>
        <v>0.37499999999999994</v>
      </c>
      <c r="R392" s="13">
        <f t="shared" si="19"/>
        <v>0.33333333333333331</v>
      </c>
      <c r="S392" s="31">
        <f t="shared" si="20"/>
        <v>4.166666666666663E-2</v>
      </c>
      <c r="T392" s="136"/>
      <c r="U392" s="136"/>
      <c r="V392" s="137">
        <f>(Tabla1[[#This Row],[COS.BASE 3]]*0.25+Tabla1[[#This Row],[COS.BASE 3]])*Tabla1[[#This Row],[HORAS 25 % ]]</f>
        <v>0</v>
      </c>
      <c r="W392" s="138">
        <f>(Tabla1[[#This Row],[COS.BASE 3]]*0.35+Tabla1[[#This Row],[COS.BASE 3]])*Tabla1[[#This Row],[HORAS 35% ]]</f>
        <v>0</v>
      </c>
      <c r="X392" s="138">
        <f>SUM(Tabla1[[#This Row],[C.HORA.35]],Tabla1[[#This Row],[C.HORA.25]])</f>
        <v>0</v>
      </c>
      <c r="Y392" s="4"/>
      <c r="Z392" s="10">
        <f>Tabla1[[#This Row],[T.HORAS]]*24</f>
        <v>8.9999999999999982</v>
      </c>
      <c r="AA392" s="4">
        <f>Tabla1[[#This Row],[H.NORMALES]]*24</f>
        <v>8</v>
      </c>
      <c r="AB392" s="10">
        <f>Tabla1[[#This Row],[H.EXTRAS]]*24</f>
        <v>0.99999999999999911</v>
      </c>
      <c r="AC392" s="105">
        <f t="shared" si="21"/>
        <v>88.27</v>
      </c>
      <c r="AD392" s="120">
        <f>Tabla1[[#This Row],[COS.BASE 2]]/8</f>
        <v>11.03375</v>
      </c>
      <c r="AE392" s="105">
        <f>Tabla1[[#This Row],[CST_H_E]]+Tabla1[[#This Row],[COS.BASE 2]]</f>
        <v>88.27</v>
      </c>
      <c r="AF392" s="106">
        <f>+_xlfn.IFNA(INDEX(RUBRO!$W$2:$AA$732,MATCH(Tabla1[[#This Row],[FECHA ]],RUBRO!$W$2:$W$732,0),5)," ")</f>
        <v>0</v>
      </c>
      <c r="AG392" s="10">
        <f>+_xlfn.IFNA(INDEX(RUBRO!$W$2:$AA$732,MATCH(Tabla1[[#This Row],[FECHA ]],RUBRO!$W$2:$W$732,0),2)," ")</f>
        <v>0</v>
      </c>
      <c r="AH392" s="40">
        <f>IFERROR(Tabla1[[#This Row],[F]]*Tabla1[[#This Row],[COS.B+E]]," ")</f>
        <v>0</v>
      </c>
      <c r="AI392" s="40">
        <f>IFERROR(Tabla1[[#This Row],[COS.B+E]]*Tabla1[[#This Row],[D]]," ")</f>
        <v>0</v>
      </c>
      <c r="AJ392" s="40" t="str">
        <f>IFERROR(Tabla1[[#This Row],[F]]*#REF!," ")</f>
        <v xml:space="preserve"> </v>
      </c>
      <c r="AK392" s="40" t="str">
        <f>IFERROR(#REF!*Tabla1[[#This Row],[D]]," ")</f>
        <v xml:space="preserve"> </v>
      </c>
      <c r="AL392" s="103"/>
      <c r="AM392" s="103"/>
      <c r="AN392" s="103"/>
      <c r="AO392" s="38">
        <f>+Tabla1[[#This Row],[COS.B+E]]+Tabla1[[#This Row],[COS.F1]]+Tabla1[[#This Row],[COS.D1]]+Tabla1[[#This Row],[ALIMENTACION]]+Tabla1[[#This Row],[PRESTAMO]]+AN392</f>
        <v>88.27</v>
      </c>
      <c r="AP392" s="38" t="e">
        <f>+#REF!+Tabla1[[#This Row],[COS F2]]+Tabla1[[#This Row],[COS D2]]+Tabla1[[#This Row],[ALIMENTACION]]+Tabla1[[#This Row],[PRESTAMO]]+Tabla1[[#This Row],[PASAJES]]</f>
        <v>#REF!</v>
      </c>
    </row>
    <row r="393" spans="1:42" x14ac:dyDescent="0.25">
      <c r="A393" s="2" t="str">
        <f>TEXT(Tabla1[[#This Row],[FECHA ]],"DDDDD")</f>
        <v>jueves</v>
      </c>
      <c r="B393" s="2" t="str">
        <f>_xlfn.IFNA(VLOOKUP(Tabla1[[#This Row],[DESTINO]],RUBRO!$Q$1:$R$9996,2,FALSE)," ")</f>
        <v>OBRA</v>
      </c>
      <c r="C393" s="104">
        <f>WEEKNUM(Tabla1[[#This Row],[FECHA ]],2)</f>
        <v>20</v>
      </c>
      <c r="D393" s="104" t="str">
        <f>TEXT(Tabla1[[#This Row],[FECHA ]],"MMM-YY")</f>
        <v>may-YY</v>
      </c>
      <c r="E393" s="104" t="str">
        <f>VLOOKUP(Tabla1[[#This Row],[DNI ]],RUBRO!$F$1:$O$9996,7,FALSE)</f>
        <v>5ta</v>
      </c>
      <c r="F393" s="104" t="e">
        <f>VLOOKUP(Tabla1[[#This Row],[DNI ]],RUBRO!$F$1:$O$88,3,FALSE)</f>
        <v>#N/A</v>
      </c>
      <c r="G393" s="104" t="str">
        <f>VLOOKUP(Tabla1[[#This Row],[DNI ]],RUBRO!$F$1:$O$9996,5,FALSE)</f>
        <v>TECNICO SOLDADOR</v>
      </c>
      <c r="H393" s="66" t="str">
        <f>VLOOKUP(Tabla1[[#This Row],[DNI ]],RUBRO!$F$1:$O$9996,6,FALSE)</f>
        <v xml:space="preserve">SALAZAR FERNANDEZ WALTER </v>
      </c>
      <c r="I393" s="94">
        <v>44329</v>
      </c>
      <c r="J393" s="10">
        <v>2</v>
      </c>
      <c r="K393" s="2">
        <v>72927801</v>
      </c>
      <c r="L393" s="4">
        <f>VLOOKUP(Tabla1[[#This Row],[DNI ]],RUBRO!$F$2:$O$9996,8,FALSE)</f>
        <v>60</v>
      </c>
      <c r="M393" s="88">
        <v>0.29166666666666669</v>
      </c>
      <c r="N393" s="28">
        <v>0.54166666666666663</v>
      </c>
      <c r="O393" s="28">
        <v>0.58333333333333337</v>
      </c>
      <c r="P393" s="28">
        <v>0.79166666666666663</v>
      </c>
      <c r="Q393" s="31">
        <f>(Tabla1[[#This Row],[SALIDA]]-Tabla1[[#This Row],[FIN ]])+(Tabla1[[#This Row],[INICIO]]-Tabla1[[#This Row],[INGRESO]])</f>
        <v>0.4583333333333332</v>
      </c>
      <c r="R393" s="13">
        <f t="shared" si="19"/>
        <v>0.33333333333333331</v>
      </c>
      <c r="S393" s="31">
        <f t="shared" si="20"/>
        <v>0.12499999999999989</v>
      </c>
      <c r="T393" s="136"/>
      <c r="U393" s="136"/>
      <c r="V393" s="137">
        <f>(Tabla1[[#This Row],[COS.BASE 3]]*0.25+Tabla1[[#This Row],[COS.BASE 3]])*Tabla1[[#This Row],[HORAS 25 % ]]</f>
        <v>0</v>
      </c>
      <c r="W393" s="138">
        <f>(Tabla1[[#This Row],[COS.BASE 3]]*0.35+Tabla1[[#This Row],[COS.BASE 3]])*Tabla1[[#This Row],[HORAS 35% ]]</f>
        <v>0</v>
      </c>
      <c r="X393" s="138">
        <f>SUM(Tabla1[[#This Row],[C.HORA.35]],Tabla1[[#This Row],[C.HORA.25]])</f>
        <v>0</v>
      </c>
      <c r="Y393" s="4"/>
      <c r="Z393" s="10">
        <f>Tabla1[[#This Row],[T.HORAS]]*24</f>
        <v>10.999999999999996</v>
      </c>
      <c r="AA393" s="4">
        <f>Tabla1[[#This Row],[H.NORMALES]]*24</f>
        <v>8</v>
      </c>
      <c r="AB393" s="10">
        <f>Tabla1[[#This Row],[H.EXTRAS]]*24</f>
        <v>2.9999999999999973</v>
      </c>
      <c r="AC393" s="105">
        <f t="shared" si="21"/>
        <v>60</v>
      </c>
      <c r="AD393" s="120">
        <f>Tabla1[[#This Row],[COS.BASE 2]]/8</f>
        <v>7.5</v>
      </c>
      <c r="AE393" s="105">
        <f>Tabla1[[#This Row],[CST_H_E]]+Tabla1[[#This Row],[COS.BASE 2]]</f>
        <v>60</v>
      </c>
      <c r="AF393" s="106">
        <f>+_xlfn.IFNA(INDEX(RUBRO!$W$2:$AA$732,MATCH(Tabla1[[#This Row],[FECHA ]],RUBRO!$W$2:$W$732,0),5)," ")</f>
        <v>0</v>
      </c>
      <c r="AG393" s="10">
        <f>+_xlfn.IFNA(INDEX(RUBRO!$W$2:$AA$732,MATCH(Tabla1[[#This Row],[FECHA ]],RUBRO!$W$2:$W$732,0),2)," ")</f>
        <v>0</v>
      </c>
      <c r="AH393" s="40">
        <f>IFERROR(Tabla1[[#This Row],[F]]*Tabla1[[#This Row],[COS.B+E]]," ")</f>
        <v>0</v>
      </c>
      <c r="AI393" s="40">
        <f>IFERROR(Tabla1[[#This Row],[COS.B+E]]*Tabla1[[#This Row],[D]]," ")</f>
        <v>0</v>
      </c>
      <c r="AJ393" s="40" t="str">
        <f>IFERROR(Tabla1[[#This Row],[F]]*#REF!," ")</f>
        <v xml:space="preserve"> </v>
      </c>
      <c r="AK393" s="40" t="str">
        <f>IFERROR(#REF!*Tabla1[[#This Row],[D]]," ")</f>
        <v xml:space="preserve"> </v>
      </c>
      <c r="AL393" s="103"/>
      <c r="AM393" s="103"/>
      <c r="AN393" s="103"/>
      <c r="AO393" s="38">
        <f>+Tabla1[[#This Row],[COS.B+E]]+Tabla1[[#This Row],[COS.F1]]+Tabla1[[#This Row],[COS.D1]]+Tabla1[[#This Row],[ALIMENTACION]]+Tabla1[[#This Row],[PRESTAMO]]+AN393</f>
        <v>60</v>
      </c>
      <c r="AP393" s="38" t="e">
        <f>+#REF!+Tabla1[[#This Row],[COS F2]]+Tabla1[[#This Row],[COS D2]]+Tabla1[[#This Row],[ALIMENTACION]]+Tabla1[[#This Row],[PRESTAMO]]+Tabla1[[#This Row],[PASAJES]]</f>
        <v>#REF!</v>
      </c>
    </row>
    <row r="394" spans="1:42" x14ac:dyDescent="0.25">
      <c r="A394" s="2" t="str">
        <f>TEXT(Tabla1[[#This Row],[FECHA ]],"DDDDD")</f>
        <v>jueves</v>
      </c>
      <c r="B394" s="2" t="str">
        <f>_xlfn.IFNA(VLOOKUP(Tabla1[[#This Row],[DESTINO]],RUBRO!$Q$1:$R$9996,2,FALSE)," ")</f>
        <v>OBRA</v>
      </c>
      <c r="C394" s="104">
        <f>WEEKNUM(Tabla1[[#This Row],[FECHA ]],2)</f>
        <v>20</v>
      </c>
      <c r="D394" s="104" t="str">
        <f>TEXT(Tabla1[[#This Row],[FECHA ]],"MMM-YY")</f>
        <v>may-YY</v>
      </c>
      <c r="E394" s="104" t="str">
        <f>VLOOKUP(Tabla1[[#This Row],[DNI ]],RUBRO!$F$1:$O$9996,7,FALSE)</f>
        <v>5ta</v>
      </c>
      <c r="F394" s="104" t="str">
        <f>VLOOKUP(Tabla1[[#This Row],[DNI ]],RUBRO!$F$1:$O$88,3,FALSE)</f>
        <v>MEC-04</v>
      </c>
      <c r="G394" s="104" t="str">
        <f>VLOOKUP(Tabla1[[#This Row],[DNI ]],RUBRO!$F$1:$O$9996,5,FALSE)</f>
        <v>MECANICO MONTAJISTA DE MAQUINARIA EXTRANJERA</v>
      </c>
      <c r="H394" s="66" t="str">
        <f>VLOOKUP(Tabla1[[#This Row],[DNI ]],RUBRO!$F$1:$O$9996,6,FALSE)</f>
        <v>SANDOVAL CHAPOÑAN ELVIS EDUARDO</v>
      </c>
      <c r="I394" s="94">
        <v>44329</v>
      </c>
      <c r="J394" s="10">
        <v>2</v>
      </c>
      <c r="K394" s="2">
        <v>45360771</v>
      </c>
      <c r="L394" s="4">
        <f>VLOOKUP(Tabla1[[#This Row],[DNI ]],RUBRO!$F$2:$O$9996,8,FALSE)</f>
        <v>94.35</v>
      </c>
      <c r="M394" s="88">
        <v>0.33333333333333331</v>
      </c>
      <c r="N394" s="28">
        <v>0.54166666666666663</v>
      </c>
      <c r="O394" s="28">
        <v>0.58333333333333337</v>
      </c>
      <c r="P394" s="28">
        <v>0.75</v>
      </c>
      <c r="Q394" s="31">
        <f>(Tabla1[[#This Row],[SALIDA]]-Tabla1[[#This Row],[FIN ]])+(Tabla1[[#This Row],[INICIO]]-Tabla1[[#This Row],[INGRESO]])</f>
        <v>0.37499999999999994</v>
      </c>
      <c r="R394" s="13">
        <f t="shared" si="19"/>
        <v>0.33333333333333331</v>
      </c>
      <c r="S394" s="31">
        <f t="shared" si="20"/>
        <v>4.166666666666663E-2</v>
      </c>
      <c r="T394" s="136"/>
      <c r="U394" s="136"/>
      <c r="V394" s="137">
        <f>(Tabla1[[#This Row],[COS.BASE 3]]*0.25+Tabla1[[#This Row],[COS.BASE 3]])*Tabla1[[#This Row],[HORAS 25 % ]]</f>
        <v>0</v>
      </c>
      <c r="W394" s="138">
        <f>(Tabla1[[#This Row],[COS.BASE 3]]*0.35+Tabla1[[#This Row],[COS.BASE 3]])*Tabla1[[#This Row],[HORAS 35% ]]</f>
        <v>0</v>
      </c>
      <c r="X394" s="138">
        <f>SUM(Tabla1[[#This Row],[C.HORA.35]],Tabla1[[#This Row],[C.HORA.25]])</f>
        <v>0</v>
      </c>
      <c r="Y394" s="4"/>
      <c r="Z394" s="10">
        <f>Tabla1[[#This Row],[T.HORAS]]*24</f>
        <v>8.9999999999999982</v>
      </c>
      <c r="AA394" s="4">
        <f>Tabla1[[#This Row],[H.NORMALES]]*24</f>
        <v>8</v>
      </c>
      <c r="AB394" s="10">
        <f>Tabla1[[#This Row],[H.EXTRAS]]*24</f>
        <v>0.99999999999999911</v>
      </c>
      <c r="AC394" s="105">
        <f t="shared" si="21"/>
        <v>94.35</v>
      </c>
      <c r="AD394" s="120">
        <f>Tabla1[[#This Row],[COS.BASE 2]]/8</f>
        <v>11.793749999999999</v>
      </c>
      <c r="AE394" s="105">
        <f>Tabla1[[#This Row],[CST_H_E]]+Tabla1[[#This Row],[COS.BASE 2]]</f>
        <v>94.35</v>
      </c>
      <c r="AF394" s="106">
        <f>+_xlfn.IFNA(INDEX(RUBRO!$W$2:$AA$732,MATCH(Tabla1[[#This Row],[FECHA ]],RUBRO!$W$2:$W$732,0),5)," ")</f>
        <v>0</v>
      </c>
      <c r="AG394" s="10">
        <f>+_xlfn.IFNA(INDEX(RUBRO!$W$2:$AA$732,MATCH(Tabla1[[#This Row],[FECHA ]],RUBRO!$W$2:$W$732,0),2)," ")</f>
        <v>0</v>
      </c>
      <c r="AH394" s="40">
        <f>IFERROR(Tabla1[[#This Row],[F]]*Tabla1[[#This Row],[COS.B+E]]," ")</f>
        <v>0</v>
      </c>
      <c r="AI394" s="40">
        <f>IFERROR(Tabla1[[#This Row],[COS.B+E]]*Tabla1[[#This Row],[D]]," ")</f>
        <v>0</v>
      </c>
      <c r="AJ394" s="40" t="str">
        <f>IFERROR(Tabla1[[#This Row],[F]]*#REF!," ")</f>
        <v xml:space="preserve"> </v>
      </c>
      <c r="AK394" s="40" t="str">
        <f>IFERROR(#REF!*Tabla1[[#This Row],[D]]," ")</f>
        <v xml:space="preserve"> </v>
      </c>
      <c r="AL394" s="103"/>
      <c r="AM394" s="103"/>
      <c r="AN394" s="103"/>
      <c r="AO394" s="38">
        <f>+Tabla1[[#This Row],[COS.B+E]]+Tabla1[[#This Row],[COS.F1]]+Tabla1[[#This Row],[COS.D1]]+Tabla1[[#This Row],[ALIMENTACION]]+Tabla1[[#This Row],[PRESTAMO]]+AN394</f>
        <v>94.35</v>
      </c>
      <c r="AP394" s="38" t="e">
        <f>+#REF!+Tabla1[[#This Row],[COS F2]]+Tabla1[[#This Row],[COS D2]]+Tabla1[[#This Row],[ALIMENTACION]]+Tabla1[[#This Row],[PRESTAMO]]+Tabla1[[#This Row],[PASAJES]]</f>
        <v>#REF!</v>
      </c>
    </row>
    <row r="395" spans="1:42" x14ac:dyDescent="0.25">
      <c r="A395" s="2" t="str">
        <f>TEXT(Tabla1[[#This Row],[FECHA ]],"DDDDD")</f>
        <v>jueves</v>
      </c>
      <c r="B395" s="2" t="str">
        <f>_xlfn.IFNA(VLOOKUP(Tabla1[[#This Row],[DESTINO]],RUBRO!$Q$1:$R$9996,2,FALSE)," ")</f>
        <v>OBRA</v>
      </c>
      <c r="C395" s="104">
        <f>WEEKNUM(Tabla1[[#This Row],[FECHA ]],2)</f>
        <v>20</v>
      </c>
      <c r="D395" s="104" t="str">
        <f>TEXT(Tabla1[[#This Row],[FECHA ]],"MMM-YY")</f>
        <v>may-YY</v>
      </c>
      <c r="E395" s="104" t="str">
        <f>VLOOKUP(Tabla1[[#This Row],[DNI ]],RUBRO!$F$1:$O$9996,7,FALSE)</f>
        <v>5ta</v>
      </c>
      <c r="F395" s="104" t="e">
        <f>VLOOKUP(Tabla1[[#This Row],[DNI ]],RUBRO!$F$1:$O$88,3,FALSE)</f>
        <v>#N/A</v>
      </c>
      <c r="G395" s="104" t="str">
        <f>VLOOKUP(Tabla1[[#This Row],[DNI ]],RUBRO!$F$1:$O$9996,5,FALSE)</f>
        <v>TECNICO MECANICO MONTAJISTA DE NAVE INDUSTRIAL</v>
      </c>
      <c r="H395" s="66" t="str">
        <f>VLOOKUP(Tabla1[[#This Row],[DNI ]],RUBRO!$F$1:$O$9996,6,FALSE)</f>
        <v>SOLANO SUELDO CARLOS</v>
      </c>
      <c r="I395" s="94">
        <v>44329</v>
      </c>
      <c r="J395" s="10">
        <v>2</v>
      </c>
      <c r="K395" s="2">
        <v>44676684</v>
      </c>
      <c r="L395" s="4">
        <f>VLOOKUP(Tabla1[[#This Row],[DNI ]],RUBRO!$F$2:$O$9996,8,FALSE)</f>
        <v>70</v>
      </c>
      <c r="M395" s="88">
        <v>0.29166666666666669</v>
      </c>
      <c r="N395" s="28">
        <v>0.54166666666666663</v>
      </c>
      <c r="O395" s="28">
        <v>0.58333333333333337</v>
      </c>
      <c r="P395" s="28">
        <v>0.75</v>
      </c>
      <c r="Q395" s="31">
        <f>(Tabla1[[#This Row],[SALIDA]]-Tabla1[[#This Row],[FIN ]])+(Tabla1[[#This Row],[INICIO]]-Tabla1[[#This Row],[INGRESO]])</f>
        <v>0.41666666666666657</v>
      </c>
      <c r="R395" s="13">
        <f t="shared" si="19"/>
        <v>0.33333333333333331</v>
      </c>
      <c r="S395" s="31">
        <f t="shared" si="20"/>
        <v>8.3333333333333259E-2</v>
      </c>
      <c r="T395" s="136"/>
      <c r="U395" s="136"/>
      <c r="V395" s="137">
        <f>(Tabla1[[#This Row],[COS.BASE 3]]*0.25+Tabla1[[#This Row],[COS.BASE 3]])*Tabla1[[#This Row],[HORAS 25 % ]]</f>
        <v>0</v>
      </c>
      <c r="W395" s="138">
        <f>(Tabla1[[#This Row],[COS.BASE 3]]*0.35+Tabla1[[#This Row],[COS.BASE 3]])*Tabla1[[#This Row],[HORAS 35% ]]</f>
        <v>0</v>
      </c>
      <c r="X395" s="138">
        <f>SUM(Tabla1[[#This Row],[C.HORA.35]],Tabla1[[#This Row],[C.HORA.25]])</f>
        <v>0</v>
      </c>
      <c r="Y395" s="4"/>
      <c r="Z395" s="10">
        <f>Tabla1[[#This Row],[T.HORAS]]*24</f>
        <v>9.9999999999999982</v>
      </c>
      <c r="AA395" s="4">
        <f>Tabla1[[#This Row],[H.NORMALES]]*24</f>
        <v>8</v>
      </c>
      <c r="AB395" s="10">
        <f>Tabla1[[#This Row],[H.EXTRAS]]*24</f>
        <v>1.9999999999999982</v>
      </c>
      <c r="AC395" s="105">
        <f t="shared" si="21"/>
        <v>70</v>
      </c>
      <c r="AD395" s="120">
        <f>Tabla1[[#This Row],[COS.BASE 2]]/8</f>
        <v>8.75</v>
      </c>
      <c r="AE395" s="105">
        <f>Tabla1[[#This Row],[CST_H_E]]+Tabla1[[#This Row],[COS.BASE 2]]</f>
        <v>70</v>
      </c>
      <c r="AF395" s="106">
        <f>+_xlfn.IFNA(INDEX(RUBRO!$W$2:$AA$732,MATCH(Tabla1[[#This Row],[FECHA ]],RUBRO!$W$2:$W$732,0),5)," ")</f>
        <v>0</v>
      </c>
      <c r="AG395" s="10">
        <f>+_xlfn.IFNA(INDEX(RUBRO!$W$2:$AA$732,MATCH(Tabla1[[#This Row],[FECHA ]],RUBRO!$W$2:$W$732,0),2)," ")</f>
        <v>0</v>
      </c>
      <c r="AH395" s="40">
        <f>IFERROR(Tabla1[[#This Row],[F]]*Tabla1[[#This Row],[COS.B+E]]," ")</f>
        <v>0</v>
      </c>
      <c r="AI395" s="40">
        <f>IFERROR(Tabla1[[#This Row],[COS.B+E]]*Tabla1[[#This Row],[D]]," ")</f>
        <v>0</v>
      </c>
      <c r="AJ395" s="40" t="str">
        <f>IFERROR(Tabla1[[#This Row],[F]]*#REF!," ")</f>
        <v xml:space="preserve"> </v>
      </c>
      <c r="AK395" s="40" t="str">
        <f>IFERROR(#REF!*Tabla1[[#This Row],[D]]," ")</f>
        <v xml:space="preserve"> </v>
      </c>
      <c r="AL395" s="103"/>
      <c r="AM395" s="103"/>
      <c r="AN395" s="103"/>
      <c r="AO395" s="38">
        <f>+Tabla1[[#This Row],[COS.B+E]]+Tabla1[[#This Row],[COS.F1]]+Tabla1[[#This Row],[COS.D1]]+Tabla1[[#This Row],[ALIMENTACION]]+Tabla1[[#This Row],[PRESTAMO]]+AN395</f>
        <v>70</v>
      </c>
      <c r="AP395" s="38" t="e">
        <f>+#REF!+Tabla1[[#This Row],[COS F2]]+Tabla1[[#This Row],[COS D2]]+Tabla1[[#This Row],[ALIMENTACION]]+Tabla1[[#This Row],[PRESTAMO]]+Tabla1[[#This Row],[PASAJES]]</f>
        <v>#REF!</v>
      </c>
    </row>
    <row r="396" spans="1:42" x14ac:dyDescent="0.25">
      <c r="A396" s="2" t="str">
        <f>TEXT(Tabla1[[#This Row],[FECHA ]],"DDDDD")</f>
        <v>jueves</v>
      </c>
      <c r="B396" s="2" t="str">
        <f>_xlfn.IFNA(VLOOKUP(Tabla1[[#This Row],[DESTINO]],RUBRO!$Q$1:$R$9996,2,FALSE)," ")</f>
        <v xml:space="preserve"> </v>
      </c>
      <c r="C396" s="104">
        <f>WEEKNUM(Tabla1[[#This Row],[FECHA ]],2)</f>
        <v>20</v>
      </c>
      <c r="D396" s="104" t="str">
        <f>TEXT(Tabla1[[#This Row],[FECHA ]],"MMM-YY")</f>
        <v>may-YY</v>
      </c>
      <c r="E396" s="104" t="str">
        <f>VLOOKUP(Tabla1[[#This Row],[DNI ]],RUBRO!$F$1:$O$9996,7,FALSE)</f>
        <v>4ta</v>
      </c>
      <c r="F396" s="104" t="e">
        <f>VLOOKUP(Tabla1[[#This Row],[DNI ]],RUBRO!$F$1:$O$88,3,FALSE)</f>
        <v>#N/A</v>
      </c>
      <c r="G396" s="104">
        <f>VLOOKUP(Tabla1[[#This Row],[DNI ]],RUBRO!$F$1:$O$9996,5,FALSE)</f>
        <v>0</v>
      </c>
      <c r="H396" s="66" t="str">
        <f>VLOOKUP(Tabla1[[#This Row],[DNI ]],RUBRO!$F$1:$O$9996,6,FALSE)</f>
        <v>SOTO NIETO ALEXANDRO FABIO</v>
      </c>
      <c r="I396" s="94">
        <v>44329</v>
      </c>
      <c r="K396" s="2">
        <v>71214531</v>
      </c>
      <c r="L396" s="4">
        <f>VLOOKUP(Tabla1[[#This Row],[DNI ]],RUBRO!$F$2:$O$9996,8,FALSE)</f>
        <v>0</v>
      </c>
      <c r="M396" s="88"/>
      <c r="N396" s="28"/>
      <c r="P396" s="28"/>
      <c r="Q396" s="31">
        <f>(Tabla1[[#This Row],[SALIDA]]-Tabla1[[#This Row],[FIN ]])+(Tabla1[[#This Row],[INICIO]]-Tabla1[[#This Row],[INGRESO]])</f>
        <v>0</v>
      </c>
      <c r="R396" s="13">
        <f t="shared" si="19"/>
        <v>0</v>
      </c>
      <c r="S396" s="31">
        <f t="shared" si="20"/>
        <v>0</v>
      </c>
      <c r="T396" s="136"/>
      <c r="U396" s="136"/>
      <c r="V396" s="137">
        <f>(Tabla1[[#This Row],[COS.BASE 3]]*0.25+Tabla1[[#This Row],[COS.BASE 3]])*Tabla1[[#This Row],[HORAS 25 % ]]</f>
        <v>0</v>
      </c>
      <c r="W396" s="138">
        <f>(Tabla1[[#This Row],[COS.BASE 3]]*0.35+Tabla1[[#This Row],[COS.BASE 3]])*Tabla1[[#This Row],[HORAS 35% ]]</f>
        <v>0</v>
      </c>
      <c r="X396" s="138">
        <f>SUM(Tabla1[[#This Row],[C.HORA.35]],Tabla1[[#This Row],[C.HORA.25]])</f>
        <v>0</v>
      </c>
      <c r="Y396" s="4"/>
      <c r="Z396" s="10">
        <f>Tabla1[[#This Row],[T.HORAS]]*24</f>
        <v>0</v>
      </c>
      <c r="AA396" s="4">
        <f>Tabla1[[#This Row],[H.NORMALES]]*24</f>
        <v>0</v>
      </c>
      <c r="AB396" s="10">
        <f>Tabla1[[#This Row],[H.EXTRAS]]*24</f>
        <v>0</v>
      </c>
      <c r="AC396" s="105">
        <f t="shared" si="21"/>
        <v>0</v>
      </c>
      <c r="AD396" s="120">
        <f>Tabla1[[#This Row],[COS.BASE 2]]/8</f>
        <v>0</v>
      </c>
      <c r="AE396" s="105">
        <f>Tabla1[[#This Row],[CST_H_E]]+Tabla1[[#This Row],[COS.BASE 2]]</f>
        <v>0</v>
      </c>
      <c r="AF396" s="106">
        <f>+_xlfn.IFNA(INDEX(RUBRO!$W$2:$AA$732,MATCH(Tabla1[[#This Row],[FECHA ]],RUBRO!$W$2:$W$732,0),5)," ")</f>
        <v>0</v>
      </c>
      <c r="AG396" s="10">
        <f>+_xlfn.IFNA(INDEX(RUBRO!$W$2:$AA$732,MATCH(Tabla1[[#This Row],[FECHA ]],RUBRO!$W$2:$W$732,0),2)," ")</f>
        <v>0</v>
      </c>
      <c r="AH396" s="40">
        <f>IFERROR(Tabla1[[#This Row],[F]]*Tabla1[[#This Row],[COS.B+E]]," ")</f>
        <v>0</v>
      </c>
      <c r="AI396" s="40">
        <f>IFERROR(Tabla1[[#This Row],[COS.B+E]]*Tabla1[[#This Row],[D]]," ")</f>
        <v>0</v>
      </c>
      <c r="AJ396" s="40" t="str">
        <f>IFERROR(Tabla1[[#This Row],[F]]*#REF!," ")</f>
        <v xml:space="preserve"> </v>
      </c>
      <c r="AK396" s="40" t="str">
        <f>IFERROR(#REF!*Tabla1[[#This Row],[D]]," ")</f>
        <v xml:space="preserve"> </v>
      </c>
      <c r="AL396" s="103"/>
      <c r="AM396" s="103"/>
      <c r="AN396" s="103"/>
      <c r="AO396" s="38">
        <f>+Tabla1[[#This Row],[COS.B+E]]+Tabla1[[#This Row],[COS.F1]]+Tabla1[[#This Row],[COS.D1]]+Tabla1[[#This Row],[ALIMENTACION]]+Tabla1[[#This Row],[PRESTAMO]]+AN396</f>
        <v>0</v>
      </c>
      <c r="AP396" s="38" t="e">
        <f>+#REF!+Tabla1[[#This Row],[COS F2]]+Tabla1[[#This Row],[COS D2]]+Tabla1[[#This Row],[ALIMENTACION]]+Tabla1[[#This Row],[PRESTAMO]]+Tabla1[[#This Row],[PASAJES]]</f>
        <v>#REF!</v>
      </c>
    </row>
    <row r="397" spans="1:42" x14ac:dyDescent="0.25">
      <c r="A397" s="2" t="str">
        <f>TEXT(Tabla1[[#This Row],[FECHA ]],"DDDDD")</f>
        <v>jueves</v>
      </c>
      <c r="B397" s="2" t="str">
        <f>_xlfn.IFNA(VLOOKUP(Tabla1[[#This Row],[DESTINO]],RUBRO!$Q$1:$R$9996,2,FALSE)," ")</f>
        <v>PLANTA</v>
      </c>
      <c r="C397" s="104">
        <f>WEEKNUM(Tabla1[[#This Row],[FECHA ]],2)</f>
        <v>20</v>
      </c>
      <c r="D397" s="104" t="str">
        <f>TEXT(Tabla1[[#This Row],[FECHA ]],"MMM-YY")</f>
        <v>may-YY</v>
      </c>
      <c r="E397" s="104" t="str">
        <f>VLOOKUP(Tabla1[[#This Row],[DNI ]],RUBRO!$F$1:$O$9996,7,FALSE)</f>
        <v>5ta</v>
      </c>
      <c r="F397" s="104" t="str">
        <f>VLOOKUP(Tabla1[[#This Row],[DNI ]],RUBRO!$F$1:$O$88,3,FALSE)</f>
        <v>TEC-02</v>
      </c>
      <c r="G397" s="104" t="str">
        <f>VLOOKUP(Tabla1[[#This Row],[DNI ]],RUBRO!$F$1:$O$9996,5,FALSE)</f>
        <v>TECNICO MECANICO MONTAJISTA DE MAQUINARIA</v>
      </c>
      <c r="H397" s="66" t="str">
        <f>VLOOKUP(Tabla1[[#This Row],[DNI ]],RUBRO!$F$1:$O$9996,6,FALSE)</f>
        <v>TINOCO SANTISTEBAN JIMMY JOEL</v>
      </c>
      <c r="I397" s="94">
        <v>44329</v>
      </c>
      <c r="J397" s="10">
        <v>1</v>
      </c>
      <c r="K397" s="2">
        <v>47158079</v>
      </c>
      <c r="L397" s="4">
        <f>VLOOKUP(Tabla1[[#This Row],[DNI ]],RUBRO!$F$2:$O$9996,8,FALSE)</f>
        <v>56.55</v>
      </c>
      <c r="M397" s="88">
        <v>0.29166666666666669</v>
      </c>
      <c r="N397" s="28">
        <v>0.54166666666666663</v>
      </c>
      <c r="O397" s="28">
        <v>0.58333333333333337</v>
      </c>
      <c r="P397" s="28">
        <v>0.75</v>
      </c>
      <c r="Q397" s="31">
        <f>(Tabla1[[#This Row],[SALIDA]]-Tabla1[[#This Row],[FIN ]])+(Tabla1[[#This Row],[INICIO]]-Tabla1[[#This Row],[INGRESO]])</f>
        <v>0.41666666666666657</v>
      </c>
      <c r="R397" s="13">
        <f t="shared" si="19"/>
        <v>0.375</v>
      </c>
      <c r="S397" s="31">
        <f t="shared" si="20"/>
        <v>4.1666666666666574E-2</v>
      </c>
      <c r="T397" s="136"/>
      <c r="U397" s="136"/>
      <c r="V397" s="137">
        <f>(Tabla1[[#This Row],[COS.BASE 3]]*0.25+Tabla1[[#This Row],[COS.BASE 3]])*Tabla1[[#This Row],[HORAS 25 % ]]</f>
        <v>0</v>
      </c>
      <c r="W397" s="138">
        <f>(Tabla1[[#This Row],[COS.BASE 3]]*0.35+Tabla1[[#This Row],[COS.BASE 3]])*Tabla1[[#This Row],[HORAS 35% ]]</f>
        <v>0</v>
      </c>
      <c r="X397" s="138">
        <f>SUM(Tabla1[[#This Row],[C.HORA.35]],Tabla1[[#This Row],[C.HORA.25]])</f>
        <v>0</v>
      </c>
      <c r="Y397" s="4"/>
      <c r="Z397" s="10">
        <f>Tabla1[[#This Row],[T.HORAS]]*24</f>
        <v>9.9999999999999982</v>
      </c>
      <c r="AA397" s="4">
        <f>Tabla1[[#This Row],[H.NORMALES]]*24</f>
        <v>9</v>
      </c>
      <c r="AB397" s="10">
        <f>Tabla1[[#This Row],[H.EXTRAS]]*24</f>
        <v>0.99999999999999778</v>
      </c>
      <c r="AC397" s="105">
        <f t="shared" si="21"/>
        <v>56.55</v>
      </c>
      <c r="AD397" s="120">
        <f>Tabla1[[#This Row],[COS.BASE 2]]/8</f>
        <v>7.0687499999999996</v>
      </c>
      <c r="AE397" s="105">
        <f>Tabla1[[#This Row],[CST_H_E]]+Tabla1[[#This Row],[COS.BASE 2]]</f>
        <v>56.55</v>
      </c>
      <c r="AF397" s="106">
        <f>+_xlfn.IFNA(INDEX(RUBRO!$W$2:$AA$732,MATCH(Tabla1[[#This Row],[FECHA ]],RUBRO!$W$2:$W$732,0),5)," ")</f>
        <v>0</v>
      </c>
      <c r="AG397" s="10">
        <f>+_xlfn.IFNA(INDEX(RUBRO!$W$2:$AA$732,MATCH(Tabla1[[#This Row],[FECHA ]],RUBRO!$W$2:$W$732,0),2)," ")</f>
        <v>0</v>
      </c>
      <c r="AH397" s="40">
        <f>IFERROR(Tabla1[[#This Row],[F]]*Tabla1[[#This Row],[COS.B+E]]," ")</f>
        <v>0</v>
      </c>
      <c r="AI397" s="40">
        <f>IFERROR(Tabla1[[#This Row],[COS.B+E]]*Tabla1[[#This Row],[D]]," ")</f>
        <v>0</v>
      </c>
      <c r="AJ397" s="40" t="str">
        <f>IFERROR(Tabla1[[#This Row],[F]]*#REF!," ")</f>
        <v xml:space="preserve"> </v>
      </c>
      <c r="AK397" s="40" t="str">
        <f>IFERROR(#REF!*Tabla1[[#This Row],[D]]," ")</f>
        <v xml:space="preserve"> </v>
      </c>
      <c r="AL397" s="103"/>
      <c r="AM397" s="103"/>
      <c r="AN397" s="103"/>
      <c r="AO397" s="38">
        <f>+Tabla1[[#This Row],[COS.B+E]]+Tabla1[[#This Row],[COS.F1]]+Tabla1[[#This Row],[COS.D1]]+Tabla1[[#This Row],[ALIMENTACION]]+Tabla1[[#This Row],[PRESTAMO]]+AN397</f>
        <v>56.55</v>
      </c>
      <c r="AP397" s="38" t="e">
        <f>+#REF!+Tabla1[[#This Row],[COS F2]]+Tabla1[[#This Row],[COS D2]]+Tabla1[[#This Row],[ALIMENTACION]]+Tabla1[[#This Row],[PRESTAMO]]+Tabla1[[#This Row],[PASAJES]]</f>
        <v>#REF!</v>
      </c>
    </row>
    <row r="398" spans="1:42" x14ac:dyDescent="0.25">
      <c r="A398" s="2" t="str">
        <f>TEXT(Tabla1[[#This Row],[FECHA ]],"DDDDD")</f>
        <v>jueves</v>
      </c>
      <c r="B398" s="2" t="str">
        <f>_xlfn.IFNA(VLOOKUP(Tabla1[[#This Row],[DESTINO]],RUBRO!$Q$1:$R$9996,2,FALSE)," ")</f>
        <v>PLANTA</v>
      </c>
      <c r="C398" s="104">
        <f>WEEKNUM(Tabla1[[#This Row],[FECHA ]],2)</f>
        <v>20</v>
      </c>
      <c r="D398" s="104" t="str">
        <f>TEXT(Tabla1[[#This Row],[FECHA ]],"MMM-YY")</f>
        <v>may-YY</v>
      </c>
      <c r="E398" s="104" t="str">
        <f>VLOOKUP(Tabla1[[#This Row],[DNI ]],RUBRO!$F$1:$O$9996,7,FALSE)</f>
        <v>5ta</v>
      </c>
      <c r="F398" s="104" t="str">
        <f>VLOOKUP(Tabla1[[#This Row],[DNI ]],RUBRO!$F$1:$O$88,3,FALSE)</f>
        <v>TECME-03</v>
      </c>
      <c r="G398" s="104" t="str">
        <f>VLOOKUP(Tabla1[[#This Row],[DNI ]],RUBRO!$F$1:$O$9996,5,FALSE)</f>
        <v>TECNICO ELECTRICO MONTAJISTA DE MAQUINARIA EXTRANJERA</v>
      </c>
      <c r="H398" s="66" t="str">
        <f>VLOOKUP(Tabla1[[#This Row],[DNI ]],RUBRO!$F$1:$O$9996,6,FALSE)</f>
        <v>TORRES RAMOS ANGY ANDREINA</v>
      </c>
      <c r="I398" s="94">
        <v>44329</v>
      </c>
      <c r="J398" s="10">
        <v>1</v>
      </c>
      <c r="K398" s="2">
        <v>76449683</v>
      </c>
      <c r="L398" s="4">
        <f>VLOOKUP(Tabla1[[#This Row],[DNI ]],RUBRO!$F$2:$O$9996,8,FALSE)</f>
        <v>73.87</v>
      </c>
      <c r="M398" s="88">
        <v>0.29166666666666669</v>
      </c>
      <c r="N398" s="28">
        <v>0.54166666666666663</v>
      </c>
      <c r="O398" s="28">
        <v>0.58333333333333337</v>
      </c>
      <c r="P398" s="28">
        <v>0.75</v>
      </c>
      <c r="Q398" s="31">
        <f>(Tabla1[[#This Row],[SALIDA]]-Tabla1[[#This Row],[FIN ]])+(Tabla1[[#This Row],[INICIO]]-Tabla1[[#This Row],[INGRESO]])</f>
        <v>0.41666666666666657</v>
      </c>
      <c r="R398" s="13">
        <f t="shared" si="19"/>
        <v>0.375</v>
      </c>
      <c r="S398" s="31">
        <f t="shared" si="20"/>
        <v>4.1666666666666574E-2</v>
      </c>
      <c r="T398" s="136">
        <v>1</v>
      </c>
      <c r="U398" s="136"/>
      <c r="V398" s="137">
        <f>(Tabla1[[#This Row],[COS.BASE 3]]*0.25+Tabla1[[#This Row],[COS.BASE 3]])*Tabla1[[#This Row],[HORAS 25 % ]]</f>
        <v>11.542187500000001</v>
      </c>
      <c r="W398" s="138">
        <f>(Tabla1[[#This Row],[COS.BASE 3]]*0.35+Tabla1[[#This Row],[COS.BASE 3]])*Tabla1[[#This Row],[HORAS 35% ]]</f>
        <v>0</v>
      </c>
      <c r="X398" s="138">
        <f>SUM(Tabla1[[#This Row],[C.HORA.35]],Tabla1[[#This Row],[C.HORA.25]])</f>
        <v>11.542187500000001</v>
      </c>
      <c r="Y398" s="4"/>
      <c r="Z398" s="10">
        <f>Tabla1[[#This Row],[T.HORAS]]*24</f>
        <v>9.9999999999999982</v>
      </c>
      <c r="AA398" s="4">
        <f>Tabla1[[#This Row],[H.NORMALES]]*24</f>
        <v>9</v>
      </c>
      <c r="AB398" s="10">
        <f>Tabla1[[#This Row],[H.EXTRAS]]*24</f>
        <v>0.99999999999999778</v>
      </c>
      <c r="AC398" s="105">
        <f t="shared" si="21"/>
        <v>73.87</v>
      </c>
      <c r="AD398" s="120">
        <f>Tabla1[[#This Row],[COS.BASE 2]]/8</f>
        <v>9.2337500000000006</v>
      </c>
      <c r="AE398" s="134">
        <f>Tabla1[[#This Row],[CST_H_E]]+Tabla1[[#This Row],[COS.BASE 2]]</f>
        <v>85.412187500000002</v>
      </c>
      <c r="AF398" s="106">
        <f>+_xlfn.IFNA(INDEX(RUBRO!$W$2:$AA$732,MATCH(Tabla1[[#This Row],[FECHA ]],RUBRO!$W$2:$W$732,0),5)," ")</f>
        <v>0</v>
      </c>
      <c r="AG398" s="10">
        <f>+_xlfn.IFNA(INDEX(RUBRO!$W$2:$AA$732,MATCH(Tabla1[[#This Row],[FECHA ]],RUBRO!$W$2:$W$732,0),2)," ")</f>
        <v>0</v>
      </c>
      <c r="AH398" s="40">
        <f>IFERROR(Tabla1[[#This Row],[F]]*Tabla1[[#This Row],[COS.B+E]]," ")</f>
        <v>0</v>
      </c>
      <c r="AI398" s="40">
        <f>IFERROR(Tabla1[[#This Row],[COS.B+E]]*Tabla1[[#This Row],[D]]," ")</f>
        <v>0</v>
      </c>
      <c r="AJ398" s="40" t="str">
        <f>IFERROR(Tabla1[[#This Row],[F]]*#REF!," ")</f>
        <v xml:space="preserve"> </v>
      </c>
      <c r="AK398" s="40" t="str">
        <f>IFERROR(#REF!*Tabla1[[#This Row],[D]]," ")</f>
        <v xml:space="preserve"> </v>
      </c>
      <c r="AL398" s="103"/>
      <c r="AM398" s="103"/>
      <c r="AN398" s="103"/>
      <c r="AO398" s="38">
        <f>+Tabla1[[#This Row],[COS.B+E]]+Tabla1[[#This Row],[COS.F1]]+Tabla1[[#This Row],[COS.D1]]+Tabla1[[#This Row],[ALIMENTACION]]+Tabla1[[#This Row],[PRESTAMO]]+AN398</f>
        <v>85.412187500000002</v>
      </c>
      <c r="AP398" s="38" t="e">
        <f>+#REF!+Tabla1[[#This Row],[COS F2]]+Tabla1[[#This Row],[COS D2]]+Tabla1[[#This Row],[ALIMENTACION]]+Tabla1[[#This Row],[PRESTAMO]]+Tabla1[[#This Row],[PASAJES]]</f>
        <v>#REF!</v>
      </c>
    </row>
    <row r="399" spans="1:42" x14ac:dyDescent="0.25">
      <c r="A399" s="2" t="str">
        <f>TEXT(Tabla1[[#This Row],[FECHA ]],"DDDDD")</f>
        <v>jueves</v>
      </c>
      <c r="B399" s="2" t="str">
        <f>_xlfn.IFNA(VLOOKUP(Tabla1[[#This Row],[DESTINO]],RUBRO!$Q$1:$R$9996,2,FALSE)," ")</f>
        <v>OBRA</v>
      </c>
      <c r="C399" s="104">
        <f>WEEKNUM(Tabla1[[#This Row],[FECHA ]],2)</f>
        <v>20</v>
      </c>
      <c r="D399" s="104" t="str">
        <f>TEXT(Tabla1[[#This Row],[FECHA ]],"MMM-YY")</f>
        <v>may-YY</v>
      </c>
      <c r="E399" s="104" t="str">
        <f>VLOOKUP(Tabla1[[#This Row],[DNI ]],RUBRO!$F$1:$O$9996,7,FALSE)</f>
        <v>5ta</v>
      </c>
      <c r="F399" s="104" t="str">
        <f>VLOOKUP(Tabla1[[#This Row],[DNI ]],RUBRO!$F$1:$O$88,3,FALSE)</f>
        <v>MEC-04</v>
      </c>
      <c r="G399" s="104" t="str">
        <f>VLOOKUP(Tabla1[[#This Row],[DNI ]],RUBRO!$F$1:$O$9996,5,FALSE)</f>
        <v>MECANICO MONTAJISTA DE MAQUINARIA EXTRANJERA</v>
      </c>
      <c r="H399" s="66" t="str">
        <f>VLOOKUP(Tabla1[[#This Row],[DNI ]],RUBRO!$F$1:$O$9996,6,FALSE)</f>
        <v>VARGAS TARRILLO GLOBER</v>
      </c>
      <c r="I399" s="94">
        <v>44329</v>
      </c>
      <c r="J399" s="10">
        <v>2</v>
      </c>
      <c r="K399" s="2">
        <v>43878459</v>
      </c>
      <c r="L399" s="4">
        <f>VLOOKUP(Tabla1[[#This Row],[DNI ]],RUBRO!$F$2:$O$9996,8,FALSE)</f>
        <v>79.78</v>
      </c>
      <c r="M399" s="88">
        <v>0.29166666666666669</v>
      </c>
      <c r="N399" s="28">
        <v>0.54166666666666663</v>
      </c>
      <c r="O399" s="28">
        <v>0.58333333333333337</v>
      </c>
      <c r="P399" s="28">
        <v>0.79166666666666663</v>
      </c>
      <c r="Q399" s="31">
        <f>(Tabla1[[#This Row],[SALIDA]]-Tabla1[[#This Row],[FIN ]])+(Tabla1[[#This Row],[INICIO]]-Tabla1[[#This Row],[INGRESO]])</f>
        <v>0.4583333333333332</v>
      </c>
      <c r="R399" s="13">
        <f t="shared" si="19"/>
        <v>0.33333333333333331</v>
      </c>
      <c r="S399" s="31">
        <f t="shared" si="20"/>
        <v>0.12499999999999989</v>
      </c>
      <c r="T399" s="136"/>
      <c r="U399" s="136"/>
      <c r="V399" s="137">
        <f>(Tabla1[[#This Row],[COS.BASE 3]]*0.25+Tabla1[[#This Row],[COS.BASE 3]])*Tabla1[[#This Row],[HORAS 25 % ]]</f>
        <v>0</v>
      </c>
      <c r="W399" s="138">
        <f>(Tabla1[[#This Row],[COS.BASE 3]]*0.35+Tabla1[[#This Row],[COS.BASE 3]])*Tabla1[[#This Row],[HORAS 35% ]]</f>
        <v>0</v>
      </c>
      <c r="X399" s="138">
        <f>SUM(Tabla1[[#This Row],[C.HORA.35]],Tabla1[[#This Row],[C.HORA.25]])</f>
        <v>0</v>
      </c>
      <c r="Y399" s="31"/>
      <c r="Z399" s="10">
        <f>Tabla1[[#This Row],[T.HORAS]]*24</f>
        <v>10.999999999999996</v>
      </c>
      <c r="AA399" s="4">
        <f>Tabla1[[#This Row],[H.NORMALES]]*24</f>
        <v>8</v>
      </c>
      <c r="AB399" s="10">
        <f>Tabla1[[#This Row],[H.EXTRAS]]*24</f>
        <v>2.9999999999999973</v>
      </c>
      <c r="AC399" s="105">
        <f t="shared" si="21"/>
        <v>79.78</v>
      </c>
      <c r="AD399" s="120">
        <f>Tabla1[[#This Row],[COS.BASE 2]]/8</f>
        <v>9.9725000000000001</v>
      </c>
      <c r="AE399" s="105">
        <f>Tabla1[[#This Row],[CST_H_E]]+Tabla1[[#This Row],[COS.BASE 2]]</f>
        <v>79.78</v>
      </c>
      <c r="AF399" s="106">
        <f>+_xlfn.IFNA(INDEX(RUBRO!$W$2:$AA$732,MATCH(Tabla1[[#This Row],[FECHA ]],RUBRO!$W$2:$W$732,0),5)," ")</f>
        <v>0</v>
      </c>
      <c r="AG399" s="10">
        <f>+_xlfn.IFNA(INDEX(RUBRO!$W$2:$AA$732,MATCH(Tabla1[[#This Row],[FECHA ]],RUBRO!$W$2:$W$732,0),2)," ")</f>
        <v>0</v>
      </c>
      <c r="AH399" s="40">
        <f>IFERROR(Tabla1[[#This Row],[F]]*Tabla1[[#This Row],[COS.B+E]]," ")</f>
        <v>0</v>
      </c>
      <c r="AI399" s="40">
        <f>IFERROR(Tabla1[[#This Row],[COS.B+E]]*Tabla1[[#This Row],[D]]," ")</f>
        <v>0</v>
      </c>
      <c r="AJ399" s="40" t="str">
        <f>IFERROR(Tabla1[[#This Row],[F]]*#REF!," ")</f>
        <v xml:space="preserve"> </v>
      </c>
      <c r="AK399" s="40" t="str">
        <f>IFERROR(#REF!*Tabla1[[#This Row],[D]]," ")</f>
        <v xml:space="preserve"> </v>
      </c>
      <c r="AL399" s="103"/>
      <c r="AM399" s="103"/>
      <c r="AN399" s="103"/>
      <c r="AO399" s="38">
        <f>+Tabla1[[#This Row],[COS.B+E]]+Tabla1[[#This Row],[COS.F1]]+Tabla1[[#This Row],[COS.D1]]+Tabla1[[#This Row],[ALIMENTACION]]+Tabla1[[#This Row],[PRESTAMO]]+AN399</f>
        <v>79.78</v>
      </c>
      <c r="AP399" s="38" t="e">
        <f>+#REF!+Tabla1[[#This Row],[COS F2]]+Tabla1[[#This Row],[COS D2]]+Tabla1[[#This Row],[ALIMENTACION]]+Tabla1[[#This Row],[PRESTAMO]]+Tabla1[[#This Row],[PASAJES]]</f>
        <v>#REF!</v>
      </c>
    </row>
    <row r="400" spans="1:42" x14ac:dyDescent="0.25">
      <c r="A400" s="2" t="str">
        <f>TEXT(Tabla1[[#This Row],[FECHA ]],"DDDDD")</f>
        <v>jueves</v>
      </c>
      <c r="B400" s="2" t="str">
        <f>_xlfn.IFNA(VLOOKUP(Tabla1[[#This Row],[DESTINO]],RUBRO!$Q$1:$R$9996,2,FALSE)," ")</f>
        <v>OBRA</v>
      </c>
      <c r="C400" s="104">
        <f>WEEKNUM(Tabla1[[#This Row],[FECHA ]],2)</f>
        <v>20</v>
      </c>
      <c r="D400" s="104" t="str">
        <f>TEXT(Tabla1[[#This Row],[FECHA ]],"MMM-YY")</f>
        <v>may-YY</v>
      </c>
      <c r="E400" s="104" t="str">
        <f>VLOOKUP(Tabla1[[#This Row],[DNI ]],RUBRO!$F$1:$O$9996,7,FALSE)</f>
        <v>5ta</v>
      </c>
      <c r="F400" s="104" t="str">
        <f>VLOOKUP(Tabla1[[#This Row],[DNI ]],RUBRO!$F$1:$O$88,3,FALSE)</f>
        <v>MEC-04</v>
      </c>
      <c r="G400" s="104" t="str">
        <f>VLOOKUP(Tabla1[[#This Row],[DNI ]],RUBRO!$F$1:$O$9996,5,FALSE)</f>
        <v>MECANICO MONTAJISTA DE MAQUINARIA EXTRANJERA</v>
      </c>
      <c r="H400" s="66" t="str">
        <f>VLOOKUP(Tabla1[[#This Row],[DNI ]],RUBRO!$F$1:$O$9996,6,FALSE)</f>
        <v>VARGAS TARRILLO OMAR ALEXANDER</v>
      </c>
      <c r="I400" s="94">
        <v>44329</v>
      </c>
      <c r="J400" s="10">
        <v>2</v>
      </c>
      <c r="K400" s="2">
        <v>46578402</v>
      </c>
      <c r="L400" s="4">
        <f>VLOOKUP(Tabla1[[#This Row],[DNI ]],RUBRO!$F$2:$O$9996,8,FALSE)</f>
        <v>103.42</v>
      </c>
      <c r="M400" s="88">
        <v>0.29166666666666669</v>
      </c>
      <c r="N400" s="28">
        <v>0.54166666666666663</v>
      </c>
      <c r="O400" s="28">
        <v>0.58333333333333337</v>
      </c>
      <c r="P400" s="28">
        <v>0.79166666666666663</v>
      </c>
      <c r="Q400" s="31">
        <f>(Tabla1[[#This Row],[SALIDA]]-Tabla1[[#This Row],[FIN ]])+(Tabla1[[#This Row],[INICIO]]-Tabla1[[#This Row],[INGRESO]])</f>
        <v>0.4583333333333332</v>
      </c>
      <c r="R400" s="13">
        <f t="shared" si="19"/>
        <v>0.33333333333333331</v>
      </c>
      <c r="S400" s="31">
        <f t="shared" si="20"/>
        <v>0.12499999999999989</v>
      </c>
      <c r="T400" s="136"/>
      <c r="U400" s="136"/>
      <c r="V400" s="137">
        <f>(Tabla1[[#This Row],[COS.BASE 3]]*0.25+Tabla1[[#This Row],[COS.BASE 3]])*Tabla1[[#This Row],[HORAS 25 % ]]</f>
        <v>0</v>
      </c>
      <c r="W400" s="138">
        <f>(Tabla1[[#This Row],[COS.BASE 3]]*0.35+Tabla1[[#This Row],[COS.BASE 3]])*Tabla1[[#This Row],[HORAS 35% ]]</f>
        <v>0</v>
      </c>
      <c r="X400" s="138">
        <f>SUM(Tabla1[[#This Row],[C.HORA.35]],Tabla1[[#This Row],[C.HORA.25]])</f>
        <v>0</v>
      </c>
      <c r="Y400" s="31"/>
      <c r="Z400" s="10">
        <f>Tabla1[[#This Row],[T.HORAS]]*24</f>
        <v>10.999999999999996</v>
      </c>
      <c r="AA400" s="4">
        <f>Tabla1[[#This Row],[H.NORMALES]]*24</f>
        <v>8</v>
      </c>
      <c r="AB400" s="10">
        <f>Tabla1[[#This Row],[H.EXTRAS]]*24</f>
        <v>2.9999999999999973</v>
      </c>
      <c r="AC400" s="105">
        <f t="shared" si="21"/>
        <v>103.42</v>
      </c>
      <c r="AD400" s="120">
        <f>Tabla1[[#This Row],[COS.BASE 2]]/8</f>
        <v>12.9275</v>
      </c>
      <c r="AE400" s="105">
        <f>Tabla1[[#This Row],[CST_H_E]]+Tabla1[[#This Row],[COS.BASE 2]]</f>
        <v>103.42</v>
      </c>
      <c r="AF400" s="106">
        <f>+_xlfn.IFNA(INDEX(RUBRO!$W$2:$AA$732,MATCH(Tabla1[[#This Row],[FECHA ]],RUBRO!$W$2:$W$732,0),5)," ")</f>
        <v>0</v>
      </c>
      <c r="AG400" s="10">
        <f>+_xlfn.IFNA(INDEX(RUBRO!$W$2:$AA$732,MATCH(Tabla1[[#This Row],[FECHA ]],RUBRO!$W$2:$W$732,0),2)," ")</f>
        <v>0</v>
      </c>
      <c r="AH400" s="40">
        <f>IFERROR(Tabla1[[#This Row],[F]]*Tabla1[[#This Row],[COS.B+E]]," ")</f>
        <v>0</v>
      </c>
      <c r="AI400" s="40">
        <f>IFERROR(Tabla1[[#This Row],[COS.B+E]]*Tabla1[[#This Row],[D]]," ")</f>
        <v>0</v>
      </c>
      <c r="AJ400" s="40" t="str">
        <f>IFERROR(Tabla1[[#This Row],[F]]*#REF!," ")</f>
        <v xml:space="preserve"> </v>
      </c>
      <c r="AK400" s="40" t="str">
        <f>IFERROR(#REF!*Tabla1[[#This Row],[D]]," ")</f>
        <v xml:space="preserve"> </v>
      </c>
      <c r="AL400" s="103"/>
      <c r="AM400" s="103"/>
      <c r="AN400" s="103"/>
      <c r="AO400" s="38">
        <f>+Tabla1[[#This Row],[COS.B+E]]+Tabla1[[#This Row],[COS.F1]]+Tabla1[[#This Row],[COS.D1]]+Tabla1[[#This Row],[ALIMENTACION]]+Tabla1[[#This Row],[PRESTAMO]]+AN400</f>
        <v>103.42</v>
      </c>
      <c r="AP400" s="38" t="e">
        <f>+#REF!+Tabla1[[#This Row],[COS F2]]+Tabla1[[#This Row],[COS D2]]+Tabla1[[#This Row],[ALIMENTACION]]+Tabla1[[#This Row],[PRESTAMO]]+Tabla1[[#This Row],[PASAJES]]</f>
        <v>#REF!</v>
      </c>
    </row>
    <row r="401" spans="1:42" x14ac:dyDescent="0.25">
      <c r="A401" s="2" t="str">
        <f>TEXT(Tabla1[[#This Row],[FECHA ]],"DDDDD")</f>
        <v>jueves</v>
      </c>
      <c r="B401" s="2" t="str">
        <f>_xlfn.IFNA(VLOOKUP(Tabla1[[#This Row],[DESTINO]],RUBRO!$Q$1:$R$9996,2,FALSE)," ")</f>
        <v>OBRA</v>
      </c>
      <c r="C401" s="104">
        <f>WEEKNUM(Tabla1[[#This Row],[FECHA ]],2)</f>
        <v>20</v>
      </c>
      <c r="D401" s="104" t="str">
        <f>TEXT(Tabla1[[#This Row],[FECHA ]],"MMM-YY")</f>
        <v>may-YY</v>
      </c>
      <c r="E401" s="104" t="str">
        <f>VLOOKUP(Tabla1[[#This Row],[DNI ]],RUBRO!$F$1:$O$9996,7,FALSE)</f>
        <v>5ta</v>
      </c>
      <c r="F401" s="104" t="e">
        <f>VLOOKUP(Tabla1[[#This Row],[DNI ]],RUBRO!$F$1:$O$88,3,FALSE)</f>
        <v>#N/A</v>
      </c>
      <c r="G401" s="104" t="str">
        <f>VLOOKUP(Tabla1[[#This Row],[DNI ]],RUBRO!$F$1:$O$9996,5,FALSE)</f>
        <v xml:space="preserve">PRACTICANTE </v>
      </c>
      <c r="H401" s="66" t="str">
        <f>VLOOKUP(Tabla1[[#This Row],[DNI ]],RUBRO!$F$1:$O$9996,6,FALSE)</f>
        <v>VASQUEZ CHUPILLON KEVIN</v>
      </c>
      <c r="I401" s="94">
        <v>44329</v>
      </c>
      <c r="J401" s="10">
        <v>2</v>
      </c>
      <c r="K401" s="2">
        <v>72814417</v>
      </c>
      <c r="L401" s="4">
        <f>VLOOKUP(Tabla1[[#This Row],[DNI ]],RUBRO!$F$2:$O$9996,8,FALSE)</f>
        <v>35.76</v>
      </c>
      <c r="M401" s="88">
        <v>0</v>
      </c>
      <c r="N401" s="28">
        <v>8.3333333333333329E-2</v>
      </c>
      <c r="P401" s="28"/>
      <c r="Q401" s="31">
        <f>(Tabla1[[#This Row],[SALIDA]]-Tabla1[[#This Row],[FIN ]])+(Tabla1[[#This Row],[INICIO]]-Tabla1[[#This Row],[INGRESO]])</f>
        <v>8.3333333333333329E-2</v>
      </c>
      <c r="R401" s="13">
        <f t="shared" si="19"/>
        <v>8.3333333333333329E-2</v>
      </c>
      <c r="S401" s="31">
        <f t="shared" si="20"/>
        <v>0</v>
      </c>
      <c r="T401" s="136"/>
      <c r="U401" s="136"/>
      <c r="V401" s="137">
        <f>(Tabla1[[#This Row],[COS.BASE 3]]*0.25+Tabla1[[#This Row],[COS.BASE 3]])*Tabla1[[#This Row],[HORAS 25 % ]]</f>
        <v>0</v>
      </c>
      <c r="W401" s="138">
        <f>(Tabla1[[#This Row],[COS.BASE 3]]*0.35+Tabla1[[#This Row],[COS.BASE 3]])*Tabla1[[#This Row],[HORAS 35% ]]</f>
        <v>0</v>
      </c>
      <c r="X401" s="138">
        <f>SUM(Tabla1[[#This Row],[C.HORA.35]],Tabla1[[#This Row],[C.HORA.25]])</f>
        <v>0</v>
      </c>
      <c r="Y401" s="31"/>
      <c r="Z401" s="10">
        <f>Tabla1[[#This Row],[T.HORAS]]*24</f>
        <v>2</v>
      </c>
      <c r="AA401" s="4">
        <f>Tabla1[[#This Row],[H.NORMALES]]*24</f>
        <v>2</v>
      </c>
      <c r="AB401" s="10">
        <f>Tabla1[[#This Row],[H.EXTRAS]]*24</f>
        <v>0</v>
      </c>
      <c r="AC401" s="105">
        <f t="shared" si="21"/>
        <v>8.94</v>
      </c>
      <c r="AD401" s="120">
        <f>Tabla1[[#This Row],[COS.BASE 2]]/8</f>
        <v>1.1174999999999999</v>
      </c>
      <c r="AE401" s="105">
        <f>Tabla1[[#This Row],[CST_H_E]]+Tabla1[[#This Row],[COS.BASE 2]]</f>
        <v>8.94</v>
      </c>
      <c r="AF401" s="106">
        <f>+_xlfn.IFNA(INDEX(RUBRO!$W$2:$AA$732,MATCH(Tabla1[[#This Row],[FECHA ]],RUBRO!$W$2:$W$732,0),5)," ")</f>
        <v>0</v>
      </c>
      <c r="AG401" s="10">
        <f>+_xlfn.IFNA(INDEX(RUBRO!$W$2:$AA$732,MATCH(Tabla1[[#This Row],[FECHA ]],RUBRO!$W$2:$W$732,0),2)," ")</f>
        <v>0</v>
      </c>
      <c r="AH401" s="40">
        <f>IFERROR(Tabla1[[#This Row],[F]]*Tabla1[[#This Row],[COS.B+E]]," ")</f>
        <v>0</v>
      </c>
      <c r="AI401" s="40">
        <f>IFERROR(Tabla1[[#This Row],[COS.B+E]]*Tabla1[[#This Row],[D]]," ")</f>
        <v>0</v>
      </c>
      <c r="AJ401" s="40" t="str">
        <f>IFERROR(Tabla1[[#This Row],[F]]*#REF!," ")</f>
        <v xml:space="preserve"> </v>
      </c>
      <c r="AK401" s="40" t="str">
        <f>IFERROR(#REF!*Tabla1[[#This Row],[D]]," ")</f>
        <v xml:space="preserve"> </v>
      </c>
      <c r="AL401" s="103"/>
      <c r="AM401" s="103"/>
      <c r="AN401" s="103"/>
      <c r="AO401" s="38">
        <f>+Tabla1[[#This Row],[COS.B+E]]+Tabla1[[#This Row],[COS.F1]]+Tabla1[[#This Row],[COS.D1]]+Tabla1[[#This Row],[ALIMENTACION]]+Tabla1[[#This Row],[PRESTAMO]]+AN401</f>
        <v>8.94</v>
      </c>
      <c r="AP401" s="38" t="e">
        <f>+#REF!+Tabla1[[#This Row],[COS F2]]+Tabla1[[#This Row],[COS D2]]+Tabla1[[#This Row],[ALIMENTACION]]+Tabla1[[#This Row],[PRESTAMO]]+Tabla1[[#This Row],[PASAJES]]</f>
        <v>#REF!</v>
      </c>
    </row>
    <row r="402" spans="1:42" x14ac:dyDescent="0.25">
      <c r="A402" s="2" t="str">
        <f>TEXT(Tabla1[[#This Row],[FECHA ]],"DDDDD")</f>
        <v>jueves</v>
      </c>
      <c r="B402" s="2" t="str">
        <f>_xlfn.IFNA(VLOOKUP(Tabla1[[#This Row],[DESTINO]],RUBRO!$Q$1:$R$9996,2,FALSE)," ")</f>
        <v>OBRA</v>
      </c>
      <c r="C402" s="104">
        <f>WEEKNUM(Tabla1[[#This Row],[FECHA ]],2)</f>
        <v>20</v>
      </c>
      <c r="D402" s="104" t="str">
        <f>TEXT(Tabla1[[#This Row],[FECHA ]],"MMM-YY")</f>
        <v>may-YY</v>
      </c>
      <c r="E402" s="104" t="str">
        <f>VLOOKUP(Tabla1[[#This Row],[DNI ]],RUBRO!$F$1:$O$9996,7,FALSE)</f>
        <v>5ta</v>
      </c>
      <c r="F402" s="104" t="str">
        <f>VLOOKUP(Tabla1[[#This Row],[DNI ]],RUBRO!$F$1:$O$88,3,FALSE)</f>
        <v>MEC-04</v>
      </c>
      <c r="G402" s="104" t="str">
        <f>VLOOKUP(Tabla1[[#This Row],[DNI ]],RUBRO!$F$1:$O$9996,5,FALSE)</f>
        <v>MECANICO MONTAJISTA DE MAQUINARIA EXTRANJERA</v>
      </c>
      <c r="H402" s="66" t="str">
        <f>VLOOKUP(Tabla1[[#This Row],[DNI ]],RUBRO!$F$1:$O$9996,6,FALSE)</f>
        <v>VASQUEZ GAMBOA JUAN JOSE</v>
      </c>
      <c r="I402" s="94">
        <v>44329</v>
      </c>
      <c r="J402" s="10">
        <v>2</v>
      </c>
      <c r="K402" s="2">
        <v>45416906</v>
      </c>
      <c r="L402" s="4">
        <f>VLOOKUP(Tabla1[[#This Row],[DNI ]],RUBRO!$F$2:$O$9996,8,FALSE)</f>
        <v>87</v>
      </c>
      <c r="M402" s="88">
        <v>0.29166666666666669</v>
      </c>
      <c r="N402" s="28">
        <v>0.54166666666666663</v>
      </c>
      <c r="O402" s="28">
        <v>0.58333333333333337</v>
      </c>
      <c r="P402" s="28">
        <v>0.77083333333333337</v>
      </c>
      <c r="Q402" s="31">
        <f>(Tabla1[[#This Row],[SALIDA]]-Tabla1[[#This Row],[FIN ]])+(Tabla1[[#This Row],[INICIO]]-Tabla1[[#This Row],[INGRESO]])</f>
        <v>0.43749999999999994</v>
      </c>
      <c r="R402" s="13">
        <f t="shared" si="19"/>
        <v>0.33333333333333331</v>
      </c>
      <c r="S402" s="31">
        <f t="shared" si="20"/>
        <v>0.10416666666666663</v>
      </c>
      <c r="T402" s="136"/>
      <c r="U402" s="136"/>
      <c r="V402" s="137">
        <f>(Tabla1[[#This Row],[COS.BASE 3]]*0.25+Tabla1[[#This Row],[COS.BASE 3]])*Tabla1[[#This Row],[HORAS 25 % ]]</f>
        <v>0</v>
      </c>
      <c r="W402" s="138">
        <f>(Tabla1[[#This Row],[COS.BASE 3]]*0.35+Tabla1[[#This Row],[COS.BASE 3]])*Tabla1[[#This Row],[HORAS 35% ]]</f>
        <v>0</v>
      </c>
      <c r="X402" s="138">
        <f>SUM(Tabla1[[#This Row],[C.HORA.35]],Tabla1[[#This Row],[C.HORA.25]])</f>
        <v>0</v>
      </c>
      <c r="Y402" s="31"/>
      <c r="Z402" s="10">
        <f>Tabla1[[#This Row],[T.HORAS]]*24</f>
        <v>10.499999999999998</v>
      </c>
      <c r="AA402" s="4">
        <f>Tabla1[[#This Row],[H.NORMALES]]*24</f>
        <v>8</v>
      </c>
      <c r="AB402" s="10">
        <f>Tabla1[[#This Row],[H.EXTRAS]]*24</f>
        <v>2.4999999999999991</v>
      </c>
      <c r="AC402" s="105">
        <f t="shared" si="21"/>
        <v>87</v>
      </c>
      <c r="AD402" s="120">
        <f>Tabla1[[#This Row],[COS.BASE 2]]/8</f>
        <v>10.875</v>
      </c>
      <c r="AE402" s="105">
        <f>Tabla1[[#This Row],[CST_H_E]]+Tabla1[[#This Row],[COS.BASE 2]]</f>
        <v>87</v>
      </c>
      <c r="AF402" s="106">
        <f>+_xlfn.IFNA(INDEX(RUBRO!$W$2:$AA$732,MATCH(Tabla1[[#This Row],[FECHA ]],RUBRO!$W$2:$W$732,0),5)," ")</f>
        <v>0</v>
      </c>
      <c r="AG402" s="10">
        <f>+_xlfn.IFNA(INDEX(RUBRO!$W$2:$AA$732,MATCH(Tabla1[[#This Row],[FECHA ]],RUBRO!$W$2:$W$732,0),2)," ")</f>
        <v>0</v>
      </c>
      <c r="AH402" s="40">
        <f>IFERROR(Tabla1[[#This Row],[F]]*Tabla1[[#This Row],[COS.B+E]]," ")</f>
        <v>0</v>
      </c>
      <c r="AI402" s="40">
        <f>IFERROR(Tabla1[[#This Row],[COS.B+E]]*Tabla1[[#This Row],[D]]," ")</f>
        <v>0</v>
      </c>
      <c r="AJ402" s="40" t="str">
        <f>IFERROR(Tabla1[[#This Row],[F]]*#REF!," ")</f>
        <v xml:space="preserve"> </v>
      </c>
      <c r="AK402" s="40" t="str">
        <f>IFERROR(#REF!*Tabla1[[#This Row],[D]]," ")</f>
        <v xml:space="preserve"> </v>
      </c>
      <c r="AL402" s="103"/>
      <c r="AM402" s="103"/>
      <c r="AN402" s="103"/>
      <c r="AO402" s="38">
        <f>+Tabla1[[#This Row],[COS.B+E]]+Tabla1[[#This Row],[COS.F1]]+Tabla1[[#This Row],[COS.D1]]+Tabla1[[#This Row],[ALIMENTACION]]+Tabla1[[#This Row],[PRESTAMO]]+AN402</f>
        <v>87</v>
      </c>
      <c r="AP402" s="38" t="e">
        <f>+#REF!+Tabla1[[#This Row],[COS F2]]+Tabla1[[#This Row],[COS D2]]+Tabla1[[#This Row],[ALIMENTACION]]+Tabla1[[#This Row],[PRESTAMO]]+Tabla1[[#This Row],[PASAJES]]</f>
        <v>#REF!</v>
      </c>
    </row>
    <row r="403" spans="1:42" x14ac:dyDescent="0.25">
      <c r="A403" s="2" t="str">
        <f>TEXT(Tabla1[[#This Row],[FECHA ]],"DDDDD")</f>
        <v>jueves</v>
      </c>
      <c r="B403" s="2" t="str">
        <f>_xlfn.IFNA(VLOOKUP(Tabla1[[#This Row],[DESTINO]],RUBRO!$Q$1:$R$9996,2,FALSE)," ")</f>
        <v>OBRA</v>
      </c>
      <c r="C403" s="104">
        <f>WEEKNUM(Tabla1[[#This Row],[FECHA ]],2)</f>
        <v>20</v>
      </c>
      <c r="D403" s="104" t="str">
        <f>TEXT(Tabla1[[#This Row],[FECHA ]],"MMM-YY")</f>
        <v>may-YY</v>
      </c>
      <c r="E403" s="104" t="str">
        <f>VLOOKUP(Tabla1[[#This Row],[DNI ]],RUBRO!$F$1:$O$9996,7,FALSE)</f>
        <v>5ta</v>
      </c>
      <c r="F403" s="104" t="str">
        <f>VLOOKUP(Tabla1[[#This Row],[DNI ]],RUBRO!$F$1:$O$88,3,FALSE)</f>
        <v>TEC-04</v>
      </c>
      <c r="G403" s="104" t="str">
        <f>VLOOKUP(Tabla1[[#This Row],[DNI ]],RUBRO!$F$1:$O$9996,5,FALSE)</f>
        <v>TECNICO MECANICO MONTAJISTA DE MAQUINARIA EXTRANJERA</v>
      </c>
      <c r="H403" s="66" t="str">
        <f>VLOOKUP(Tabla1[[#This Row],[DNI ]],RUBRO!$F$1:$O$9996,6,FALSE)</f>
        <v>VASQUEZ TARRILLO LUIS</v>
      </c>
      <c r="I403" s="94">
        <v>44329</v>
      </c>
      <c r="J403" s="10">
        <v>2</v>
      </c>
      <c r="K403" s="2">
        <v>44044783</v>
      </c>
      <c r="L403" s="4">
        <f>VLOOKUP(Tabla1[[#This Row],[DNI ]],RUBRO!$F$2:$O$9996,8,FALSE)</f>
        <v>70.92</v>
      </c>
      <c r="M403" s="88">
        <v>0</v>
      </c>
      <c r="N403" s="28">
        <v>8.3333333333333329E-2</v>
      </c>
      <c r="P403" s="28"/>
      <c r="Q403" s="31">
        <f>(Tabla1[[#This Row],[SALIDA]]-Tabla1[[#This Row],[FIN ]])+(Tabla1[[#This Row],[INICIO]]-Tabla1[[#This Row],[INGRESO]])</f>
        <v>8.3333333333333329E-2</v>
      </c>
      <c r="R403" s="13">
        <f t="shared" si="19"/>
        <v>8.3333333333333329E-2</v>
      </c>
      <c r="S403" s="31">
        <f t="shared" si="20"/>
        <v>0</v>
      </c>
      <c r="T403" s="136"/>
      <c r="U403" s="136"/>
      <c r="V403" s="137">
        <f>(Tabla1[[#This Row],[COS.BASE 3]]*0.25+Tabla1[[#This Row],[COS.BASE 3]])*Tabla1[[#This Row],[HORAS 25 % ]]</f>
        <v>0</v>
      </c>
      <c r="W403" s="138">
        <f>(Tabla1[[#This Row],[COS.BASE 3]]*0.35+Tabla1[[#This Row],[COS.BASE 3]])*Tabla1[[#This Row],[HORAS 35% ]]</f>
        <v>0</v>
      </c>
      <c r="X403" s="138">
        <f>SUM(Tabla1[[#This Row],[C.HORA.35]],Tabla1[[#This Row],[C.HORA.25]])</f>
        <v>0</v>
      </c>
      <c r="Y403" s="31"/>
      <c r="Z403" s="10">
        <f>Tabla1[[#This Row],[T.HORAS]]*24</f>
        <v>2</v>
      </c>
      <c r="AA403" s="4">
        <f>Tabla1[[#This Row],[H.NORMALES]]*24</f>
        <v>2</v>
      </c>
      <c r="AB403" s="10">
        <f>Tabla1[[#This Row],[H.EXTRAS]]*24</f>
        <v>0</v>
      </c>
      <c r="AC403" s="105">
        <f t="shared" si="21"/>
        <v>17.73</v>
      </c>
      <c r="AD403" s="120">
        <f>Tabla1[[#This Row],[COS.BASE 2]]/8</f>
        <v>2.2162500000000001</v>
      </c>
      <c r="AE403" s="105">
        <f>Tabla1[[#This Row],[CST_H_E]]+Tabla1[[#This Row],[COS.BASE 2]]</f>
        <v>17.73</v>
      </c>
      <c r="AF403" s="106">
        <f>+_xlfn.IFNA(INDEX(RUBRO!$W$2:$AA$732,MATCH(Tabla1[[#This Row],[FECHA ]],RUBRO!$W$2:$W$732,0),5)," ")</f>
        <v>0</v>
      </c>
      <c r="AG403" s="10">
        <f>+_xlfn.IFNA(INDEX(RUBRO!$W$2:$AA$732,MATCH(Tabla1[[#This Row],[FECHA ]],RUBRO!$W$2:$W$732,0),2)," ")</f>
        <v>0</v>
      </c>
      <c r="AH403" s="40">
        <f>IFERROR(Tabla1[[#This Row],[F]]*Tabla1[[#This Row],[COS.B+E]]," ")</f>
        <v>0</v>
      </c>
      <c r="AI403" s="40">
        <f>IFERROR(Tabla1[[#This Row],[COS.B+E]]*Tabla1[[#This Row],[D]]," ")</f>
        <v>0</v>
      </c>
      <c r="AJ403" s="40" t="str">
        <f>IFERROR(Tabla1[[#This Row],[F]]*#REF!," ")</f>
        <v xml:space="preserve"> </v>
      </c>
      <c r="AK403" s="40" t="str">
        <f>IFERROR(#REF!*Tabla1[[#This Row],[D]]," ")</f>
        <v xml:space="preserve"> </v>
      </c>
      <c r="AL403" s="103"/>
      <c r="AM403" s="103"/>
      <c r="AN403" s="103"/>
      <c r="AO403" s="38">
        <f>+Tabla1[[#This Row],[COS.B+E]]+Tabla1[[#This Row],[COS.F1]]+Tabla1[[#This Row],[COS.D1]]+Tabla1[[#This Row],[ALIMENTACION]]+Tabla1[[#This Row],[PRESTAMO]]+AN403</f>
        <v>17.73</v>
      </c>
      <c r="AP403" s="38" t="e">
        <f>+#REF!+Tabla1[[#This Row],[COS F2]]+Tabla1[[#This Row],[COS D2]]+Tabla1[[#This Row],[ALIMENTACION]]+Tabla1[[#This Row],[PRESTAMO]]+Tabla1[[#This Row],[PASAJES]]</f>
        <v>#REF!</v>
      </c>
    </row>
    <row r="404" spans="1:42" x14ac:dyDescent="0.25">
      <c r="A404" s="2" t="str">
        <f>TEXT(Tabla1[[#This Row],[FECHA ]],"DDDDD")</f>
        <v>jueves</v>
      </c>
      <c r="B404" s="2" t="str">
        <f>_xlfn.IFNA(VLOOKUP(Tabla1[[#This Row],[DESTINO]],RUBRO!$Q$1:$R$9996,2,FALSE)," ")</f>
        <v>OBRA</v>
      </c>
      <c r="C404" s="104">
        <f>WEEKNUM(Tabla1[[#This Row],[FECHA ]],2)</f>
        <v>20</v>
      </c>
      <c r="D404" s="104" t="str">
        <f>TEXT(Tabla1[[#This Row],[FECHA ]],"MMM-YY")</f>
        <v>may-YY</v>
      </c>
      <c r="E404" s="104" t="str">
        <f>VLOOKUP(Tabla1[[#This Row],[DNI ]],RUBRO!$F$1:$O$9996,7,FALSE)</f>
        <v>5ta</v>
      </c>
      <c r="F404" s="104" t="str">
        <f>VLOOKUP(Tabla1[[#This Row],[DNI ]],RUBRO!$F$1:$O$88,3,FALSE)</f>
        <v>MAEME-03</v>
      </c>
      <c r="G404" s="104" t="str">
        <f>VLOOKUP(Tabla1[[#This Row],[DNI ]],RUBRO!$F$1:$O$9996,5,FALSE)</f>
        <v>MAESTRO ELECTRICO MONTAJISTA DE MAQUINARIA EXTRANJERA</v>
      </c>
      <c r="H404" s="66" t="str">
        <f>VLOOKUP(Tabla1[[#This Row],[DNI ]],RUBRO!$F$1:$O$9996,6,FALSE)</f>
        <v xml:space="preserve">VELASQUEZ LIZA JOSE ROGELIO </v>
      </c>
      <c r="I404" s="94">
        <v>44329</v>
      </c>
      <c r="J404" s="10">
        <v>2</v>
      </c>
      <c r="K404" s="2">
        <v>44685832</v>
      </c>
      <c r="L404" s="4">
        <f>VLOOKUP(Tabla1[[#This Row],[DNI ]],RUBRO!$F$2:$O$9996,8,FALSE)</f>
        <v>88.47</v>
      </c>
      <c r="M404" s="88">
        <v>0.29166666666666669</v>
      </c>
      <c r="N404" s="28">
        <v>0.54166666666666663</v>
      </c>
      <c r="O404" s="28">
        <v>0.58333333333333337</v>
      </c>
      <c r="P404" s="28">
        <v>0.77083333333333337</v>
      </c>
      <c r="Q404" s="31">
        <f>(Tabla1[[#This Row],[SALIDA]]-Tabla1[[#This Row],[FIN ]])+(Tabla1[[#This Row],[INICIO]]-Tabla1[[#This Row],[INGRESO]])</f>
        <v>0.43749999999999994</v>
      </c>
      <c r="R404" s="13">
        <f t="shared" si="19"/>
        <v>0.33333333333333331</v>
      </c>
      <c r="S404" s="31">
        <f t="shared" si="20"/>
        <v>0.10416666666666663</v>
      </c>
      <c r="T404" s="136"/>
      <c r="U404" s="136"/>
      <c r="V404" s="137">
        <f>(Tabla1[[#This Row],[COS.BASE 3]]*0.25+Tabla1[[#This Row],[COS.BASE 3]])*Tabla1[[#This Row],[HORAS 25 % ]]</f>
        <v>0</v>
      </c>
      <c r="W404" s="138">
        <f>(Tabla1[[#This Row],[COS.BASE 3]]*0.35+Tabla1[[#This Row],[COS.BASE 3]])*Tabla1[[#This Row],[HORAS 35% ]]</f>
        <v>0</v>
      </c>
      <c r="X404" s="138">
        <f>SUM(Tabla1[[#This Row],[C.HORA.35]],Tabla1[[#This Row],[C.HORA.25]])</f>
        <v>0</v>
      </c>
      <c r="Y404" s="31"/>
      <c r="Z404" s="10">
        <f>Tabla1[[#This Row],[T.HORAS]]*24</f>
        <v>10.499999999999998</v>
      </c>
      <c r="AA404" s="4">
        <f>Tabla1[[#This Row],[H.NORMALES]]*24</f>
        <v>8</v>
      </c>
      <c r="AB404" s="10">
        <f>Tabla1[[#This Row],[H.EXTRAS]]*24</f>
        <v>2.4999999999999991</v>
      </c>
      <c r="AC404" s="105">
        <f t="shared" si="21"/>
        <v>88.47</v>
      </c>
      <c r="AD404" s="120">
        <f>Tabla1[[#This Row],[COS.BASE 2]]/8</f>
        <v>11.05875</v>
      </c>
      <c r="AE404" s="105">
        <f>Tabla1[[#This Row],[CST_H_E]]+Tabla1[[#This Row],[COS.BASE 2]]</f>
        <v>88.47</v>
      </c>
      <c r="AF404" s="106">
        <f>+_xlfn.IFNA(INDEX(RUBRO!$W$2:$AA$732,MATCH(Tabla1[[#This Row],[FECHA ]],RUBRO!$W$2:$W$732,0),5)," ")</f>
        <v>0</v>
      </c>
      <c r="AG404" s="10">
        <f>+_xlfn.IFNA(INDEX(RUBRO!$W$2:$AA$732,MATCH(Tabla1[[#This Row],[FECHA ]],RUBRO!$W$2:$W$732,0),2)," ")</f>
        <v>0</v>
      </c>
      <c r="AH404" s="40">
        <f>IFERROR(Tabla1[[#This Row],[F]]*Tabla1[[#This Row],[COS.B+E]]," ")</f>
        <v>0</v>
      </c>
      <c r="AI404" s="40">
        <f>IFERROR(Tabla1[[#This Row],[COS.B+E]]*Tabla1[[#This Row],[D]]," ")</f>
        <v>0</v>
      </c>
      <c r="AJ404" s="40" t="str">
        <f>IFERROR(Tabla1[[#This Row],[F]]*#REF!," ")</f>
        <v xml:space="preserve"> </v>
      </c>
      <c r="AK404" s="40" t="str">
        <f>IFERROR(#REF!*Tabla1[[#This Row],[D]]," ")</f>
        <v xml:space="preserve"> </v>
      </c>
      <c r="AL404" s="103"/>
      <c r="AM404" s="103"/>
      <c r="AN404" s="103"/>
      <c r="AO404" s="38">
        <f>+Tabla1[[#This Row],[COS.B+E]]+Tabla1[[#This Row],[COS.F1]]+Tabla1[[#This Row],[COS.D1]]+Tabla1[[#This Row],[ALIMENTACION]]+Tabla1[[#This Row],[PRESTAMO]]+AN404</f>
        <v>88.47</v>
      </c>
      <c r="AP404" s="38" t="e">
        <f>+#REF!+Tabla1[[#This Row],[COS F2]]+Tabla1[[#This Row],[COS D2]]+Tabla1[[#This Row],[ALIMENTACION]]+Tabla1[[#This Row],[PRESTAMO]]+Tabla1[[#This Row],[PASAJES]]</f>
        <v>#REF!</v>
      </c>
    </row>
    <row r="405" spans="1:42" x14ac:dyDescent="0.25">
      <c r="A405" s="2" t="str">
        <f>TEXT(Tabla1[[#This Row],[FECHA ]],"DDDDD")</f>
        <v>jueves</v>
      </c>
      <c r="B405" s="2" t="str">
        <f>_xlfn.IFNA(VLOOKUP(Tabla1[[#This Row],[DESTINO]],RUBRO!$Q$1:$R$9996,2,FALSE)," ")</f>
        <v>PLANTA</v>
      </c>
      <c r="C405" s="104">
        <f>WEEKNUM(Tabla1[[#This Row],[FECHA ]],2)</f>
        <v>20</v>
      </c>
      <c r="D405" s="104" t="str">
        <f>TEXT(Tabla1[[#This Row],[FECHA ]],"MMM-YY")</f>
        <v>may-YY</v>
      </c>
      <c r="E405" s="104" t="str">
        <f>VLOOKUP(Tabla1[[#This Row],[DNI ]],RUBRO!$F$1:$O$9996,7,FALSE)</f>
        <v>5ta</v>
      </c>
      <c r="F405" s="104" t="str">
        <f>VLOOKUP(Tabla1[[#This Row],[DNI ]],RUBRO!$F$1:$O$88,3,FALSE)</f>
        <v>TEC-05</v>
      </c>
      <c r="G405" s="104" t="str">
        <f>VLOOKUP(Tabla1[[#This Row],[DNI ]],RUBRO!$F$1:$O$9996,5,FALSE)</f>
        <v>TECNICO MECANICO MONTAJISTA DE NAVE INDUSTRIAL</v>
      </c>
      <c r="H405" s="66" t="str">
        <f>VLOOKUP(Tabla1[[#This Row],[DNI ]],RUBRO!$F$1:$O$9996,6,FALSE)</f>
        <v>VENTURA CUBAS ALEXANDER JOHAN</v>
      </c>
      <c r="I405" s="94">
        <v>44329</v>
      </c>
      <c r="J405" s="10">
        <v>1</v>
      </c>
      <c r="K405" s="2">
        <v>47749907</v>
      </c>
      <c r="L405" s="4">
        <f>VLOOKUP(Tabla1[[#This Row],[DNI ]],RUBRO!$F$2:$O$9996,8,FALSE)</f>
        <v>80</v>
      </c>
      <c r="M405" s="88">
        <v>0.29166666666666669</v>
      </c>
      <c r="N405" s="28">
        <v>0.54166666666666663</v>
      </c>
      <c r="O405" s="28">
        <v>0.58333333333333337</v>
      </c>
      <c r="P405" s="28">
        <v>0.70833333333333337</v>
      </c>
      <c r="Q405" s="31">
        <f>(Tabla1[[#This Row],[SALIDA]]-Tabla1[[#This Row],[FIN ]])+(Tabla1[[#This Row],[INICIO]]-Tabla1[[#This Row],[INGRESO]])</f>
        <v>0.37499999999999994</v>
      </c>
      <c r="R405" s="13">
        <f t="shared" si="19"/>
        <v>0.37499999999999994</v>
      </c>
      <c r="S405" s="31">
        <f t="shared" si="20"/>
        <v>0</v>
      </c>
      <c r="T405" s="136"/>
      <c r="U405" s="136"/>
      <c r="V405" s="137">
        <f>(Tabla1[[#This Row],[COS.BASE 3]]*0.25+Tabla1[[#This Row],[COS.BASE 3]])*Tabla1[[#This Row],[HORAS 25 % ]]</f>
        <v>0</v>
      </c>
      <c r="W405" s="138">
        <f>(Tabla1[[#This Row],[COS.BASE 3]]*0.35+Tabla1[[#This Row],[COS.BASE 3]])*Tabla1[[#This Row],[HORAS 35% ]]</f>
        <v>0</v>
      </c>
      <c r="X405" s="138">
        <f>SUM(Tabla1[[#This Row],[C.HORA.35]],Tabla1[[#This Row],[C.HORA.25]])</f>
        <v>0</v>
      </c>
      <c r="Y405" s="31"/>
      <c r="Z405" s="10">
        <f>Tabla1[[#This Row],[T.HORAS]]*24</f>
        <v>8.9999999999999982</v>
      </c>
      <c r="AA405" s="4">
        <f>Tabla1[[#This Row],[H.NORMALES]]*24</f>
        <v>8.9999999999999982</v>
      </c>
      <c r="AB405" s="10">
        <f>Tabla1[[#This Row],[H.EXTRAS]]*24</f>
        <v>0</v>
      </c>
      <c r="AC405" s="105">
        <f t="shared" si="21"/>
        <v>79.999999999999986</v>
      </c>
      <c r="AD405" s="120">
        <f>Tabla1[[#This Row],[COS.BASE 2]]/8</f>
        <v>9.9999999999999982</v>
      </c>
      <c r="AE405" s="105">
        <f>Tabla1[[#This Row],[CST_H_E]]+Tabla1[[#This Row],[COS.BASE 2]]</f>
        <v>79.999999999999986</v>
      </c>
      <c r="AF405" s="106">
        <f>+_xlfn.IFNA(INDEX(RUBRO!$W$2:$AA$732,MATCH(Tabla1[[#This Row],[FECHA ]],RUBRO!$W$2:$W$732,0),5)," ")</f>
        <v>0</v>
      </c>
      <c r="AG405" s="10">
        <f>+_xlfn.IFNA(INDEX(RUBRO!$W$2:$AA$732,MATCH(Tabla1[[#This Row],[FECHA ]],RUBRO!$W$2:$W$732,0),2)," ")</f>
        <v>0</v>
      </c>
      <c r="AH405" s="40">
        <f>IFERROR(Tabla1[[#This Row],[F]]*Tabla1[[#This Row],[COS.B+E]]," ")</f>
        <v>0</v>
      </c>
      <c r="AI405" s="40">
        <f>IFERROR(Tabla1[[#This Row],[COS.B+E]]*Tabla1[[#This Row],[D]]," ")</f>
        <v>0</v>
      </c>
      <c r="AJ405" s="40" t="str">
        <f>IFERROR(Tabla1[[#This Row],[F]]*#REF!," ")</f>
        <v xml:space="preserve"> </v>
      </c>
      <c r="AK405" s="40" t="str">
        <f>IFERROR(#REF!*Tabla1[[#This Row],[D]]," ")</f>
        <v xml:space="preserve"> </v>
      </c>
      <c r="AL405" s="103"/>
      <c r="AM405" s="103"/>
      <c r="AN405" s="103"/>
      <c r="AO405" s="38">
        <f>+Tabla1[[#This Row],[COS.B+E]]+Tabla1[[#This Row],[COS.F1]]+Tabla1[[#This Row],[COS.D1]]+Tabla1[[#This Row],[ALIMENTACION]]+Tabla1[[#This Row],[PRESTAMO]]+AN405</f>
        <v>79.999999999999986</v>
      </c>
      <c r="AP405" s="38" t="e">
        <f>+#REF!+Tabla1[[#This Row],[COS F2]]+Tabla1[[#This Row],[COS D2]]+Tabla1[[#This Row],[ALIMENTACION]]+Tabla1[[#This Row],[PRESTAMO]]+Tabla1[[#This Row],[PASAJES]]</f>
        <v>#REF!</v>
      </c>
    </row>
    <row r="406" spans="1:42" x14ac:dyDescent="0.25">
      <c r="A406" s="2" t="str">
        <f>TEXT(Tabla1[[#This Row],[FECHA ]],"DDDDD")</f>
        <v>jueves</v>
      </c>
      <c r="B406" s="2" t="str">
        <f>_xlfn.IFNA(VLOOKUP(Tabla1[[#This Row],[DESTINO]],RUBRO!$Q$1:$R$9996,2,FALSE)," ")</f>
        <v>OBRA</v>
      </c>
      <c r="C406" s="104">
        <f>WEEKNUM(Tabla1[[#This Row],[FECHA ]],2)</f>
        <v>20</v>
      </c>
      <c r="D406" s="104" t="str">
        <f>TEXT(Tabla1[[#This Row],[FECHA ]],"MMM-YY")</f>
        <v>may-YY</v>
      </c>
      <c r="E406" s="104" t="str">
        <f>VLOOKUP(Tabla1[[#This Row],[DNI ]],RUBRO!$F$1:$O$9996,7,FALSE)</f>
        <v>5ta</v>
      </c>
      <c r="F406" s="104" t="str">
        <f>VLOOKUP(Tabla1[[#This Row],[DNI ]],RUBRO!$F$1:$O$88,3,FALSE)</f>
        <v>MAE-08</v>
      </c>
      <c r="G406" s="104" t="str">
        <f>VLOOKUP(Tabla1[[#This Row],[DNI ]],RUBRO!$F$1:$O$9996,5,FALSE)</f>
        <v>MAESTRO PINTOR</v>
      </c>
      <c r="H406" s="66" t="str">
        <f>VLOOKUP(Tabla1[[#This Row],[DNI ]],RUBRO!$F$1:$O$9996,6,FALSE)</f>
        <v>ZETA DELGADO DERWIS YENNER</v>
      </c>
      <c r="I406" s="94">
        <v>44329</v>
      </c>
      <c r="J406" s="10">
        <v>2</v>
      </c>
      <c r="K406" s="2">
        <v>46859101</v>
      </c>
      <c r="L406" s="4">
        <f>VLOOKUP(Tabla1[[#This Row],[DNI ]],RUBRO!$F$2:$O$9996,8,FALSE)</f>
        <v>70</v>
      </c>
      <c r="M406" s="88">
        <v>0.29166666666666669</v>
      </c>
      <c r="N406" s="28">
        <v>0.54166666666666663</v>
      </c>
      <c r="O406" s="28">
        <v>0.58333333333333337</v>
      </c>
      <c r="P406" s="28">
        <v>0.75</v>
      </c>
      <c r="Q406" s="31">
        <f>(Tabla1[[#This Row],[SALIDA]]-Tabla1[[#This Row],[FIN ]])+(Tabla1[[#This Row],[INICIO]]-Tabla1[[#This Row],[INGRESO]])</f>
        <v>0.41666666666666657</v>
      </c>
      <c r="R406" s="13">
        <f t="shared" si="19"/>
        <v>0.33333333333333331</v>
      </c>
      <c r="S406" s="31">
        <f t="shared" si="20"/>
        <v>8.3333333333333259E-2</v>
      </c>
      <c r="T406" s="136">
        <v>2</v>
      </c>
      <c r="U406" s="136">
        <v>0</v>
      </c>
      <c r="V406" s="137">
        <f>(Tabla1[[#This Row],[COS.BASE 3]]*0.25+Tabla1[[#This Row],[COS.BASE 3]])*Tabla1[[#This Row],[HORAS 25 % ]]</f>
        <v>21.875</v>
      </c>
      <c r="W406" s="138">
        <f>(Tabla1[[#This Row],[COS.BASE 3]]*0.35+Tabla1[[#This Row],[COS.BASE 3]])*Tabla1[[#This Row],[HORAS 35% ]]</f>
        <v>0</v>
      </c>
      <c r="X406" s="138">
        <f>SUM(Tabla1[[#This Row],[C.HORA.35]],Tabla1[[#This Row],[C.HORA.25]])</f>
        <v>21.875</v>
      </c>
      <c r="Y406" s="31"/>
      <c r="Z406" s="10">
        <f>Tabla1[[#This Row],[T.HORAS]]*24</f>
        <v>9.9999999999999982</v>
      </c>
      <c r="AA406" s="4">
        <f>Tabla1[[#This Row],[H.NORMALES]]*24</f>
        <v>8</v>
      </c>
      <c r="AB406" s="10">
        <f>Tabla1[[#This Row],[H.EXTRAS]]*24</f>
        <v>1.9999999999999982</v>
      </c>
      <c r="AC406" s="105">
        <f t="shared" si="21"/>
        <v>70</v>
      </c>
      <c r="AD406" s="120">
        <f>Tabla1[[#This Row],[COS.BASE 2]]/8</f>
        <v>8.75</v>
      </c>
      <c r="AE406" s="105">
        <f>Tabla1[[#This Row],[CST_H_E]]+Tabla1[[#This Row],[COS.BASE 2]]</f>
        <v>91.875</v>
      </c>
      <c r="AF406" s="106">
        <f>+_xlfn.IFNA(INDEX(RUBRO!$W$2:$AA$732,MATCH(Tabla1[[#This Row],[FECHA ]],RUBRO!$W$2:$W$732,0),5)," ")</f>
        <v>0</v>
      </c>
      <c r="AG406" s="10">
        <f>+_xlfn.IFNA(INDEX(RUBRO!$W$2:$AA$732,MATCH(Tabla1[[#This Row],[FECHA ]],RUBRO!$W$2:$W$732,0),2)," ")</f>
        <v>0</v>
      </c>
      <c r="AH406" s="40">
        <f>IFERROR(Tabla1[[#This Row],[F]]*Tabla1[[#This Row],[COS.B+E]]," ")</f>
        <v>0</v>
      </c>
      <c r="AI406" s="40">
        <f>IFERROR(Tabla1[[#This Row],[COS.B+E]]*Tabla1[[#This Row],[D]]," ")</f>
        <v>0</v>
      </c>
      <c r="AJ406" s="40" t="str">
        <f>IFERROR(Tabla1[[#This Row],[F]]*#REF!," ")</f>
        <v xml:space="preserve"> </v>
      </c>
      <c r="AK406" s="40" t="str">
        <f>IFERROR(#REF!*Tabla1[[#This Row],[D]]," ")</f>
        <v xml:space="preserve"> </v>
      </c>
      <c r="AL406" s="103"/>
      <c r="AM406" s="103"/>
      <c r="AN406" s="103"/>
      <c r="AO406" s="38">
        <f>+Tabla1[[#This Row],[COS.B+E]]+Tabla1[[#This Row],[COS.F1]]+Tabla1[[#This Row],[COS.D1]]+Tabla1[[#This Row],[ALIMENTACION]]+Tabla1[[#This Row],[PRESTAMO]]+AN406</f>
        <v>91.875</v>
      </c>
      <c r="AP406" s="38" t="e">
        <f>+#REF!+Tabla1[[#This Row],[COS F2]]+Tabla1[[#This Row],[COS D2]]+Tabla1[[#This Row],[ALIMENTACION]]+Tabla1[[#This Row],[PRESTAMO]]+Tabla1[[#This Row],[PASAJES]]</f>
        <v>#REF!</v>
      </c>
    </row>
    <row r="407" spans="1:42" x14ac:dyDescent="0.25">
      <c r="A407" s="2" t="str">
        <f>TEXT(Tabla1[[#This Row],[FECHA ]],"DDDDD")</f>
        <v>jueves</v>
      </c>
      <c r="B407" s="2" t="str">
        <f>_xlfn.IFNA(VLOOKUP(Tabla1[[#This Row],[DESTINO]],RUBRO!$Q$1:$R$9996,2,FALSE)," ")</f>
        <v>PLANTA</v>
      </c>
      <c r="C407" s="104">
        <f>WEEKNUM(Tabla1[[#This Row],[FECHA ]],2)</f>
        <v>20</v>
      </c>
      <c r="D407" s="104" t="str">
        <f>TEXT(Tabla1[[#This Row],[FECHA ]],"MMM-YY")</f>
        <v>may-YY</v>
      </c>
      <c r="E407" s="104" t="str">
        <f>VLOOKUP(Tabla1[[#This Row],[DNI ]],RUBRO!$F$1:$O$9996,7,FALSE)</f>
        <v>5ta</v>
      </c>
      <c r="F407" s="104" t="e">
        <f>VLOOKUP(Tabla1[[#This Row],[DNI ]],RUBRO!$F$1:$O$88,3,FALSE)</f>
        <v>#N/A</v>
      </c>
      <c r="G407" s="104" t="str">
        <f>VLOOKUP(Tabla1[[#This Row],[DNI ]],RUBRO!$F$1:$O$9996,5,FALSE)</f>
        <v xml:space="preserve">PRACTICANTE </v>
      </c>
      <c r="H407" s="66" t="str">
        <f>VLOOKUP(Tabla1[[#This Row],[DNI ]],RUBRO!$F$1:$O$9996,6,FALSE)</f>
        <v>VASQUEZ CHUPILLON KEVIN</v>
      </c>
      <c r="I407" s="94">
        <v>44329</v>
      </c>
      <c r="J407" s="10">
        <v>1</v>
      </c>
      <c r="K407" s="2">
        <v>72814417</v>
      </c>
      <c r="L407" s="4">
        <f>VLOOKUP(Tabla1[[#This Row],[DNI ]],RUBRO!$F$2:$O$9996,8,FALSE)</f>
        <v>35.76</v>
      </c>
      <c r="M407" s="88">
        <v>0.41666666666666669</v>
      </c>
      <c r="N407" s="28">
        <v>0.54166666666666663</v>
      </c>
      <c r="O407" s="28">
        <v>0.58333333333333337</v>
      </c>
      <c r="P407" s="28">
        <v>0.75</v>
      </c>
      <c r="Q407" s="31">
        <f>(Tabla1[[#This Row],[SALIDA]]-Tabla1[[#This Row],[FIN ]])+(Tabla1[[#This Row],[INICIO]]-Tabla1[[#This Row],[INGRESO]])</f>
        <v>0.29166666666666657</v>
      </c>
      <c r="R407" s="13">
        <f t="shared" si="19"/>
        <v>0.29166666666666657</v>
      </c>
      <c r="S407" s="31">
        <f t="shared" si="20"/>
        <v>0</v>
      </c>
      <c r="T407" s="136">
        <v>0</v>
      </c>
      <c r="U407" s="136">
        <v>0</v>
      </c>
      <c r="V407" s="137">
        <f>(Tabla1[[#This Row],[COS.BASE 3]]*0.25+Tabla1[[#This Row],[COS.BASE 3]])*Tabla1[[#This Row],[HORAS 25 % ]]</f>
        <v>0</v>
      </c>
      <c r="W407" s="138">
        <f>(Tabla1[[#This Row],[COS.BASE 3]]*0.35+Tabla1[[#This Row],[COS.BASE 3]])*Tabla1[[#This Row],[HORAS 35% ]]</f>
        <v>0</v>
      </c>
      <c r="X407" s="138">
        <f>SUM(Tabla1[[#This Row],[C.HORA.35]],Tabla1[[#This Row],[C.HORA.25]])</f>
        <v>0</v>
      </c>
      <c r="Y407" s="31"/>
      <c r="Z407" s="10">
        <f>Tabla1[[#This Row],[T.HORAS]]*24</f>
        <v>6.9999999999999982</v>
      </c>
      <c r="AA407" s="4">
        <f>Tabla1[[#This Row],[H.NORMALES]]*24</f>
        <v>6.9999999999999982</v>
      </c>
      <c r="AB407" s="10">
        <f>Tabla1[[#This Row],[H.EXTRAS]]*24</f>
        <v>0</v>
      </c>
      <c r="AC407" s="105">
        <f t="shared" si="21"/>
        <v>27.813333333333325</v>
      </c>
      <c r="AD407" s="120">
        <f>Tabla1[[#This Row],[COS.BASE 2]]/8</f>
        <v>3.4766666666666657</v>
      </c>
      <c r="AE407" s="105">
        <f>Tabla1[[#This Row],[CST_H_E]]+Tabla1[[#This Row],[COS.BASE 2]]</f>
        <v>27.813333333333325</v>
      </c>
      <c r="AF407" s="106">
        <f>+_xlfn.IFNA(INDEX(RUBRO!$W$2:$AA$732,MATCH(Tabla1[[#This Row],[FECHA ]],RUBRO!$W$2:$W$732,0),5)," ")</f>
        <v>0</v>
      </c>
      <c r="AG407" s="10">
        <f>+_xlfn.IFNA(INDEX(RUBRO!$W$2:$AA$732,MATCH(Tabla1[[#This Row],[FECHA ]],RUBRO!$W$2:$W$732,0),2)," ")</f>
        <v>0</v>
      </c>
      <c r="AH407" s="40">
        <f>IFERROR(Tabla1[[#This Row],[F]]*Tabla1[[#This Row],[COS.B+E]]," ")</f>
        <v>0</v>
      </c>
      <c r="AI407" s="40">
        <f>IFERROR(Tabla1[[#This Row],[COS.B+E]]*Tabla1[[#This Row],[D]]," ")</f>
        <v>0</v>
      </c>
      <c r="AJ407" s="40" t="str">
        <f>IFERROR(Tabla1[[#This Row],[F]]*#REF!," ")</f>
        <v xml:space="preserve"> </v>
      </c>
      <c r="AK407" s="40" t="str">
        <f>IFERROR(#REF!*Tabla1[[#This Row],[D]]," ")</f>
        <v xml:space="preserve"> </v>
      </c>
      <c r="AL407" s="107"/>
      <c r="AM407" s="107"/>
      <c r="AN407" s="107"/>
      <c r="AO407" s="38">
        <f>+Tabla1[[#This Row],[COS.B+E]]+Tabla1[[#This Row],[COS.F1]]+Tabla1[[#This Row],[COS.D1]]+Tabla1[[#This Row],[ALIMENTACION]]+Tabla1[[#This Row],[PRESTAMO]]+AN407</f>
        <v>27.813333333333325</v>
      </c>
      <c r="AP407" s="38" t="e">
        <f>+#REF!+Tabla1[[#This Row],[COS F2]]+Tabla1[[#This Row],[COS D2]]+Tabla1[[#This Row],[ALIMENTACION]]+Tabla1[[#This Row],[PRESTAMO]]+Tabla1[[#This Row],[PASAJES]]</f>
        <v>#REF!</v>
      </c>
    </row>
    <row r="415" spans="1:42" x14ac:dyDescent="0.25">
      <c r="O415" s="31"/>
    </row>
  </sheetData>
  <mergeCells count="7">
    <mergeCell ref="AJ4:AK4"/>
    <mergeCell ref="N4:O4"/>
    <mergeCell ref="M3:P3"/>
    <mergeCell ref="Q3:S3"/>
    <mergeCell ref="AF4:AG4"/>
    <mergeCell ref="AH4:AI4"/>
    <mergeCell ref="T4:X4"/>
  </mergeCells>
  <pageMargins left="0.7" right="0.7" top="0.75" bottom="0.75" header="0.3" footer="0.3"/>
  <pageSetup paperSize="9" scale="50" orientation="landscape" horizontalDpi="300" verticalDpi="300" r:id="rId1"/>
  <colBreaks count="1" manualBreakCount="1">
    <brk id="17" max="1048575" man="1"/>
  </colBreaks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73"/>
  <sheetViews>
    <sheetView showGridLines="0" zoomScale="78" zoomScaleNormal="78" zoomScaleSheetLayoutView="70" workbookViewId="0">
      <pane xSplit="2" ySplit="11" topLeftCell="D36" activePane="bottomRight" state="frozen"/>
      <selection pane="topRight" activeCell="C1" sqref="C1"/>
      <selection pane="bottomLeft" activeCell="A12" sqref="A12"/>
      <selection pane="bottomRight" activeCell="F38" sqref="F38"/>
    </sheetView>
  </sheetViews>
  <sheetFormatPr baseColWidth="10" defaultRowHeight="15" outlineLevelRow="1" x14ac:dyDescent="0.25"/>
  <cols>
    <col min="1" max="1" width="18.28515625" customWidth="1"/>
    <col min="2" max="2" width="42.28515625" customWidth="1"/>
    <col min="3" max="3" width="12.28515625" style="5" customWidth="1"/>
    <col min="4" max="5" width="11.85546875" style="5" customWidth="1"/>
    <col min="6" max="6" width="19.140625" style="53" customWidth="1"/>
    <col min="7" max="8" width="16.85546875" style="53" customWidth="1"/>
    <col min="9" max="9" width="12.28515625" style="53" customWidth="1"/>
    <col min="10" max="10" width="15.85546875" style="53" customWidth="1"/>
    <col min="11" max="11" width="13.28515625" style="53" customWidth="1"/>
    <col min="12" max="12" width="13.140625" style="53" customWidth="1"/>
    <col min="13" max="13" width="24" style="5" customWidth="1"/>
    <col min="14" max="15" width="16.85546875" bestFit="1" customWidth="1"/>
  </cols>
  <sheetData>
    <row r="1" spans="1:15" x14ac:dyDescent="0.25">
      <c r="A1" s="151" t="s">
        <v>311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</row>
    <row r="2" spans="1:15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5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5" spans="1:15" x14ac:dyDescent="0.25">
      <c r="C5" s="152" t="s">
        <v>240</v>
      </c>
      <c r="D5" s="152"/>
      <c r="E5" s="152"/>
      <c r="F5" s="153" t="s">
        <v>263</v>
      </c>
      <c r="G5" s="153"/>
      <c r="H5" s="153"/>
      <c r="I5" s="153"/>
      <c r="J5" s="153"/>
      <c r="K5" s="153"/>
      <c r="L5" s="153"/>
      <c r="M5" s="153"/>
    </row>
    <row r="6" spans="1:15" x14ac:dyDescent="0.25">
      <c r="A6" s="78" t="s">
        <v>67</v>
      </c>
      <c r="B6" s="78" t="s">
        <v>1</v>
      </c>
      <c r="C6" s="82" t="s">
        <v>317</v>
      </c>
      <c r="D6" s="82" t="s">
        <v>259</v>
      </c>
      <c r="E6" s="82" t="s">
        <v>318</v>
      </c>
      <c r="F6" s="77" t="s">
        <v>315</v>
      </c>
      <c r="G6" s="77" t="s">
        <v>314</v>
      </c>
      <c r="H6" s="77" t="s">
        <v>300</v>
      </c>
      <c r="I6" s="77" t="s">
        <v>319</v>
      </c>
      <c r="J6" s="77" t="s">
        <v>316</v>
      </c>
      <c r="K6" s="77" t="s">
        <v>306</v>
      </c>
      <c r="L6" s="77" t="s">
        <v>304</v>
      </c>
      <c r="M6" s="77" t="s">
        <v>262</v>
      </c>
    </row>
    <row r="7" spans="1:15" s="54" customFormat="1" outlineLevel="1" x14ac:dyDescent="0.25">
      <c r="A7" s="37" t="s">
        <v>7</v>
      </c>
      <c r="B7" t="s">
        <v>312</v>
      </c>
      <c r="C7" s="57"/>
      <c r="D7" s="57"/>
      <c r="E7" s="57"/>
      <c r="F7" s="55"/>
      <c r="G7" s="55"/>
      <c r="H7" s="55"/>
      <c r="I7" s="55"/>
      <c r="J7" s="55"/>
      <c r="K7" s="55"/>
      <c r="L7" s="55"/>
      <c r="M7" s="55"/>
    </row>
    <row r="8" spans="1:15" outlineLevel="1" x14ac:dyDescent="0.25">
      <c r="A8" s="37" t="s">
        <v>40</v>
      </c>
      <c r="B8" t="s">
        <v>312</v>
      </c>
    </row>
    <row r="9" spans="1:15" outlineLevel="1" x14ac:dyDescent="0.25">
      <c r="A9" s="37" t="s">
        <v>0</v>
      </c>
      <c r="B9" t="s">
        <v>312</v>
      </c>
    </row>
    <row r="10" spans="1:15" outlineLevel="1" x14ac:dyDescent="0.25"/>
    <row r="11" spans="1:15" outlineLevel="1" x14ac:dyDescent="0.25">
      <c r="A11" s="37" t="s">
        <v>67</v>
      </c>
      <c r="B11" s="37" t="s">
        <v>1</v>
      </c>
      <c r="C11" s="5" t="s">
        <v>252</v>
      </c>
      <c r="D11" s="123" t="s">
        <v>253</v>
      </c>
      <c r="E11" s="123" t="s">
        <v>254</v>
      </c>
      <c r="F11" t="s">
        <v>326</v>
      </c>
      <c r="G11" t="s">
        <v>344</v>
      </c>
      <c r="H11" t="s">
        <v>345</v>
      </c>
      <c r="I11" s="54" t="s">
        <v>305</v>
      </c>
      <c r="J11" s="54" t="s">
        <v>306</v>
      </c>
      <c r="K11" s="54" t="s">
        <v>307</v>
      </c>
      <c r="L11" t="s">
        <v>327</v>
      </c>
      <c r="M11"/>
    </row>
    <row r="12" spans="1:15" x14ac:dyDescent="0.25">
      <c r="A12" t="s">
        <v>97</v>
      </c>
      <c r="B12" s="54" t="s">
        <v>92</v>
      </c>
      <c r="C12" s="79">
        <v>48</v>
      </c>
      <c r="D12" s="79">
        <v>12.999999999999989</v>
      </c>
      <c r="E12" s="79">
        <v>61</v>
      </c>
      <c r="F12" s="38">
        <v>234.9</v>
      </c>
      <c r="G12" s="73">
        <v>0</v>
      </c>
      <c r="H12" s="73">
        <v>0</v>
      </c>
      <c r="I12" s="73"/>
      <c r="J12" s="73"/>
      <c r="K12" s="73"/>
      <c r="L12" s="38" t="e">
        <v>#REF!</v>
      </c>
      <c r="M12"/>
    </row>
    <row r="13" spans="1:15" x14ac:dyDescent="0.25">
      <c r="B13" s="54" t="s">
        <v>44</v>
      </c>
      <c r="C13" s="79">
        <v>39</v>
      </c>
      <c r="D13" s="79">
        <v>18.999999999999993</v>
      </c>
      <c r="E13" s="79">
        <v>58</v>
      </c>
      <c r="F13" s="38">
        <v>219.375</v>
      </c>
      <c r="G13" s="73">
        <v>0</v>
      </c>
      <c r="H13" s="73">
        <v>0</v>
      </c>
      <c r="I13" s="73"/>
      <c r="J13" s="73"/>
      <c r="K13" s="73"/>
      <c r="L13" s="38" t="e">
        <v>#REF!</v>
      </c>
      <c r="M13"/>
    </row>
    <row r="14" spans="1:15" x14ac:dyDescent="0.25">
      <c r="A14" t="s">
        <v>132</v>
      </c>
      <c r="B14" s="54" t="s">
        <v>72</v>
      </c>
      <c r="C14" s="79">
        <v>48</v>
      </c>
      <c r="D14" s="79">
        <v>12.999999999999989</v>
      </c>
      <c r="E14" s="79">
        <v>61</v>
      </c>
      <c r="F14" s="38">
        <v>435.24000000000007</v>
      </c>
      <c r="G14" s="73">
        <v>0</v>
      </c>
      <c r="H14" s="73">
        <v>0</v>
      </c>
      <c r="I14" s="73"/>
      <c r="J14" s="73"/>
      <c r="K14" s="73"/>
      <c r="L14" s="38" t="e">
        <v>#REF!</v>
      </c>
      <c r="M14"/>
    </row>
    <row r="15" spans="1:15" x14ac:dyDescent="0.25">
      <c r="B15" s="54" t="s">
        <v>103</v>
      </c>
      <c r="C15" s="79">
        <v>48</v>
      </c>
      <c r="D15" s="79">
        <v>15.5</v>
      </c>
      <c r="E15" s="79">
        <v>63.5</v>
      </c>
      <c r="F15" s="38">
        <v>566.1</v>
      </c>
      <c r="G15" s="73">
        <v>0</v>
      </c>
      <c r="H15" s="73">
        <v>0</v>
      </c>
      <c r="I15" s="73"/>
      <c r="J15" s="73"/>
      <c r="K15" s="73"/>
      <c r="L15" s="38" t="e">
        <v>#REF!</v>
      </c>
      <c r="M15"/>
    </row>
    <row r="16" spans="1:15" x14ac:dyDescent="0.25">
      <c r="B16" s="54" t="s">
        <v>105</v>
      </c>
      <c r="C16" s="79">
        <v>40</v>
      </c>
      <c r="D16" s="79">
        <v>10.999999999999989</v>
      </c>
      <c r="E16" s="79">
        <v>50.999999999999986</v>
      </c>
      <c r="F16" s="38">
        <v>398.9</v>
      </c>
      <c r="G16" s="73">
        <v>0</v>
      </c>
      <c r="H16" s="73">
        <v>0</v>
      </c>
      <c r="I16" s="73"/>
      <c r="J16" s="73"/>
      <c r="K16" s="73"/>
      <c r="L16" s="38" t="e">
        <v>#REF!</v>
      </c>
      <c r="M16"/>
    </row>
    <row r="17" spans="1:13" x14ac:dyDescent="0.25">
      <c r="B17" s="54" t="s">
        <v>106</v>
      </c>
      <c r="C17" s="79">
        <v>29</v>
      </c>
      <c r="D17" s="79">
        <v>12.999999999999993</v>
      </c>
      <c r="E17" s="79">
        <v>41.999999999999993</v>
      </c>
      <c r="F17" s="38">
        <v>374.89750000000004</v>
      </c>
      <c r="G17" s="73">
        <v>0</v>
      </c>
      <c r="H17" s="73">
        <v>0</v>
      </c>
      <c r="I17" s="73"/>
      <c r="J17" s="73"/>
      <c r="K17" s="73"/>
      <c r="L17" s="38" t="e">
        <v>#REF!</v>
      </c>
      <c r="M17"/>
    </row>
    <row r="18" spans="1:13" x14ac:dyDescent="0.25">
      <c r="B18" s="54" t="s">
        <v>35</v>
      </c>
      <c r="C18" s="79">
        <v>48</v>
      </c>
      <c r="D18" s="79">
        <v>12.999999999999989</v>
      </c>
      <c r="E18" s="79">
        <v>60.999999999999993</v>
      </c>
      <c r="F18" s="38">
        <v>522</v>
      </c>
      <c r="G18" s="73">
        <v>0</v>
      </c>
      <c r="H18" s="73">
        <v>0</v>
      </c>
      <c r="I18" s="73"/>
      <c r="J18" s="73"/>
      <c r="K18" s="73"/>
      <c r="L18" s="38" t="e">
        <v>#REF!</v>
      </c>
      <c r="M18"/>
    </row>
    <row r="19" spans="1:13" x14ac:dyDescent="0.25">
      <c r="A19" t="s">
        <v>75</v>
      </c>
      <c r="B19" s="54" t="s">
        <v>18</v>
      </c>
      <c r="C19" s="79">
        <v>50</v>
      </c>
      <c r="D19" s="79">
        <v>0.99999999999999778</v>
      </c>
      <c r="E19" s="79">
        <v>50.999999999999993</v>
      </c>
      <c r="F19" s="38">
        <v>333.33333333333331</v>
      </c>
      <c r="G19" s="73">
        <v>0</v>
      </c>
      <c r="H19" s="73">
        <v>0</v>
      </c>
      <c r="I19" s="73"/>
      <c r="J19" s="73"/>
      <c r="K19" s="73"/>
      <c r="L19" s="38" t="e">
        <v>#REF!</v>
      </c>
      <c r="M19"/>
    </row>
    <row r="20" spans="1:13" x14ac:dyDescent="0.25">
      <c r="B20" s="54" t="s">
        <v>111</v>
      </c>
      <c r="C20" s="79">
        <v>8</v>
      </c>
      <c r="D20" s="79">
        <v>0</v>
      </c>
      <c r="E20" s="79">
        <v>8</v>
      </c>
      <c r="F20" s="38">
        <v>40</v>
      </c>
      <c r="G20" s="73">
        <v>0</v>
      </c>
      <c r="H20" s="73">
        <v>0</v>
      </c>
      <c r="I20" s="73"/>
      <c r="J20" s="73"/>
      <c r="K20" s="73"/>
      <c r="L20" s="38" t="e">
        <v>#REF!</v>
      </c>
      <c r="M20"/>
    </row>
    <row r="21" spans="1:13" x14ac:dyDescent="0.25">
      <c r="B21" s="54" t="s">
        <v>47</v>
      </c>
      <c r="C21" s="79">
        <v>54</v>
      </c>
      <c r="D21" s="79">
        <v>9.999999999999984</v>
      </c>
      <c r="E21" s="79">
        <v>63.999999999999986</v>
      </c>
      <c r="F21" s="38">
        <v>345.71999999999997</v>
      </c>
      <c r="G21" s="73">
        <v>0</v>
      </c>
      <c r="H21" s="73">
        <v>0</v>
      </c>
      <c r="I21" s="73"/>
      <c r="J21" s="73"/>
      <c r="K21" s="73"/>
      <c r="L21" s="38" t="e">
        <v>#REF!</v>
      </c>
      <c r="M21"/>
    </row>
    <row r="22" spans="1:13" x14ac:dyDescent="0.25">
      <c r="B22" s="54" t="s">
        <v>79</v>
      </c>
      <c r="C22" s="79">
        <v>54</v>
      </c>
      <c r="D22" s="79">
        <v>3.9999999999999911</v>
      </c>
      <c r="E22" s="79">
        <v>57.999999999999993</v>
      </c>
      <c r="F22" s="38">
        <v>360</v>
      </c>
      <c r="G22" s="73">
        <v>0</v>
      </c>
      <c r="H22" s="73">
        <v>0</v>
      </c>
      <c r="I22" s="73"/>
      <c r="J22" s="73"/>
      <c r="K22" s="73"/>
      <c r="L22" s="38" t="e">
        <v>#REF!</v>
      </c>
      <c r="M22"/>
    </row>
    <row r="23" spans="1:13" x14ac:dyDescent="0.25">
      <c r="A23" t="s">
        <v>122</v>
      </c>
      <c r="B23" s="54" t="s">
        <v>51</v>
      </c>
      <c r="C23" s="79">
        <v>45</v>
      </c>
      <c r="D23" s="79">
        <v>2.9999999999999933</v>
      </c>
      <c r="E23" s="79">
        <v>47.999999999999993</v>
      </c>
      <c r="F23" s="38">
        <v>249.99999999999997</v>
      </c>
      <c r="G23" s="73">
        <v>0</v>
      </c>
      <c r="H23" s="73">
        <v>0</v>
      </c>
      <c r="I23" s="73"/>
      <c r="J23" s="73"/>
      <c r="K23" s="73"/>
      <c r="L23" s="38" t="e">
        <v>#REF!</v>
      </c>
      <c r="M23"/>
    </row>
    <row r="24" spans="1:13" x14ac:dyDescent="0.25">
      <c r="B24" t="s">
        <v>349</v>
      </c>
      <c r="C24" s="81">
        <v>48</v>
      </c>
      <c r="D24" s="81">
        <v>11.999999999999989</v>
      </c>
      <c r="E24" s="81">
        <v>60</v>
      </c>
      <c r="F24" s="4">
        <v>261</v>
      </c>
      <c r="G24" s="2">
        <v>0</v>
      </c>
      <c r="H24" s="2">
        <v>0</v>
      </c>
      <c r="I24" s="2"/>
      <c r="J24" s="2"/>
      <c r="K24" s="2"/>
      <c r="L24" s="4" t="e">
        <v>#REF!</v>
      </c>
      <c r="M24"/>
    </row>
    <row r="25" spans="1:13" x14ac:dyDescent="0.25">
      <c r="A25" t="s">
        <v>137</v>
      </c>
      <c r="B25" s="54" t="s">
        <v>17</v>
      </c>
      <c r="C25" s="79">
        <v>52</v>
      </c>
      <c r="D25" s="79">
        <v>3.9999999999999925</v>
      </c>
      <c r="E25" s="79">
        <v>55.999999999999993</v>
      </c>
      <c r="F25" s="38">
        <v>288.88888888888886</v>
      </c>
      <c r="G25" s="73">
        <v>0</v>
      </c>
      <c r="H25" s="73">
        <v>0</v>
      </c>
      <c r="I25" s="73"/>
      <c r="J25" s="73"/>
      <c r="K25" s="73"/>
      <c r="L25" s="38" t="e">
        <v>#REF!</v>
      </c>
      <c r="M25"/>
    </row>
    <row r="26" spans="1:13" x14ac:dyDescent="0.25">
      <c r="B26" s="54" t="s">
        <v>22</v>
      </c>
      <c r="C26" s="79">
        <v>43</v>
      </c>
      <c r="D26" s="79">
        <v>2.9999999999999933</v>
      </c>
      <c r="E26" s="79">
        <v>45.999999999999993</v>
      </c>
      <c r="F26" s="38">
        <v>310.55555555555554</v>
      </c>
      <c r="G26" s="73">
        <v>0</v>
      </c>
      <c r="H26" s="73">
        <v>0</v>
      </c>
      <c r="I26" s="73"/>
      <c r="J26" s="73"/>
      <c r="K26" s="73"/>
      <c r="L26" s="38" t="e">
        <v>#REF!</v>
      </c>
      <c r="M26"/>
    </row>
    <row r="27" spans="1:13" x14ac:dyDescent="0.25">
      <c r="B27" s="54" t="s">
        <v>26</v>
      </c>
      <c r="C27" s="79">
        <v>48</v>
      </c>
      <c r="D27" s="79">
        <v>11.999999999999989</v>
      </c>
      <c r="E27" s="79">
        <v>60</v>
      </c>
      <c r="F27" s="38">
        <v>330</v>
      </c>
      <c r="G27" s="73">
        <v>0</v>
      </c>
      <c r="H27" s="73">
        <v>0</v>
      </c>
      <c r="I27" s="73"/>
      <c r="J27" s="73"/>
      <c r="K27" s="73"/>
      <c r="L27" s="38" t="e">
        <v>#REF!</v>
      </c>
      <c r="M27"/>
    </row>
    <row r="28" spans="1:13" x14ac:dyDescent="0.25">
      <c r="B28" s="54" t="s">
        <v>14</v>
      </c>
      <c r="C28" s="79">
        <v>52</v>
      </c>
      <c r="D28" s="79">
        <v>4.9999999999999902</v>
      </c>
      <c r="E28" s="79">
        <v>56.999999999999993</v>
      </c>
      <c r="F28" s="38">
        <v>332.91555555555556</v>
      </c>
      <c r="G28" s="73">
        <v>0</v>
      </c>
      <c r="H28" s="73">
        <v>0</v>
      </c>
      <c r="I28" s="73"/>
      <c r="J28" s="73"/>
      <c r="K28" s="73"/>
      <c r="L28" s="38" t="e">
        <v>#REF!</v>
      </c>
      <c r="M28"/>
    </row>
    <row r="29" spans="1:13" x14ac:dyDescent="0.25">
      <c r="B29" s="54" t="s">
        <v>34</v>
      </c>
      <c r="C29" s="79">
        <v>52</v>
      </c>
      <c r="D29" s="79">
        <v>2.9999999999999933</v>
      </c>
      <c r="E29" s="79">
        <v>54.999999999999993</v>
      </c>
      <c r="F29" s="38">
        <v>326.73333333333335</v>
      </c>
      <c r="G29" s="73">
        <v>0</v>
      </c>
      <c r="H29" s="73">
        <v>0</v>
      </c>
      <c r="I29" s="73"/>
      <c r="J29" s="73"/>
      <c r="K29" s="73"/>
      <c r="L29" s="38" t="e">
        <v>#REF!</v>
      </c>
      <c r="M29"/>
    </row>
    <row r="30" spans="1:13" x14ac:dyDescent="0.25">
      <c r="A30" t="s">
        <v>133</v>
      </c>
      <c r="B30" s="54" t="s">
        <v>77</v>
      </c>
      <c r="C30" s="79">
        <v>48</v>
      </c>
      <c r="D30" s="79">
        <v>12.999999999999989</v>
      </c>
      <c r="E30" s="79">
        <v>61</v>
      </c>
      <c r="F30" s="38">
        <v>401.52000000000004</v>
      </c>
      <c r="G30" s="73">
        <v>0</v>
      </c>
      <c r="H30" s="73">
        <v>0</v>
      </c>
      <c r="I30" s="73"/>
      <c r="J30" s="73"/>
      <c r="K30" s="73"/>
      <c r="L30" s="38" t="e">
        <v>#REF!</v>
      </c>
      <c r="M30"/>
    </row>
    <row r="31" spans="1:13" x14ac:dyDescent="0.25">
      <c r="B31" s="54" t="s">
        <v>87</v>
      </c>
      <c r="C31" s="79">
        <v>52</v>
      </c>
      <c r="D31" s="79">
        <v>3.9999999999999911</v>
      </c>
      <c r="E31" s="79">
        <v>56</v>
      </c>
      <c r="F31" s="38">
        <v>390.92444444444436</v>
      </c>
      <c r="G31" s="73">
        <v>0</v>
      </c>
      <c r="H31" s="73">
        <v>0</v>
      </c>
      <c r="I31" s="73"/>
      <c r="J31" s="73"/>
      <c r="K31" s="73"/>
      <c r="L31" s="38" t="e">
        <v>#REF!</v>
      </c>
      <c r="M31"/>
    </row>
    <row r="32" spans="1:13" x14ac:dyDescent="0.25">
      <c r="B32" s="54" t="s">
        <v>95</v>
      </c>
      <c r="C32" s="79">
        <v>49</v>
      </c>
      <c r="D32" s="79">
        <v>24.499999999999993</v>
      </c>
      <c r="E32" s="79">
        <v>73.499999999999986</v>
      </c>
      <c r="F32" s="38">
        <v>360</v>
      </c>
      <c r="G32" s="73">
        <v>0</v>
      </c>
      <c r="H32" s="73">
        <v>0</v>
      </c>
      <c r="I32" s="73"/>
      <c r="J32" s="73"/>
      <c r="K32" s="73"/>
      <c r="L32" s="38" t="e">
        <v>#REF!</v>
      </c>
      <c r="M32"/>
    </row>
    <row r="33" spans="1:13" x14ac:dyDescent="0.25">
      <c r="B33" s="54" t="s">
        <v>36</v>
      </c>
      <c r="C33" s="79">
        <v>50</v>
      </c>
      <c r="D33" s="79">
        <v>33.483333333333327</v>
      </c>
      <c r="E33" s="79">
        <v>83.483333333333334</v>
      </c>
      <c r="F33" s="38">
        <v>443.25000000000006</v>
      </c>
      <c r="G33" s="73">
        <v>0</v>
      </c>
      <c r="H33" s="73">
        <v>0</v>
      </c>
      <c r="I33" s="73"/>
      <c r="J33" s="73"/>
      <c r="K33" s="73"/>
      <c r="L33" s="38" t="e">
        <v>#REF!</v>
      </c>
      <c r="M33"/>
    </row>
    <row r="34" spans="1:13" x14ac:dyDescent="0.25">
      <c r="A34" t="s">
        <v>141</v>
      </c>
      <c r="B34" s="54" t="s">
        <v>20</v>
      </c>
      <c r="C34" s="79">
        <v>46</v>
      </c>
      <c r="D34" s="79">
        <v>7.9999999999999929</v>
      </c>
      <c r="E34" s="79">
        <v>54</v>
      </c>
      <c r="F34" s="38">
        <v>300.14999999999998</v>
      </c>
      <c r="G34" s="73">
        <v>0</v>
      </c>
      <c r="H34" s="73">
        <v>0</v>
      </c>
      <c r="I34" s="73"/>
      <c r="J34" s="73"/>
      <c r="K34" s="73"/>
      <c r="L34" s="38" t="e">
        <v>#REF!</v>
      </c>
      <c r="M34"/>
    </row>
    <row r="35" spans="1:13" x14ac:dyDescent="0.25">
      <c r="B35" s="54" t="s">
        <v>29</v>
      </c>
      <c r="C35" s="79">
        <v>52</v>
      </c>
      <c r="D35" s="79">
        <v>2.9999999999999933</v>
      </c>
      <c r="E35" s="79">
        <v>54.999999999999993</v>
      </c>
      <c r="F35" s="38">
        <v>326.73333333333335</v>
      </c>
      <c r="G35" s="73">
        <v>0</v>
      </c>
      <c r="H35" s="73">
        <v>0</v>
      </c>
      <c r="I35" s="73"/>
      <c r="J35" s="73"/>
      <c r="K35" s="73"/>
      <c r="L35" s="38" t="e">
        <v>#REF!</v>
      </c>
      <c r="M35"/>
    </row>
    <row r="36" spans="1:13" x14ac:dyDescent="0.25">
      <c r="B36" s="54" t="s">
        <v>108</v>
      </c>
      <c r="C36" s="79">
        <v>43</v>
      </c>
      <c r="D36" s="79">
        <v>0.99999999999999778</v>
      </c>
      <c r="E36" s="79">
        <v>44</v>
      </c>
      <c r="F36" s="38">
        <v>382.22222222222223</v>
      </c>
      <c r="G36" s="73">
        <v>0</v>
      </c>
      <c r="H36" s="73">
        <v>0</v>
      </c>
      <c r="I36" s="73"/>
      <c r="J36" s="73"/>
      <c r="K36" s="73"/>
      <c r="L36" s="38" t="e">
        <v>#REF!</v>
      </c>
      <c r="M36"/>
    </row>
    <row r="37" spans="1:13" x14ac:dyDescent="0.25">
      <c r="A37" t="s">
        <v>123</v>
      </c>
      <c r="B37" s="54" t="s">
        <v>74</v>
      </c>
      <c r="C37" s="79">
        <v>42.983333333333334</v>
      </c>
      <c r="D37" s="79">
        <v>23.999999999999996</v>
      </c>
      <c r="E37" s="79">
        <v>66.983333333333334</v>
      </c>
      <c r="F37" s="38">
        <v>396.09141666666665</v>
      </c>
      <c r="G37" s="73">
        <v>0</v>
      </c>
      <c r="H37" s="73">
        <v>0</v>
      </c>
      <c r="I37" s="73"/>
      <c r="J37" s="73"/>
      <c r="K37" s="73"/>
      <c r="L37" s="38" t="e">
        <v>#REF!</v>
      </c>
      <c r="M37"/>
    </row>
    <row r="38" spans="1:13" x14ac:dyDescent="0.25">
      <c r="B38" s="54" t="s">
        <v>104</v>
      </c>
      <c r="C38" s="79">
        <v>17</v>
      </c>
      <c r="D38" s="79">
        <v>3.9999999999999964</v>
      </c>
      <c r="E38" s="79">
        <v>20.999999999999996</v>
      </c>
      <c r="F38" s="38">
        <v>147.42000000000002</v>
      </c>
      <c r="G38" s="73">
        <v>0</v>
      </c>
      <c r="H38" s="73">
        <v>0</v>
      </c>
      <c r="I38" s="73"/>
      <c r="J38" s="73"/>
      <c r="K38" s="73"/>
      <c r="L38" s="38" t="e">
        <v>#REF!</v>
      </c>
      <c r="M38"/>
    </row>
    <row r="39" spans="1:13" x14ac:dyDescent="0.25">
      <c r="A39" t="s">
        <v>125</v>
      </c>
      <c r="B39" s="54" t="s">
        <v>19</v>
      </c>
      <c r="C39" s="79">
        <v>52</v>
      </c>
      <c r="D39" s="79">
        <v>2.9999999999999933</v>
      </c>
      <c r="E39" s="79">
        <v>54.999999999999993</v>
      </c>
      <c r="F39" s="38">
        <v>275.77333333333326</v>
      </c>
      <c r="G39" s="73">
        <v>0</v>
      </c>
      <c r="H39" s="73">
        <v>0</v>
      </c>
      <c r="I39" s="73"/>
      <c r="J39" s="73"/>
      <c r="K39" s="73"/>
      <c r="L39" s="38" t="e">
        <v>#REF!</v>
      </c>
      <c r="M39"/>
    </row>
    <row r="40" spans="1:13" x14ac:dyDescent="0.25">
      <c r="A40" t="s">
        <v>135</v>
      </c>
      <c r="B40" s="54" t="s">
        <v>12</v>
      </c>
      <c r="C40" s="79">
        <v>51.999999999999993</v>
      </c>
      <c r="D40" s="79">
        <v>0.99999999999999778</v>
      </c>
      <c r="E40" s="79">
        <v>52.999999999999993</v>
      </c>
      <c r="F40" s="38">
        <v>393.75555555555547</v>
      </c>
      <c r="G40" s="73">
        <v>0</v>
      </c>
      <c r="H40" s="73">
        <v>0</v>
      </c>
      <c r="I40" s="73"/>
      <c r="J40" s="73"/>
      <c r="K40" s="73"/>
      <c r="L40" s="38" t="e">
        <v>#REF!</v>
      </c>
      <c r="M40"/>
    </row>
    <row r="41" spans="1:13" x14ac:dyDescent="0.25">
      <c r="B41" s="54" t="s">
        <v>100</v>
      </c>
      <c r="C41" s="79">
        <v>50</v>
      </c>
      <c r="D41" s="79">
        <v>3.9999999999999925</v>
      </c>
      <c r="E41" s="79">
        <v>53.999999999999993</v>
      </c>
      <c r="F41" s="38">
        <v>483.88888888888891</v>
      </c>
      <c r="G41" s="73">
        <v>0</v>
      </c>
      <c r="H41" s="73">
        <v>0</v>
      </c>
      <c r="I41" s="73"/>
      <c r="J41" s="73"/>
      <c r="K41" s="73"/>
      <c r="L41" s="38" t="e">
        <v>#REF!</v>
      </c>
      <c r="M41"/>
    </row>
    <row r="42" spans="1:13" x14ac:dyDescent="0.25">
      <c r="A42" t="s">
        <v>291</v>
      </c>
      <c r="B42" s="54" t="s">
        <v>289</v>
      </c>
      <c r="C42" s="79">
        <v>48</v>
      </c>
      <c r="D42" s="79">
        <v>11.999999999999989</v>
      </c>
      <c r="E42" s="79">
        <v>59.999999999999993</v>
      </c>
      <c r="F42" s="38">
        <v>373.86</v>
      </c>
      <c r="G42" s="73">
        <v>0</v>
      </c>
      <c r="H42" s="73">
        <v>0</v>
      </c>
      <c r="I42" s="73"/>
      <c r="J42" s="73"/>
      <c r="K42" s="73"/>
      <c r="L42" s="38" t="e">
        <v>#REF!</v>
      </c>
      <c r="M42"/>
    </row>
    <row r="43" spans="1:13" x14ac:dyDescent="0.25">
      <c r="A43" t="s">
        <v>85</v>
      </c>
      <c r="B43" s="54" t="s">
        <v>30</v>
      </c>
      <c r="C43" s="79">
        <v>51</v>
      </c>
      <c r="D43" s="79">
        <v>9.999999999999984</v>
      </c>
      <c r="E43" s="79">
        <v>60.999999999999986</v>
      </c>
      <c r="F43" s="38">
        <v>376.72</v>
      </c>
      <c r="G43" s="73">
        <v>0</v>
      </c>
      <c r="H43" s="73">
        <v>0</v>
      </c>
      <c r="I43" s="73"/>
      <c r="J43" s="73"/>
      <c r="K43" s="73"/>
      <c r="L43" s="38" t="e">
        <v>#REF!</v>
      </c>
      <c r="M43"/>
    </row>
    <row r="44" spans="1:13" x14ac:dyDescent="0.25">
      <c r="B44" s="54" t="s">
        <v>23</v>
      </c>
      <c r="C44" s="79">
        <v>51</v>
      </c>
      <c r="D44" s="79">
        <v>7.9999999999999876</v>
      </c>
      <c r="E44" s="79">
        <v>59</v>
      </c>
      <c r="F44" s="38">
        <v>352.5</v>
      </c>
      <c r="G44" s="73">
        <v>0</v>
      </c>
      <c r="H44" s="73">
        <v>0</v>
      </c>
      <c r="I44" s="73"/>
      <c r="J44" s="73"/>
      <c r="K44" s="73"/>
      <c r="L44" s="38" t="e">
        <v>#REF!</v>
      </c>
      <c r="M44"/>
    </row>
    <row r="45" spans="1:13" x14ac:dyDescent="0.25">
      <c r="B45" s="54" t="s">
        <v>299</v>
      </c>
      <c r="C45" s="79">
        <v>32</v>
      </c>
      <c r="D45" s="79">
        <v>7.9999999999999929</v>
      </c>
      <c r="E45" s="79">
        <v>39.999999999999993</v>
      </c>
      <c r="F45" s="38">
        <v>260</v>
      </c>
      <c r="G45" s="73">
        <v>0</v>
      </c>
      <c r="H45" s="73">
        <v>0</v>
      </c>
      <c r="I45" s="73"/>
      <c r="J45" s="73"/>
      <c r="K45" s="73"/>
      <c r="L45" s="38" t="e">
        <v>#REF!</v>
      </c>
      <c r="M45"/>
    </row>
    <row r="46" spans="1:13" x14ac:dyDescent="0.25">
      <c r="A46" t="s">
        <v>144</v>
      </c>
      <c r="B46" s="54" t="s">
        <v>13</v>
      </c>
      <c r="C46" s="79">
        <v>45</v>
      </c>
      <c r="D46" s="79">
        <v>5.9999999999999893</v>
      </c>
      <c r="E46" s="79">
        <v>50.999999999999986</v>
      </c>
      <c r="F46" s="38">
        <v>351.9</v>
      </c>
      <c r="G46" s="73">
        <v>0</v>
      </c>
      <c r="H46" s="73">
        <v>0</v>
      </c>
      <c r="I46" s="73"/>
      <c r="J46" s="73"/>
      <c r="K46" s="73"/>
      <c r="L46" s="38" t="e">
        <v>#REF!</v>
      </c>
      <c r="M46"/>
    </row>
    <row r="47" spans="1:13" x14ac:dyDescent="0.25">
      <c r="B47" s="54" t="s">
        <v>102</v>
      </c>
      <c r="C47" s="79">
        <v>42</v>
      </c>
      <c r="D47" s="79">
        <v>2.9999999999999933</v>
      </c>
      <c r="E47" s="79">
        <v>44.999999999999993</v>
      </c>
      <c r="F47" s="38">
        <v>324.05333333333328</v>
      </c>
      <c r="G47" s="73">
        <v>0</v>
      </c>
      <c r="H47" s="73">
        <v>0</v>
      </c>
      <c r="I47" s="73"/>
      <c r="J47" s="73"/>
      <c r="K47" s="73"/>
      <c r="L47" s="38" t="e">
        <v>#REF!</v>
      </c>
      <c r="M47"/>
    </row>
    <row r="48" spans="1:13" x14ac:dyDescent="0.25">
      <c r="B48" s="54" t="s">
        <v>46</v>
      </c>
      <c r="C48" s="79">
        <v>48</v>
      </c>
      <c r="D48" s="79">
        <v>11.999999999999989</v>
      </c>
      <c r="E48" s="79">
        <v>59.999999999999993</v>
      </c>
      <c r="F48" s="38">
        <v>540</v>
      </c>
      <c r="G48" s="73">
        <v>0</v>
      </c>
      <c r="H48" s="73">
        <v>0</v>
      </c>
      <c r="I48" s="73"/>
      <c r="J48" s="73"/>
      <c r="K48" s="73"/>
      <c r="L48" s="38" t="e">
        <v>#REF!</v>
      </c>
      <c r="M48"/>
    </row>
    <row r="49" spans="1:13" x14ac:dyDescent="0.25">
      <c r="A49" t="s">
        <v>98</v>
      </c>
      <c r="B49" s="54" t="s">
        <v>49</v>
      </c>
      <c r="C49" s="79">
        <v>0</v>
      </c>
      <c r="D49" s="79">
        <v>0</v>
      </c>
      <c r="E49" s="79">
        <v>0</v>
      </c>
      <c r="F49" s="38">
        <v>0</v>
      </c>
      <c r="G49" s="73">
        <v>0</v>
      </c>
      <c r="H49" s="73">
        <v>0</v>
      </c>
      <c r="I49" s="73"/>
      <c r="J49" s="73"/>
      <c r="K49" s="73"/>
      <c r="L49" s="38" t="e">
        <v>#REF!</v>
      </c>
      <c r="M49"/>
    </row>
    <row r="50" spans="1:13" x14ac:dyDescent="0.25">
      <c r="A50" t="s">
        <v>119</v>
      </c>
      <c r="B50" t="s">
        <v>113</v>
      </c>
      <c r="C50" s="81">
        <v>38.5</v>
      </c>
      <c r="D50" s="81">
        <v>14.983333333333331</v>
      </c>
      <c r="E50" s="81">
        <v>53.483333333333334</v>
      </c>
      <c r="F50" s="4">
        <v>558.53874999999994</v>
      </c>
      <c r="G50" s="2">
        <v>0</v>
      </c>
      <c r="H50" s="10">
        <v>0</v>
      </c>
      <c r="I50" s="2"/>
      <c r="J50" s="2"/>
      <c r="K50" s="2"/>
      <c r="L50" s="95" t="e">
        <v>#REF!</v>
      </c>
      <c r="M50"/>
    </row>
    <row r="51" spans="1:13" x14ac:dyDescent="0.25">
      <c r="B51" t="s">
        <v>16</v>
      </c>
      <c r="C51" s="81">
        <v>48</v>
      </c>
      <c r="D51" s="81">
        <v>12.999999999999989</v>
      </c>
      <c r="E51" s="81">
        <v>60.999999999999993</v>
      </c>
      <c r="F51" s="4">
        <v>530.82000000000005</v>
      </c>
      <c r="G51" s="2">
        <v>0</v>
      </c>
      <c r="H51" s="2">
        <v>0</v>
      </c>
      <c r="I51" s="2"/>
      <c r="J51" s="2"/>
      <c r="K51" s="73"/>
      <c r="L51" s="95" t="e">
        <v>#REF!</v>
      </c>
      <c r="M51"/>
    </row>
    <row r="52" spans="1:13" x14ac:dyDescent="0.25">
      <c r="A52" t="s">
        <v>146</v>
      </c>
      <c r="B52" s="92" t="s">
        <v>31</v>
      </c>
      <c r="C52" s="143">
        <v>54</v>
      </c>
      <c r="D52" s="143">
        <v>8.9999999999999858</v>
      </c>
      <c r="E52" s="143">
        <v>62.999999999999986</v>
      </c>
      <c r="F52" s="95">
        <v>556.79999999999984</v>
      </c>
      <c r="G52" s="144">
        <v>0</v>
      </c>
      <c r="H52" s="144">
        <v>0</v>
      </c>
      <c r="I52" s="144"/>
      <c r="J52" s="144"/>
      <c r="K52" s="144"/>
      <c r="L52" s="95" t="e">
        <v>#REF!</v>
      </c>
      <c r="M52"/>
    </row>
    <row r="53" spans="1:13" x14ac:dyDescent="0.25">
      <c r="A53" t="s">
        <v>130</v>
      </c>
      <c r="B53" t="s">
        <v>32</v>
      </c>
      <c r="C53" s="81">
        <v>48</v>
      </c>
      <c r="D53" s="81">
        <v>15.483333333333334</v>
      </c>
      <c r="E53" s="81">
        <v>63.483333333333334</v>
      </c>
      <c r="F53" s="4">
        <v>529.62</v>
      </c>
      <c r="G53" s="2">
        <v>0</v>
      </c>
      <c r="H53" s="2">
        <v>0</v>
      </c>
      <c r="I53" s="2"/>
      <c r="J53" s="2"/>
      <c r="K53" s="73"/>
      <c r="L53" s="4" t="e">
        <v>#REF!</v>
      </c>
      <c r="M53"/>
    </row>
    <row r="54" spans="1:13" x14ac:dyDescent="0.25">
      <c r="A54" t="s">
        <v>409</v>
      </c>
      <c r="B54" t="s">
        <v>362</v>
      </c>
      <c r="C54" s="81">
        <v>18</v>
      </c>
      <c r="D54" s="81">
        <v>0.99999999999999778</v>
      </c>
      <c r="E54" s="81">
        <v>18.999999999999996</v>
      </c>
      <c r="F54" s="4">
        <v>180</v>
      </c>
      <c r="G54" s="2">
        <v>0</v>
      </c>
      <c r="H54" s="2">
        <v>0</v>
      </c>
      <c r="I54" s="2"/>
      <c r="J54" s="2"/>
      <c r="K54" s="2"/>
      <c r="L54" s="4" t="e">
        <v>#REF!</v>
      </c>
      <c r="M54"/>
    </row>
    <row r="55" spans="1:13" x14ac:dyDescent="0.25">
      <c r="B55" t="s">
        <v>375</v>
      </c>
      <c r="C55" s="81">
        <v>46</v>
      </c>
      <c r="D55" s="81">
        <v>7.9999999999999929</v>
      </c>
      <c r="E55" s="81">
        <v>54</v>
      </c>
      <c r="F55" s="4">
        <v>402.5</v>
      </c>
      <c r="G55" s="2">
        <v>0</v>
      </c>
      <c r="H55" s="2">
        <v>0</v>
      </c>
      <c r="I55" s="2"/>
      <c r="J55" s="2"/>
      <c r="K55" s="2"/>
      <c r="L55" s="4" t="e">
        <v>#REF!</v>
      </c>
      <c r="M55"/>
    </row>
    <row r="56" spans="1:13" x14ac:dyDescent="0.25">
      <c r="B56" t="s">
        <v>378</v>
      </c>
      <c r="C56" s="81">
        <v>57</v>
      </c>
      <c r="D56" s="81">
        <v>24.483333333333327</v>
      </c>
      <c r="E56" s="81">
        <v>81.483333333333334</v>
      </c>
      <c r="F56" s="4">
        <v>251.3133333333333</v>
      </c>
      <c r="G56" s="2">
        <v>0</v>
      </c>
      <c r="H56" s="2">
        <v>0</v>
      </c>
      <c r="I56" s="2"/>
      <c r="J56" s="2"/>
      <c r="K56" s="2"/>
      <c r="L56" s="4" t="e">
        <v>#REF!</v>
      </c>
      <c r="M56"/>
    </row>
    <row r="57" spans="1:13" x14ac:dyDescent="0.25">
      <c r="B57" t="s">
        <v>390</v>
      </c>
      <c r="C57" s="81">
        <v>37</v>
      </c>
      <c r="D57" s="81">
        <v>7.9999999999999929</v>
      </c>
      <c r="E57" s="81">
        <v>44.999999999999993</v>
      </c>
      <c r="F57" s="4">
        <v>254.375</v>
      </c>
      <c r="G57" s="2">
        <v>0</v>
      </c>
      <c r="H57" s="2">
        <v>0</v>
      </c>
      <c r="I57" s="2"/>
      <c r="J57" s="2"/>
      <c r="K57" s="2"/>
      <c r="L57" s="4" t="e">
        <v>#REF!</v>
      </c>
      <c r="M57"/>
    </row>
    <row r="58" spans="1:13" x14ac:dyDescent="0.25">
      <c r="B58" t="s">
        <v>383</v>
      </c>
      <c r="C58" s="81">
        <v>52</v>
      </c>
      <c r="D58" s="81">
        <v>2.9999999999999933</v>
      </c>
      <c r="E58" s="81">
        <v>55</v>
      </c>
      <c r="F58" s="4">
        <v>256.07111111111107</v>
      </c>
      <c r="G58" s="2">
        <v>0</v>
      </c>
      <c r="H58" s="2">
        <v>0</v>
      </c>
      <c r="I58" s="2"/>
      <c r="J58" s="2"/>
      <c r="K58" s="2"/>
      <c r="L58" s="4" t="e">
        <v>#REF!</v>
      </c>
      <c r="M58"/>
    </row>
    <row r="59" spans="1:13" x14ac:dyDescent="0.25">
      <c r="B59" t="s">
        <v>386</v>
      </c>
      <c r="C59" s="81">
        <v>48</v>
      </c>
      <c r="D59" s="81">
        <v>12.999999999999989</v>
      </c>
      <c r="E59" s="81">
        <v>61</v>
      </c>
      <c r="F59" s="4">
        <v>390</v>
      </c>
      <c r="G59" s="2">
        <v>0</v>
      </c>
      <c r="H59" s="2">
        <v>0</v>
      </c>
      <c r="I59" s="2"/>
      <c r="J59" s="2"/>
      <c r="K59" s="2"/>
      <c r="L59" s="4" t="e">
        <v>#REF!</v>
      </c>
      <c r="M59"/>
    </row>
    <row r="60" spans="1:13" x14ac:dyDescent="0.25">
      <c r="B60" t="s">
        <v>384</v>
      </c>
      <c r="C60" s="81">
        <v>41</v>
      </c>
      <c r="D60" s="81">
        <v>1.9999999999999956</v>
      </c>
      <c r="E60" s="81">
        <v>43</v>
      </c>
      <c r="F60" s="4">
        <v>163.13444444444445</v>
      </c>
      <c r="G60" s="2">
        <v>0</v>
      </c>
      <c r="H60" s="2">
        <v>0</v>
      </c>
      <c r="I60" s="2"/>
      <c r="J60" s="2"/>
      <c r="K60" s="2"/>
      <c r="L60" s="4" t="e">
        <v>#REF!</v>
      </c>
      <c r="M60"/>
    </row>
    <row r="61" spans="1:13" x14ac:dyDescent="0.25">
      <c r="B61" t="s">
        <v>385</v>
      </c>
      <c r="C61" s="81">
        <v>46</v>
      </c>
      <c r="D61" s="81">
        <v>7.9999999999999929</v>
      </c>
      <c r="E61" s="81">
        <v>54</v>
      </c>
      <c r="F61" s="4">
        <v>345</v>
      </c>
      <c r="G61" s="2">
        <v>0</v>
      </c>
      <c r="H61" s="2">
        <v>0</v>
      </c>
      <c r="I61" s="2"/>
      <c r="J61" s="2"/>
      <c r="K61" s="2"/>
      <c r="L61" s="4" t="e">
        <v>#REF!</v>
      </c>
      <c r="M61"/>
    </row>
    <row r="62" spans="1:13" x14ac:dyDescent="0.25">
      <c r="B62" t="s">
        <v>393</v>
      </c>
      <c r="C62" s="81">
        <v>46</v>
      </c>
      <c r="D62" s="81">
        <v>7.9999999999999929</v>
      </c>
      <c r="E62" s="81">
        <v>54</v>
      </c>
      <c r="F62" s="4">
        <v>0</v>
      </c>
      <c r="G62" s="2">
        <v>0</v>
      </c>
      <c r="H62" s="2">
        <v>0</v>
      </c>
      <c r="I62" s="2"/>
      <c r="J62" s="2"/>
      <c r="K62" s="2"/>
      <c r="L62" s="4" t="e">
        <v>#REF!</v>
      </c>
      <c r="M62"/>
    </row>
    <row r="63" spans="1:13" x14ac:dyDescent="0.25">
      <c r="B63" t="s">
        <v>395</v>
      </c>
      <c r="C63" s="81">
        <v>54</v>
      </c>
      <c r="D63" s="81">
        <v>6.9999999999999893</v>
      </c>
      <c r="E63" s="81">
        <v>60.999999999999986</v>
      </c>
      <c r="F63" s="4">
        <v>0</v>
      </c>
      <c r="G63" s="2">
        <v>0</v>
      </c>
      <c r="H63" s="2">
        <v>0</v>
      </c>
      <c r="I63" s="2"/>
      <c r="J63" s="2"/>
      <c r="K63" s="2"/>
      <c r="L63" s="4" t="e">
        <v>#REF!</v>
      </c>
      <c r="M63"/>
    </row>
    <row r="64" spans="1:13" x14ac:dyDescent="0.25">
      <c r="B64" t="s">
        <v>400</v>
      </c>
      <c r="C64" s="81">
        <v>52</v>
      </c>
      <c r="D64" s="81">
        <v>2.9999999999999947</v>
      </c>
      <c r="E64" s="81">
        <v>54.999999999999993</v>
      </c>
      <c r="F64" s="4">
        <v>0</v>
      </c>
      <c r="G64" s="2">
        <v>0</v>
      </c>
      <c r="H64" s="2">
        <v>0</v>
      </c>
      <c r="I64" s="2"/>
      <c r="J64" s="2"/>
      <c r="K64" s="2"/>
      <c r="L64" s="4" t="e">
        <v>#REF!</v>
      </c>
      <c r="M64"/>
    </row>
    <row r="65" spans="1:13" x14ac:dyDescent="0.25">
      <c r="B65" t="s">
        <v>391</v>
      </c>
      <c r="C65" s="81">
        <v>15</v>
      </c>
      <c r="D65" s="81">
        <v>1.9999999999999982</v>
      </c>
      <c r="E65" s="81">
        <v>17</v>
      </c>
      <c r="F65" s="4">
        <v>150</v>
      </c>
      <c r="G65" s="2">
        <v>0</v>
      </c>
      <c r="H65" s="2">
        <v>0</v>
      </c>
      <c r="I65" s="2"/>
      <c r="J65" s="2"/>
      <c r="K65" s="2"/>
      <c r="L65" s="4" t="e">
        <v>#REF!</v>
      </c>
      <c r="M65"/>
    </row>
    <row r="66" spans="1:13" x14ac:dyDescent="0.25">
      <c r="B66" t="s">
        <v>388</v>
      </c>
      <c r="C66" s="81">
        <v>39.983333333333334</v>
      </c>
      <c r="D66" s="81">
        <v>10.999999999999989</v>
      </c>
      <c r="E66" s="81">
        <v>50.98333333333332</v>
      </c>
      <c r="F66" s="4">
        <v>299.875</v>
      </c>
      <c r="G66" s="2">
        <v>0</v>
      </c>
      <c r="H66" s="2">
        <v>0</v>
      </c>
      <c r="I66" s="2"/>
      <c r="J66" s="2"/>
      <c r="K66" s="2"/>
      <c r="L66" s="4" t="e">
        <v>#REF!</v>
      </c>
      <c r="M66"/>
    </row>
    <row r="67" spans="1:13" x14ac:dyDescent="0.25">
      <c r="B67" t="s">
        <v>399</v>
      </c>
      <c r="C67" s="81">
        <v>0</v>
      </c>
      <c r="D67" s="81">
        <v>0</v>
      </c>
      <c r="E67" s="81">
        <v>0</v>
      </c>
      <c r="F67" s="4">
        <v>0</v>
      </c>
      <c r="G67" s="2">
        <v>0</v>
      </c>
      <c r="H67" s="2">
        <v>0</v>
      </c>
      <c r="I67" s="2"/>
      <c r="J67" s="2"/>
      <c r="K67" s="2"/>
      <c r="L67" s="4" t="e">
        <v>#REF!</v>
      </c>
      <c r="M67"/>
    </row>
    <row r="68" spans="1:13" x14ac:dyDescent="0.25">
      <c r="B68" t="s">
        <v>401</v>
      </c>
      <c r="C68" s="81">
        <v>8.9999999999999982</v>
      </c>
      <c r="D68" s="81">
        <v>0</v>
      </c>
      <c r="E68" s="81">
        <v>8.9999999999999982</v>
      </c>
      <c r="F68" s="4">
        <v>0</v>
      </c>
      <c r="G68" s="2">
        <v>0</v>
      </c>
      <c r="H68" s="2">
        <v>0</v>
      </c>
      <c r="I68" s="2"/>
      <c r="J68" s="2"/>
      <c r="K68" s="2"/>
      <c r="L68" s="4" t="e">
        <v>#REF!</v>
      </c>
      <c r="M68"/>
    </row>
    <row r="69" spans="1:13" x14ac:dyDescent="0.25">
      <c r="B69" t="s">
        <v>389</v>
      </c>
      <c r="C69" s="81">
        <v>8.9999999999999982</v>
      </c>
      <c r="D69" s="81">
        <v>0</v>
      </c>
      <c r="E69" s="81">
        <v>8.9999999999999982</v>
      </c>
      <c r="F69" s="4">
        <v>54.999999999999986</v>
      </c>
      <c r="G69" s="2">
        <v>0</v>
      </c>
      <c r="H69" s="2">
        <v>0</v>
      </c>
      <c r="I69" s="2"/>
      <c r="J69" s="2"/>
      <c r="K69" s="2"/>
      <c r="L69" s="4" t="e">
        <v>#REF!</v>
      </c>
      <c r="M69"/>
    </row>
    <row r="70" spans="1:13" x14ac:dyDescent="0.25">
      <c r="A70" t="s">
        <v>142</v>
      </c>
      <c r="B70" t="s">
        <v>109</v>
      </c>
      <c r="C70" s="81">
        <v>42</v>
      </c>
      <c r="D70" s="81">
        <v>7.9999999999999929</v>
      </c>
      <c r="E70" s="81">
        <v>50</v>
      </c>
      <c r="F70" s="4">
        <v>367.5</v>
      </c>
      <c r="G70" s="2">
        <v>0</v>
      </c>
      <c r="H70" s="2">
        <v>0</v>
      </c>
      <c r="I70" s="2"/>
      <c r="J70" s="2"/>
      <c r="K70" s="2"/>
      <c r="L70" s="4" t="e">
        <v>#REF!</v>
      </c>
      <c r="M70"/>
    </row>
    <row r="71" spans="1:13" x14ac:dyDescent="0.25">
      <c r="A71" s="56" t="s">
        <v>248</v>
      </c>
      <c r="B71" s="56"/>
      <c r="C71" s="80">
        <v>2477.4666666666667</v>
      </c>
      <c r="D71" s="80">
        <v>495.43333333333322</v>
      </c>
      <c r="E71" s="80">
        <v>2972.8999999999992</v>
      </c>
      <c r="F71" s="49">
        <v>18101.869333333332</v>
      </c>
      <c r="G71" s="58">
        <v>0</v>
      </c>
      <c r="H71" s="58">
        <v>0</v>
      </c>
      <c r="I71" s="58"/>
      <c r="J71" s="58"/>
      <c r="K71" s="58"/>
      <c r="L71" s="49" t="e">
        <v>#REF!</v>
      </c>
      <c r="M71"/>
    </row>
    <row r="72" spans="1:13" x14ac:dyDescent="0.25">
      <c r="C72"/>
      <c r="D72"/>
      <c r="E72"/>
      <c r="F72"/>
      <c r="G72"/>
      <c r="H72"/>
      <c r="I72"/>
      <c r="J72"/>
      <c r="K72"/>
      <c r="L72"/>
      <c r="M72"/>
    </row>
    <row r="73" spans="1:13" x14ac:dyDescent="0.25">
      <c r="C73"/>
      <c r="D73"/>
      <c r="E73"/>
      <c r="F73"/>
      <c r="G73"/>
      <c r="H73"/>
      <c r="I73"/>
      <c r="J73"/>
      <c r="K73"/>
      <c r="L73"/>
      <c r="M73"/>
    </row>
  </sheetData>
  <mergeCells count="3">
    <mergeCell ref="A1:M1"/>
    <mergeCell ref="C5:E5"/>
    <mergeCell ref="F5:M5"/>
  </mergeCells>
  <pageMargins left="0.7" right="0.7" top="0.75" bottom="0.75" header="0.3" footer="0.3"/>
  <pageSetup paperSize="9" scale="60" orientation="landscape" horizontalDpi="300" verticalDpi="300" r:id="rId2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48AE-2F4F-4867-8A66-16BFF5998029}">
  <sheetPr>
    <pageSetUpPr fitToPage="1"/>
  </sheetPr>
  <dimension ref="A1:AKS73"/>
  <sheetViews>
    <sheetView showGridLines="0" tabSelected="1" zoomScale="80" zoomScaleNormal="80" zoomScaleSheetLayoutView="70" workbookViewId="0">
      <pane xSplit="2" ySplit="11" topLeftCell="E24" activePane="bottomRight" state="frozen"/>
      <selection pane="topRight" activeCell="C1" sqref="C1"/>
      <selection pane="bottomLeft" activeCell="A12" sqref="A12"/>
      <selection pane="bottomRight" activeCell="F28" sqref="F28"/>
    </sheetView>
  </sheetViews>
  <sheetFormatPr baseColWidth="10" defaultRowHeight="15" outlineLevelRow="1" x14ac:dyDescent="0.25"/>
  <cols>
    <col min="1" max="1" width="18.28515625" customWidth="1"/>
    <col min="2" max="2" width="42.28515625" customWidth="1"/>
    <col min="3" max="3" width="12.28515625" style="5" customWidth="1"/>
    <col min="4" max="5" width="11.85546875" style="5" customWidth="1"/>
    <col min="6" max="6" width="25" style="53" customWidth="1"/>
    <col min="7" max="8" width="16.85546875" style="53" customWidth="1"/>
    <col min="9" max="9" width="12.28515625" style="53" customWidth="1"/>
    <col min="10" max="10" width="15.85546875" style="53" customWidth="1"/>
    <col min="11" max="11" width="13.28515625" style="53" customWidth="1"/>
    <col min="12" max="12" width="13.140625" style="53" customWidth="1"/>
    <col min="13" max="13" width="24" style="5" customWidth="1"/>
    <col min="14" max="15" width="16.85546875" bestFit="1" customWidth="1"/>
  </cols>
  <sheetData>
    <row r="1" spans="1:15" x14ac:dyDescent="0.25">
      <c r="A1" s="151" t="s">
        <v>311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</row>
    <row r="2" spans="1:15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5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5" spans="1:15" x14ac:dyDescent="0.25">
      <c r="C5" s="152" t="s">
        <v>240</v>
      </c>
      <c r="D5" s="152"/>
      <c r="E5" s="152"/>
      <c r="F5" s="153" t="s">
        <v>263</v>
      </c>
      <c r="G5" s="153"/>
      <c r="H5" s="153"/>
      <c r="I5" s="153"/>
      <c r="J5" s="153"/>
      <c r="K5" s="153"/>
      <c r="L5" s="153"/>
      <c r="M5" s="153"/>
    </row>
    <row r="6" spans="1:15" x14ac:dyDescent="0.25">
      <c r="A6" s="78" t="s">
        <v>67</v>
      </c>
      <c r="B6" s="78" t="s">
        <v>1</v>
      </c>
      <c r="C6" s="82" t="s">
        <v>317</v>
      </c>
      <c r="D6" s="82" t="s">
        <v>259</v>
      </c>
      <c r="E6" s="82" t="s">
        <v>318</v>
      </c>
      <c r="F6" s="77" t="s">
        <v>315</v>
      </c>
      <c r="G6" s="77" t="s">
        <v>314</v>
      </c>
      <c r="H6" s="77" t="s">
        <v>300</v>
      </c>
      <c r="I6" s="77" t="s">
        <v>319</v>
      </c>
      <c r="J6" s="77" t="s">
        <v>316</v>
      </c>
      <c r="K6" s="77" t="s">
        <v>306</v>
      </c>
      <c r="L6" s="77" t="s">
        <v>304</v>
      </c>
      <c r="M6" s="77" t="s">
        <v>262</v>
      </c>
    </row>
    <row r="7" spans="1:15" s="54" customFormat="1" outlineLevel="1" x14ac:dyDescent="0.25">
      <c r="A7" s="37" t="s">
        <v>7</v>
      </c>
      <c r="B7" t="s">
        <v>312</v>
      </c>
      <c r="C7" s="57"/>
      <c r="D7" s="57"/>
      <c r="E7" s="57"/>
      <c r="F7" s="55"/>
      <c r="G7" s="55"/>
      <c r="H7" s="55"/>
      <c r="I7" s="55"/>
      <c r="J7" s="55"/>
      <c r="K7" s="55"/>
      <c r="L7" s="55"/>
      <c r="M7" s="55"/>
    </row>
    <row r="8" spans="1:15" outlineLevel="1" x14ac:dyDescent="0.25">
      <c r="A8" s="37" t="s">
        <v>40</v>
      </c>
      <c r="B8" t="s">
        <v>312</v>
      </c>
    </row>
    <row r="9" spans="1:15" outlineLevel="1" x14ac:dyDescent="0.25">
      <c r="A9" s="37" t="s">
        <v>0</v>
      </c>
      <c r="B9" t="s">
        <v>312</v>
      </c>
    </row>
    <row r="10" spans="1:15" outlineLevel="1" x14ac:dyDescent="0.25"/>
    <row r="11" spans="1:15" outlineLevel="1" x14ac:dyDescent="0.25">
      <c r="A11" s="37" t="s">
        <v>67</v>
      </c>
      <c r="B11" s="37" t="s">
        <v>1</v>
      </c>
      <c r="C11" s="5" t="s">
        <v>252</v>
      </c>
      <c r="D11" s="123" t="s">
        <v>253</v>
      </c>
      <c r="E11" s="123" t="s">
        <v>254</v>
      </c>
      <c r="F11" t="s">
        <v>326</v>
      </c>
      <c r="G11" t="s">
        <v>411</v>
      </c>
      <c r="H11" t="s">
        <v>412</v>
      </c>
      <c r="I11" t="s">
        <v>344</v>
      </c>
      <c r="J11" t="s">
        <v>345</v>
      </c>
      <c r="K11" s="54" t="s">
        <v>305</v>
      </c>
      <c r="L11" s="54" t="s">
        <v>306</v>
      </c>
      <c r="M11" s="54" t="s">
        <v>307</v>
      </c>
      <c r="N11" t="s">
        <v>327</v>
      </c>
    </row>
    <row r="12" spans="1:15" x14ac:dyDescent="0.25">
      <c r="A12" t="s">
        <v>97</v>
      </c>
      <c r="B12" s="54" t="s">
        <v>92</v>
      </c>
      <c r="C12" s="79">
        <v>48</v>
      </c>
      <c r="D12" s="79">
        <v>12.999999999999989</v>
      </c>
      <c r="E12" s="79">
        <v>61</v>
      </c>
      <c r="F12" s="38">
        <v>234.9</v>
      </c>
      <c r="G12" s="73">
        <v>0</v>
      </c>
      <c r="H12" s="38">
        <v>234.9</v>
      </c>
      <c r="I12" s="73">
        <v>0</v>
      </c>
      <c r="J12" s="73">
        <v>0</v>
      </c>
      <c r="K12" s="73"/>
      <c r="L12" s="73"/>
      <c r="M12" s="73"/>
      <c r="N12" s="38" t="e">
        <v>#REF!</v>
      </c>
    </row>
    <row r="13" spans="1:15" x14ac:dyDescent="0.25">
      <c r="B13" s="54" t="s">
        <v>44</v>
      </c>
      <c r="C13" s="79">
        <v>39</v>
      </c>
      <c r="D13" s="79">
        <v>18.999999999999993</v>
      </c>
      <c r="E13" s="79">
        <v>58</v>
      </c>
      <c r="F13" s="38">
        <v>219.375</v>
      </c>
      <c r="G13" s="73">
        <v>0</v>
      </c>
      <c r="H13" s="38">
        <v>219.375</v>
      </c>
      <c r="I13" s="73">
        <v>0</v>
      </c>
      <c r="J13" s="73">
        <v>0</v>
      </c>
      <c r="K13" s="73"/>
      <c r="L13" s="73"/>
      <c r="M13" s="73"/>
      <c r="N13" s="38" t="e">
        <v>#REF!</v>
      </c>
    </row>
    <row r="14" spans="1:15" x14ac:dyDescent="0.25">
      <c r="A14" t="s">
        <v>132</v>
      </c>
      <c r="B14" s="54" t="s">
        <v>72</v>
      </c>
      <c r="C14" s="79">
        <v>48</v>
      </c>
      <c r="D14" s="79">
        <v>12.999999999999989</v>
      </c>
      <c r="E14" s="79">
        <v>61</v>
      </c>
      <c r="F14" s="38">
        <v>435.24000000000007</v>
      </c>
      <c r="G14" s="73">
        <v>0</v>
      </c>
      <c r="H14" s="38">
        <v>435.24000000000007</v>
      </c>
      <c r="I14" s="73">
        <v>0</v>
      </c>
      <c r="J14" s="73">
        <v>0</v>
      </c>
      <c r="K14" s="73"/>
      <c r="L14" s="73"/>
      <c r="M14" s="73"/>
      <c r="N14" s="38" t="e">
        <v>#REF!</v>
      </c>
    </row>
    <row r="15" spans="1:15" x14ac:dyDescent="0.25">
      <c r="B15" s="54" t="s">
        <v>103</v>
      </c>
      <c r="C15" s="79">
        <v>48</v>
      </c>
      <c r="D15" s="79">
        <v>15.5</v>
      </c>
      <c r="E15" s="79">
        <v>63.5</v>
      </c>
      <c r="F15" s="38">
        <v>566.1</v>
      </c>
      <c r="G15" s="73">
        <v>0</v>
      </c>
      <c r="H15" s="38">
        <v>566.1</v>
      </c>
      <c r="I15" s="73">
        <v>0</v>
      </c>
      <c r="J15" s="73">
        <v>0</v>
      </c>
      <c r="K15" s="73"/>
      <c r="L15" s="73"/>
      <c r="M15" s="73"/>
      <c r="N15" s="38" t="e">
        <v>#REF!</v>
      </c>
    </row>
    <row r="16" spans="1:15" x14ac:dyDescent="0.25">
      <c r="B16" s="54" t="s">
        <v>105</v>
      </c>
      <c r="C16" s="79">
        <v>40</v>
      </c>
      <c r="D16" s="79">
        <v>10.999999999999989</v>
      </c>
      <c r="E16" s="79">
        <v>50.999999999999986</v>
      </c>
      <c r="F16" s="38">
        <v>398.9</v>
      </c>
      <c r="G16" s="73">
        <v>24.931249999999999</v>
      </c>
      <c r="H16" s="38">
        <v>423.83124999999995</v>
      </c>
      <c r="I16" s="73">
        <v>0</v>
      </c>
      <c r="J16" s="73">
        <v>0</v>
      </c>
      <c r="K16" s="73"/>
      <c r="L16" s="73"/>
      <c r="M16" s="73"/>
      <c r="N16" s="38" t="e">
        <v>#REF!</v>
      </c>
    </row>
    <row r="17" spans="1:14" x14ac:dyDescent="0.25">
      <c r="B17" s="54" t="s">
        <v>106</v>
      </c>
      <c r="C17" s="79">
        <v>29</v>
      </c>
      <c r="D17" s="79">
        <v>12.999999999999993</v>
      </c>
      <c r="E17" s="79">
        <v>41.999999999999993</v>
      </c>
      <c r="F17" s="38">
        <v>374.89750000000004</v>
      </c>
      <c r="G17" s="73">
        <v>0</v>
      </c>
      <c r="H17" s="38">
        <v>374.89750000000004</v>
      </c>
      <c r="I17" s="73">
        <v>0</v>
      </c>
      <c r="J17" s="73">
        <v>0</v>
      </c>
      <c r="K17" s="73"/>
      <c r="L17" s="73"/>
      <c r="M17" s="73"/>
      <c r="N17" s="38" t="e">
        <v>#REF!</v>
      </c>
    </row>
    <row r="18" spans="1:14" x14ac:dyDescent="0.25">
      <c r="B18" s="54" t="s">
        <v>35</v>
      </c>
      <c r="C18" s="79">
        <v>48</v>
      </c>
      <c r="D18" s="79">
        <v>12.999999999999989</v>
      </c>
      <c r="E18" s="79">
        <v>60.999999999999993</v>
      </c>
      <c r="F18" s="38">
        <v>522</v>
      </c>
      <c r="G18" s="73">
        <v>0</v>
      </c>
      <c r="H18" s="38">
        <v>522</v>
      </c>
      <c r="I18" s="73">
        <v>0</v>
      </c>
      <c r="J18" s="73">
        <v>0</v>
      </c>
      <c r="K18" s="73"/>
      <c r="L18" s="73"/>
      <c r="M18" s="73"/>
      <c r="N18" s="38" t="e">
        <v>#REF!</v>
      </c>
    </row>
    <row r="19" spans="1:14" x14ac:dyDescent="0.25">
      <c r="A19" t="s">
        <v>75</v>
      </c>
      <c r="B19" s="54" t="s">
        <v>18</v>
      </c>
      <c r="C19" s="79">
        <v>50</v>
      </c>
      <c r="D19" s="79">
        <v>0.99999999999999778</v>
      </c>
      <c r="E19" s="79">
        <v>50.999999999999993</v>
      </c>
      <c r="F19" s="38">
        <v>333.33333333333331</v>
      </c>
      <c r="G19" s="73">
        <v>0</v>
      </c>
      <c r="H19" s="38">
        <v>333.33333333333331</v>
      </c>
      <c r="I19" s="73">
        <v>0</v>
      </c>
      <c r="J19" s="73">
        <v>0</v>
      </c>
      <c r="K19" s="73"/>
      <c r="L19" s="73"/>
      <c r="M19" s="73"/>
      <c r="N19" s="38" t="e">
        <v>#REF!</v>
      </c>
    </row>
    <row r="20" spans="1:14" x14ac:dyDescent="0.25">
      <c r="B20" s="54" t="s">
        <v>111</v>
      </c>
      <c r="C20" s="79">
        <v>8</v>
      </c>
      <c r="D20" s="79">
        <v>0</v>
      </c>
      <c r="E20" s="79">
        <v>8</v>
      </c>
      <c r="F20" s="38">
        <v>40</v>
      </c>
      <c r="G20" s="73">
        <v>0</v>
      </c>
      <c r="H20" s="38">
        <v>40</v>
      </c>
      <c r="I20" s="73">
        <v>0</v>
      </c>
      <c r="J20" s="73">
        <v>0</v>
      </c>
      <c r="K20" s="73"/>
      <c r="L20" s="73"/>
      <c r="M20" s="73"/>
      <c r="N20" s="38" t="e">
        <v>#REF!</v>
      </c>
    </row>
    <row r="21" spans="1:14" x14ac:dyDescent="0.25">
      <c r="B21" s="54" t="s">
        <v>47</v>
      </c>
      <c r="C21" s="79">
        <v>54</v>
      </c>
      <c r="D21" s="79">
        <v>9.999999999999984</v>
      </c>
      <c r="E21" s="79">
        <v>63.999999999999986</v>
      </c>
      <c r="F21" s="38">
        <v>345.71999999999997</v>
      </c>
      <c r="G21" s="73">
        <v>0</v>
      </c>
      <c r="H21" s="38">
        <v>345.71999999999997</v>
      </c>
      <c r="I21" s="73">
        <v>0</v>
      </c>
      <c r="J21" s="73">
        <v>0</v>
      </c>
      <c r="K21" s="73"/>
      <c r="L21" s="73"/>
      <c r="M21" s="73"/>
      <c r="N21" s="38" t="e">
        <v>#REF!</v>
      </c>
    </row>
    <row r="22" spans="1:14" x14ac:dyDescent="0.25">
      <c r="B22" s="54" t="s">
        <v>79</v>
      </c>
      <c r="C22" s="79">
        <v>54</v>
      </c>
      <c r="D22" s="79">
        <v>3.9999999999999911</v>
      </c>
      <c r="E22" s="79">
        <v>57.999999999999993</v>
      </c>
      <c r="F22" s="38">
        <v>360</v>
      </c>
      <c r="G22" s="73">
        <v>0</v>
      </c>
      <c r="H22" s="38">
        <v>360</v>
      </c>
      <c r="I22" s="73">
        <v>0</v>
      </c>
      <c r="J22" s="73">
        <v>0</v>
      </c>
      <c r="K22" s="73"/>
      <c r="L22" s="73"/>
      <c r="M22" s="73"/>
      <c r="N22" s="38" t="e">
        <v>#REF!</v>
      </c>
    </row>
    <row r="23" spans="1:14" x14ac:dyDescent="0.25">
      <c r="A23" t="s">
        <v>122</v>
      </c>
      <c r="B23" s="54" t="s">
        <v>51</v>
      </c>
      <c r="C23" s="79">
        <v>45</v>
      </c>
      <c r="D23" s="79">
        <v>2.9999999999999933</v>
      </c>
      <c r="E23" s="79">
        <v>47.999999999999993</v>
      </c>
      <c r="F23" s="38">
        <v>249.99999999999997</v>
      </c>
      <c r="G23" s="73">
        <v>0</v>
      </c>
      <c r="H23" s="38">
        <v>249.99999999999997</v>
      </c>
      <c r="I23" s="73">
        <v>0</v>
      </c>
      <c r="J23" s="73">
        <v>0</v>
      </c>
      <c r="K23" s="73"/>
      <c r="L23" s="73"/>
      <c r="M23" s="73"/>
      <c r="N23" s="38" t="e">
        <v>#REF!</v>
      </c>
    </row>
    <row r="24" spans="1:14" x14ac:dyDescent="0.25">
      <c r="B24" t="s">
        <v>349</v>
      </c>
      <c r="C24" s="81">
        <v>48</v>
      </c>
      <c r="D24" s="81">
        <v>11.999999999999989</v>
      </c>
      <c r="E24" s="81">
        <v>60</v>
      </c>
      <c r="F24" s="4">
        <v>261</v>
      </c>
      <c r="G24" s="2">
        <v>14.137499999999999</v>
      </c>
      <c r="H24" s="4">
        <v>275.13749999999999</v>
      </c>
      <c r="I24" s="2">
        <v>0</v>
      </c>
      <c r="J24" s="2">
        <v>0</v>
      </c>
      <c r="K24" s="2"/>
      <c r="L24" s="2"/>
      <c r="M24" s="2"/>
      <c r="N24" s="4" t="e">
        <v>#REF!</v>
      </c>
    </row>
    <row r="25" spans="1:14" x14ac:dyDescent="0.25">
      <c r="A25" t="s">
        <v>137</v>
      </c>
      <c r="B25" s="54" t="s">
        <v>17</v>
      </c>
      <c r="C25" s="79">
        <v>52</v>
      </c>
      <c r="D25" s="79">
        <v>3.9999999999999925</v>
      </c>
      <c r="E25" s="79">
        <v>55.999999999999993</v>
      </c>
      <c r="F25" s="38">
        <v>288.88888888888886</v>
      </c>
      <c r="G25" s="73">
        <v>0</v>
      </c>
      <c r="H25" s="38">
        <v>288.88888888888886</v>
      </c>
      <c r="I25" s="73">
        <v>0</v>
      </c>
      <c r="J25" s="73">
        <v>0</v>
      </c>
      <c r="K25" s="73"/>
      <c r="L25" s="73"/>
      <c r="M25" s="73"/>
      <c r="N25" s="38" t="e">
        <v>#REF!</v>
      </c>
    </row>
    <row r="26" spans="1:14" x14ac:dyDescent="0.25">
      <c r="B26" s="54" t="s">
        <v>22</v>
      </c>
      <c r="C26" s="79">
        <v>43</v>
      </c>
      <c r="D26" s="79">
        <v>2.9999999999999933</v>
      </c>
      <c r="E26" s="79">
        <v>45.999999999999993</v>
      </c>
      <c r="F26" s="38">
        <v>310.55555555555554</v>
      </c>
      <c r="G26" s="73">
        <v>0</v>
      </c>
      <c r="H26" s="38">
        <v>310.55555555555554</v>
      </c>
      <c r="I26" s="73">
        <v>0</v>
      </c>
      <c r="J26" s="73">
        <v>0</v>
      </c>
      <c r="K26" s="73"/>
      <c r="L26" s="73"/>
      <c r="M26" s="73"/>
      <c r="N26" s="38" t="e">
        <v>#REF!</v>
      </c>
    </row>
    <row r="27" spans="1:14" x14ac:dyDescent="0.25">
      <c r="B27" s="54" t="s">
        <v>26</v>
      </c>
      <c r="C27" s="79">
        <v>48</v>
      </c>
      <c r="D27" s="79">
        <v>11.999999999999989</v>
      </c>
      <c r="E27" s="79">
        <v>60</v>
      </c>
      <c r="F27" s="38">
        <v>330</v>
      </c>
      <c r="G27" s="73">
        <v>0</v>
      </c>
      <c r="H27" s="38">
        <v>330</v>
      </c>
      <c r="I27" s="73">
        <v>0</v>
      </c>
      <c r="J27" s="73">
        <v>0</v>
      </c>
      <c r="K27" s="73"/>
      <c r="L27" s="73"/>
      <c r="M27" s="73"/>
      <c r="N27" s="38" t="e">
        <v>#REF!</v>
      </c>
    </row>
    <row r="28" spans="1:14" x14ac:dyDescent="0.25">
      <c r="B28" s="54" t="s">
        <v>14</v>
      </c>
      <c r="C28" s="79">
        <v>52</v>
      </c>
      <c r="D28" s="79">
        <v>4.9999999999999902</v>
      </c>
      <c r="E28" s="79">
        <v>56.999999999999993</v>
      </c>
      <c r="F28" s="38">
        <v>332.91555555555556</v>
      </c>
      <c r="G28" s="73">
        <v>0</v>
      </c>
      <c r="H28" s="38">
        <v>332.91555555555556</v>
      </c>
      <c r="I28" s="73">
        <v>0</v>
      </c>
      <c r="J28" s="73">
        <v>0</v>
      </c>
      <c r="K28" s="73"/>
      <c r="L28" s="73"/>
      <c r="M28" s="73"/>
      <c r="N28" s="38" t="e">
        <v>#REF!</v>
      </c>
    </row>
    <row r="29" spans="1:14" x14ac:dyDescent="0.25">
      <c r="B29" s="54" t="s">
        <v>34</v>
      </c>
      <c r="C29" s="79">
        <v>52</v>
      </c>
      <c r="D29" s="79">
        <v>2.9999999999999933</v>
      </c>
      <c r="E29" s="79">
        <v>54.999999999999993</v>
      </c>
      <c r="F29" s="38">
        <v>326.73333333333335</v>
      </c>
      <c r="G29" s="73">
        <v>0</v>
      </c>
      <c r="H29" s="38">
        <v>326.73333333333335</v>
      </c>
      <c r="I29" s="73">
        <v>0</v>
      </c>
      <c r="J29" s="73">
        <v>0</v>
      </c>
      <c r="K29" s="73"/>
      <c r="L29" s="73"/>
      <c r="M29" s="73"/>
      <c r="N29" s="38" t="e">
        <v>#REF!</v>
      </c>
    </row>
    <row r="30" spans="1:14" x14ac:dyDescent="0.25">
      <c r="A30" t="s">
        <v>133</v>
      </c>
      <c r="B30" s="54" t="s">
        <v>77</v>
      </c>
      <c r="C30" s="79">
        <v>48</v>
      </c>
      <c r="D30" s="79">
        <v>12.999999999999989</v>
      </c>
      <c r="E30" s="79">
        <v>61</v>
      </c>
      <c r="F30" s="38">
        <v>401.52000000000004</v>
      </c>
      <c r="G30" s="73">
        <v>0</v>
      </c>
      <c r="H30" s="38">
        <v>401.52000000000004</v>
      </c>
      <c r="I30" s="73">
        <v>0</v>
      </c>
      <c r="J30" s="73">
        <v>0</v>
      </c>
      <c r="K30" s="73"/>
      <c r="L30" s="73"/>
      <c r="M30" s="73"/>
      <c r="N30" s="38" t="e">
        <v>#REF!</v>
      </c>
    </row>
    <row r="31" spans="1:14" x14ac:dyDescent="0.25">
      <c r="B31" s="54" t="s">
        <v>87</v>
      </c>
      <c r="C31" s="79">
        <v>52</v>
      </c>
      <c r="D31" s="79">
        <v>3.9999999999999911</v>
      </c>
      <c r="E31" s="79">
        <v>56</v>
      </c>
      <c r="F31" s="38">
        <v>390.92444444444436</v>
      </c>
      <c r="G31" s="73">
        <v>0</v>
      </c>
      <c r="H31" s="38">
        <v>390.92444444444436</v>
      </c>
      <c r="I31" s="73">
        <v>0</v>
      </c>
      <c r="J31" s="73">
        <v>0</v>
      </c>
      <c r="K31" s="73"/>
      <c r="L31" s="73"/>
      <c r="M31" s="73"/>
      <c r="N31" s="38" t="e">
        <v>#REF!</v>
      </c>
    </row>
    <row r="32" spans="1:14" x14ac:dyDescent="0.25">
      <c r="B32" s="54" t="s">
        <v>95</v>
      </c>
      <c r="C32" s="79">
        <v>49</v>
      </c>
      <c r="D32" s="79">
        <v>24.499999999999993</v>
      </c>
      <c r="E32" s="79">
        <v>73.499999999999986</v>
      </c>
      <c r="F32" s="38">
        <v>360</v>
      </c>
      <c r="G32" s="73">
        <v>0</v>
      </c>
      <c r="H32" s="38">
        <v>360</v>
      </c>
      <c r="I32" s="73">
        <v>0</v>
      </c>
      <c r="J32" s="73">
        <v>0</v>
      </c>
      <c r="K32" s="73"/>
      <c r="L32" s="73"/>
      <c r="M32" s="73"/>
      <c r="N32" s="38" t="e">
        <v>#REF!</v>
      </c>
    </row>
    <row r="33" spans="1:981" x14ac:dyDescent="0.25">
      <c r="B33" s="54" t="s">
        <v>36</v>
      </c>
      <c r="C33" s="79">
        <v>50</v>
      </c>
      <c r="D33" s="79">
        <v>33.483333333333327</v>
      </c>
      <c r="E33" s="79">
        <v>83.483333333333334</v>
      </c>
      <c r="F33" s="38">
        <v>443.25000000000006</v>
      </c>
      <c r="G33" s="73">
        <v>0</v>
      </c>
      <c r="H33" s="38">
        <v>443.25000000000006</v>
      </c>
      <c r="I33" s="73">
        <v>0</v>
      </c>
      <c r="J33" s="73">
        <v>0</v>
      </c>
      <c r="K33" s="73"/>
      <c r="L33" s="73"/>
      <c r="M33" s="73"/>
      <c r="N33" s="38" t="e">
        <v>#REF!</v>
      </c>
    </row>
    <row r="34" spans="1:981" x14ac:dyDescent="0.25">
      <c r="A34" t="s">
        <v>141</v>
      </c>
      <c r="B34" s="54" t="s">
        <v>20</v>
      </c>
      <c r="C34" s="79">
        <v>46</v>
      </c>
      <c r="D34" s="79">
        <v>7.9999999999999929</v>
      </c>
      <c r="E34" s="79">
        <v>54</v>
      </c>
      <c r="F34" s="38">
        <v>300.14999999999998</v>
      </c>
      <c r="G34" s="73">
        <v>0</v>
      </c>
      <c r="H34" s="38">
        <v>300.14999999999998</v>
      </c>
      <c r="I34" s="73">
        <v>0</v>
      </c>
      <c r="J34" s="73">
        <v>0</v>
      </c>
      <c r="K34" s="73"/>
      <c r="L34" s="73"/>
      <c r="M34" s="73"/>
      <c r="N34" s="38" t="e">
        <v>#REF!</v>
      </c>
    </row>
    <row r="35" spans="1:981" x14ac:dyDescent="0.25">
      <c r="B35" s="54" t="s">
        <v>29</v>
      </c>
      <c r="C35" s="79">
        <v>52</v>
      </c>
      <c r="D35" s="79">
        <v>2.9999999999999933</v>
      </c>
      <c r="E35" s="79">
        <v>54.999999999999993</v>
      </c>
      <c r="F35" s="38">
        <v>326.73333333333335</v>
      </c>
      <c r="G35" s="73">
        <v>0</v>
      </c>
      <c r="H35" s="38">
        <v>326.73333333333335</v>
      </c>
      <c r="I35" s="73">
        <v>0</v>
      </c>
      <c r="J35" s="73">
        <v>0</v>
      </c>
      <c r="K35" s="73"/>
      <c r="L35" s="73"/>
      <c r="M35" s="73"/>
      <c r="N35" s="38" t="e">
        <v>#REF!</v>
      </c>
    </row>
    <row r="36" spans="1:981" x14ac:dyDescent="0.25">
      <c r="B36" s="54" t="s">
        <v>108</v>
      </c>
      <c r="C36" s="79">
        <v>43</v>
      </c>
      <c r="D36" s="79">
        <v>0.99999999999999778</v>
      </c>
      <c r="E36" s="79">
        <v>44</v>
      </c>
      <c r="F36" s="38">
        <v>382.22222222222223</v>
      </c>
      <c r="G36" s="73">
        <v>0</v>
      </c>
      <c r="H36" s="38">
        <v>382.22222222222223</v>
      </c>
      <c r="I36" s="73">
        <v>0</v>
      </c>
      <c r="J36" s="73">
        <v>0</v>
      </c>
      <c r="K36" s="73"/>
      <c r="L36" s="73"/>
      <c r="M36" s="73"/>
      <c r="N36" s="38" t="e">
        <v>#REF!</v>
      </c>
    </row>
    <row r="37" spans="1:981" x14ac:dyDescent="0.25">
      <c r="A37" t="s">
        <v>123</v>
      </c>
      <c r="B37" s="54" t="s">
        <v>74</v>
      </c>
      <c r="C37" s="79">
        <v>42.983333333333334</v>
      </c>
      <c r="D37" s="79">
        <v>23.999999999999996</v>
      </c>
      <c r="E37" s="79">
        <v>66.983333333333334</v>
      </c>
      <c r="F37" s="38">
        <v>396.09141666666665</v>
      </c>
      <c r="G37" s="73">
        <v>0</v>
      </c>
      <c r="H37" s="38">
        <v>396.09141666666665</v>
      </c>
      <c r="I37" s="73">
        <v>0</v>
      </c>
      <c r="J37" s="73">
        <v>0</v>
      </c>
      <c r="K37" s="73"/>
      <c r="L37" s="73"/>
      <c r="M37" s="73"/>
      <c r="N37" s="38" t="e">
        <v>#REF!</v>
      </c>
    </row>
    <row r="38" spans="1:981" s="154" customFormat="1" x14ac:dyDescent="0.25">
      <c r="B38" s="154" t="s">
        <v>104</v>
      </c>
      <c r="C38" s="155">
        <v>17</v>
      </c>
      <c r="D38" s="155">
        <v>3.9999999999999964</v>
      </c>
      <c r="E38" s="155">
        <v>20.999999999999996</v>
      </c>
      <c r="F38" s="118">
        <v>147.42000000000002</v>
      </c>
      <c r="G38" s="118">
        <v>46.938124999999999</v>
      </c>
      <c r="H38" s="118">
        <v>194.358125</v>
      </c>
      <c r="I38" s="117">
        <v>0</v>
      </c>
      <c r="J38" s="117">
        <v>0</v>
      </c>
      <c r="K38" s="117"/>
      <c r="L38" s="117"/>
      <c r="M38" s="117"/>
      <c r="N38" s="118" t="e">
        <v>#REF!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</row>
    <row r="39" spans="1:981" x14ac:dyDescent="0.25">
      <c r="A39" t="s">
        <v>125</v>
      </c>
      <c r="B39" s="54" t="s">
        <v>19</v>
      </c>
      <c r="C39" s="79">
        <v>52</v>
      </c>
      <c r="D39" s="79">
        <v>2.9999999999999933</v>
      </c>
      <c r="E39" s="79">
        <v>54.999999999999993</v>
      </c>
      <c r="F39" s="38">
        <v>275.77333333333326</v>
      </c>
      <c r="G39" s="73">
        <v>0</v>
      </c>
      <c r="H39" s="38">
        <v>275.77333333333326</v>
      </c>
      <c r="I39" s="73">
        <v>0</v>
      </c>
      <c r="J39" s="73">
        <v>0</v>
      </c>
      <c r="K39" s="73"/>
      <c r="L39" s="73"/>
      <c r="M39" s="73"/>
      <c r="N39" s="38" t="e">
        <v>#REF!</v>
      </c>
    </row>
    <row r="40" spans="1:981" x14ac:dyDescent="0.25">
      <c r="A40" t="s">
        <v>135</v>
      </c>
      <c r="B40" s="54" t="s">
        <v>12</v>
      </c>
      <c r="C40" s="79">
        <v>51.999999999999993</v>
      </c>
      <c r="D40" s="79">
        <v>0.99999999999999778</v>
      </c>
      <c r="E40" s="79">
        <v>52.999999999999993</v>
      </c>
      <c r="F40" s="38">
        <v>393.75555555555547</v>
      </c>
      <c r="G40" s="73">
        <v>0</v>
      </c>
      <c r="H40" s="38">
        <v>393.75555555555547</v>
      </c>
      <c r="I40" s="73">
        <v>0</v>
      </c>
      <c r="J40" s="73">
        <v>0</v>
      </c>
      <c r="K40" s="73"/>
      <c r="L40" s="73"/>
      <c r="M40" s="73"/>
      <c r="N40" s="38" t="e">
        <v>#REF!</v>
      </c>
    </row>
    <row r="41" spans="1:981" x14ac:dyDescent="0.25">
      <c r="B41" s="54" t="s">
        <v>100</v>
      </c>
      <c r="C41" s="79">
        <v>50</v>
      </c>
      <c r="D41" s="79">
        <v>3.9999999999999925</v>
      </c>
      <c r="E41" s="79">
        <v>53.999999999999993</v>
      </c>
      <c r="F41" s="38">
        <v>483.88888888888891</v>
      </c>
      <c r="G41" s="73">
        <v>0</v>
      </c>
      <c r="H41" s="38">
        <v>483.88888888888891</v>
      </c>
      <c r="I41" s="73">
        <v>0</v>
      </c>
      <c r="J41" s="73">
        <v>0</v>
      </c>
      <c r="K41" s="73"/>
      <c r="L41" s="73"/>
      <c r="M41" s="73"/>
      <c r="N41" s="38" t="e">
        <v>#REF!</v>
      </c>
    </row>
    <row r="42" spans="1:981" x14ac:dyDescent="0.25">
      <c r="A42" t="s">
        <v>291</v>
      </c>
      <c r="B42" s="54" t="s">
        <v>289</v>
      </c>
      <c r="C42" s="79">
        <v>48</v>
      </c>
      <c r="D42" s="79">
        <v>11.999999999999989</v>
      </c>
      <c r="E42" s="79">
        <v>59.999999999999993</v>
      </c>
      <c r="F42" s="38">
        <v>373.86</v>
      </c>
      <c r="G42" s="73">
        <v>0</v>
      </c>
      <c r="H42" s="38">
        <v>373.86</v>
      </c>
      <c r="I42" s="73">
        <v>0</v>
      </c>
      <c r="J42" s="73">
        <v>0</v>
      </c>
      <c r="K42" s="73"/>
      <c r="L42" s="73"/>
      <c r="M42" s="73"/>
      <c r="N42" s="38" t="e">
        <v>#REF!</v>
      </c>
    </row>
    <row r="43" spans="1:981" x14ac:dyDescent="0.25">
      <c r="A43" t="s">
        <v>85</v>
      </c>
      <c r="B43" s="54" t="s">
        <v>30</v>
      </c>
      <c r="C43" s="79">
        <v>51</v>
      </c>
      <c r="D43" s="79">
        <v>9.999999999999984</v>
      </c>
      <c r="E43" s="79">
        <v>60.999999999999986</v>
      </c>
      <c r="F43" s="38">
        <v>376.72</v>
      </c>
      <c r="G43" s="73">
        <v>0</v>
      </c>
      <c r="H43" s="38">
        <v>376.72</v>
      </c>
      <c r="I43" s="73">
        <v>0</v>
      </c>
      <c r="J43" s="73">
        <v>0</v>
      </c>
      <c r="K43" s="73"/>
      <c r="L43" s="73"/>
      <c r="M43" s="73"/>
      <c r="N43" s="38" t="e">
        <v>#REF!</v>
      </c>
    </row>
    <row r="44" spans="1:981" x14ac:dyDescent="0.25">
      <c r="B44" s="54" t="s">
        <v>23</v>
      </c>
      <c r="C44" s="79">
        <v>51</v>
      </c>
      <c r="D44" s="79">
        <v>7.9999999999999876</v>
      </c>
      <c r="E44" s="79">
        <v>59</v>
      </c>
      <c r="F44" s="38">
        <v>352.5</v>
      </c>
      <c r="G44" s="73">
        <v>0</v>
      </c>
      <c r="H44" s="38">
        <v>352.5</v>
      </c>
      <c r="I44" s="73">
        <v>0</v>
      </c>
      <c r="J44" s="73">
        <v>0</v>
      </c>
      <c r="K44" s="73"/>
      <c r="L44" s="73"/>
      <c r="M44" s="73"/>
      <c r="N44" s="38" t="e">
        <v>#REF!</v>
      </c>
    </row>
    <row r="45" spans="1:981" x14ac:dyDescent="0.25">
      <c r="B45" s="54" t="s">
        <v>299</v>
      </c>
      <c r="C45" s="79">
        <v>32</v>
      </c>
      <c r="D45" s="79">
        <v>7.9999999999999929</v>
      </c>
      <c r="E45" s="79">
        <v>39.999999999999993</v>
      </c>
      <c r="F45" s="38">
        <v>260</v>
      </c>
      <c r="G45" s="73">
        <v>0</v>
      </c>
      <c r="H45" s="38">
        <v>260</v>
      </c>
      <c r="I45" s="73">
        <v>0</v>
      </c>
      <c r="J45" s="73">
        <v>0</v>
      </c>
      <c r="K45" s="73"/>
      <c r="L45" s="73"/>
      <c r="M45" s="73"/>
      <c r="N45" s="38" t="e">
        <v>#REF!</v>
      </c>
    </row>
    <row r="46" spans="1:981" x14ac:dyDescent="0.25">
      <c r="A46" t="s">
        <v>144</v>
      </c>
      <c r="B46" s="54" t="s">
        <v>13</v>
      </c>
      <c r="C46" s="79">
        <v>45</v>
      </c>
      <c r="D46" s="79">
        <v>5.9999999999999893</v>
      </c>
      <c r="E46" s="79">
        <v>50.999999999999986</v>
      </c>
      <c r="F46" s="38">
        <v>351.9</v>
      </c>
      <c r="G46" s="73">
        <v>0</v>
      </c>
      <c r="H46" s="38">
        <v>351.9</v>
      </c>
      <c r="I46" s="73">
        <v>0</v>
      </c>
      <c r="J46" s="73">
        <v>0</v>
      </c>
      <c r="K46" s="73"/>
      <c r="L46" s="73"/>
      <c r="M46" s="73"/>
      <c r="N46" s="38" t="e">
        <v>#REF!</v>
      </c>
    </row>
    <row r="47" spans="1:981" x14ac:dyDescent="0.25">
      <c r="B47" s="54" t="s">
        <v>102</v>
      </c>
      <c r="C47" s="79">
        <v>42</v>
      </c>
      <c r="D47" s="79">
        <v>2.9999999999999933</v>
      </c>
      <c r="E47" s="79">
        <v>44.999999999999993</v>
      </c>
      <c r="F47" s="38">
        <v>324.05333333333328</v>
      </c>
      <c r="G47" s="73">
        <v>0</v>
      </c>
      <c r="H47" s="38">
        <v>324.05333333333328</v>
      </c>
      <c r="I47" s="73">
        <v>0</v>
      </c>
      <c r="J47" s="73">
        <v>0</v>
      </c>
      <c r="K47" s="73"/>
      <c r="L47" s="73"/>
      <c r="M47" s="73"/>
      <c r="N47" s="38" t="e">
        <v>#REF!</v>
      </c>
    </row>
    <row r="48" spans="1:981" x14ac:dyDescent="0.25">
      <c r="B48" s="54" t="s">
        <v>46</v>
      </c>
      <c r="C48" s="79">
        <v>48</v>
      </c>
      <c r="D48" s="79">
        <v>11.999999999999989</v>
      </c>
      <c r="E48" s="79">
        <v>59.999999999999993</v>
      </c>
      <c r="F48" s="38">
        <v>540</v>
      </c>
      <c r="G48" s="73">
        <v>0</v>
      </c>
      <c r="H48" s="38">
        <v>540</v>
      </c>
      <c r="I48" s="73">
        <v>0</v>
      </c>
      <c r="J48" s="73">
        <v>0</v>
      </c>
      <c r="K48" s="73"/>
      <c r="L48" s="73"/>
      <c r="M48" s="73"/>
      <c r="N48" s="38" t="e">
        <v>#REF!</v>
      </c>
    </row>
    <row r="49" spans="1:14" x14ac:dyDescent="0.25">
      <c r="A49" t="s">
        <v>98</v>
      </c>
      <c r="B49" s="54" t="s">
        <v>49</v>
      </c>
      <c r="C49" s="79">
        <v>0</v>
      </c>
      <c r="D49" s="79">
        <v>0</v>
      </c>
      <c r="E49" s="79">
        <v>0</v>
      </c>
      <c r="F49" s="38">
        <v>0</v>
      </c>
      <c r="G49" s="73">
        <v>0</v>
      </c>
      <c r="H49" s="38">
        <v>0</v>
      </c>
      <c r="I49" s="73">
        <v>0</v>
      </c>
      <c r="J49" s="73">
        <v>0</v>
      </c>
      <c r="K49" s="73"/>
      <c r="L49" s="73"/>
      <c r="M49" s="73"/>
      <c r="N49" s="38" t="e">
        <v>#REF!</v>
      </c>
    </row>
    <row r="50" spans="1:14" x14ac:dyDescent="0.25">
      <c r="A50" t="s">
        <v>119</v>
      </c>
      <c r="B50" t="s">
        <v>113</v>
      </c>
      <c r="C50" s="81">
        <v>38.5</v>
      </c>
      <c r="D50" s="81">
        <v>14.983333333333331</v>
      </c>
      <c r="E50" s="81">
        <v>53.483333333333334</v>
      </c>
      <c r="F50" s="4">
        <v>558.53874999999994</v>
      </c>
      <c r="G50" s="2">
        <v>0</v>
      </c>
      <c r="H50" s="4">
        <v>558.53874999999994</v>
      </c>
      <c r="I50" s="2">
        <v>0</v>
      </c>
      <c r="J50" s="10">
        <v>0</v>
      </c>
      <c r="K50" s="2"/>
      <c r="L50" s="2"/>
      <c r="M50" s="2"/>
      <c r="N50" s="95" t="e">
        <v>#REF!</v>
      </c>
    </row>
    <row r="51" spans="1:14" x14ac:dyDescent="0.25">
      <c r="B51" t="s">
        <v>16</v>
      </c>
      <c r="C51" s="81">
        <v>48</v>
      </c>
      <c r="D51" s="81">
        <v>12.999999999999989</v>
      </c>
      <c r="E51" s="81">
        <v>60.999999999999993</v>
      </c>
      <c r="F51" s="4">
        <v>530.82000000000005</v>
      </c>
      <c r="G51" s="2">
        <v>0</v>
      </c>
      <c r="H51" s="4">
        <v>530.82000000000005</v>
      </c>
      <c r="I51" s="2">
        <v>0</v>
      </c>
      <c r="J51" s="2">
        <v>0</v>
      </c>
      <c r="K51" s="2"/>
      <c r="L51" s="2"/>
      <c r="M51" s="73"/>
      <c r="N51" s="95" t="e">
        <v>#REF!</v>
      </c>
    </row>
    <row r="52" spans="1:14" x14ac:dyDescent="0.25">
      <c r="A52" t="s">
        <v>146</v>
      </c>
      <c r="B52" s="92" t="s">
        <v>31</v>
      </c>
      <c r="C52" s="143">
        <v>54</v>
      </c>
      <c r="D52" s="143">
        <v>8.9999999999999858</v>
      </c>
      <c r="E52" s="143">
        <v>62.999999999999986</v>
      </c>
      <c r="F52" s="95">
        <v>556.79999999999984</v>
      </c>
      <c r="G52" s="144">
        <v>0</v>
      </c>
      <c r="H52" s="95">
        <v>556.79999999999984</v>
      </c>
      <c r="I52" s="144">
        <v>0</v>
      </c>
      <c r="J52" s="144">
        <v>0</v>
      </c>
      <c r="K52" s="144"/>
      <c r="L52" s="144"/>
      <c r="M52" s="144"/>
      <c r="N52" s="95" t="e">
        <v>#REF!</v>
      </c>
    </row>
    <row r="53" spans="1:14" x14ac:dyDescent="0.25">
      <c r="A53" t="s">
        <v>130</v>
      </c>
      <c r="B53" t="s">
        <v>32</v>
      </c>
      <c r="C53" s="81">
        <v>48</v>
      </c>
      <c r="D53" s="81">
        <v>15.483333333333334</v>
      </c>
      <c r="E53" s="81">
        <v>63.483333333333334</v>
      </c>
      <c r="F53" s="4">
        <v>529.62</v>
      </c>
      <c r="G53" s="2">
        <v>0</v>
      </c>
      <c r="H53" s="4">
        <v>529.62</v>
      </c>
      <c r="I53" s="2">
        <v>0</v>
      </c>
      <c r="J53" s="2">
        <v>0</v>
      </c>
      <c r="K53" s="2"/>
      <c r="L53" s="2"/>
      <c r="M53" s="73"/>
      <c r="N53" s="4" t="e">
        <v>#REF!</v>
      </c>
    </row>
    <row r="54" spans="1:14" x14ac:dyDescent="0.25">
      <c r="A54" t="s">
        <v>409</v>
      </c>
      <c r="B54" t="s">
        <v>362</v>
      </c>
      <c r="C54" s="81">
        <v>18</v>
      </c>
      <c r="D54" s="81">
        <v>0.99999999999999778</v>
      </c>
      <c r="E54" s="81">
        <v>18.999999999999996</v>
      </c>
      <c r="F54" s="4">
        <v>180</v>
      </c>
      <c r="G54" s="2">
        <v>0</v>
      </c>
      <c r="H54" s="4">
        <v>180</v>
      </c>
      <c r="I54" s="2">
        <v>0</v>
      </c>
      <c r="J54" s="2">
        <v>0</v>
      </c>
      <c r="K54" s="2"/>
      <c r="L54" s="2"/>
      <c r="M54" s="2"/>
      <c r="N54" s="4" t="e">
        <v>#REF!</v>
      </c>
    </row>
    <row r="55" spans="1:14" x14ac:dyDescent="0.25">
      <c r="B55" t="s">
        <v>375</v>
      </c>
      <c r="C55" s="81">
        <v>46</v>
      </c>
      <c r="D55" s="81">
        <v>7.9999999999999929</v>
      </c>
      <c r="E55" s="81">
        <v>54</v>
      </c>
      <c r="F55" s="4">
        <v>402.5</v>
      </c>
      <c r="G55" s="2">
        <v>0</v>
      </c>
      <c r="H55" s="4">
        <v>402.5</v>
      </c>
      <c r="I55" s="2">
        <v>0</v>
      </c>
      <c r="J55" s="2">
        <v>0</v>
      </c>
      <c r="K55" s="2"/>
      <c r="L55" s="2"/>
      <c r="M55" s="2"/>
      <c r="N55" s="4" t="e">
        <v>#REF!</v>
      </c>
    </row>
    <row r="56" spans="1:14" x14ac:dyDescent="0.25">
      <c r="B56" t="s">
        <v>378</v>
      </c>
      <c r="C56" s="81">
        <v>57</v>
      </c>
      <c r="D56" s="81">
        <v>24.483333333333327</v>
      </c>
      <c r="E56" s="81">
        <v>81.483333333333334</v>
      </c>
      <c r="F56" s="4">
        <v>251.3133333333333</v>
      </c>
      <c r="G56" s="2">
        <v>23.244</v>
      </c>
      <c r="H56" s="4">
        <v>274.5573333333333</v>
      </c>
      <c r="I56" s="2">
        <v>0</v>
      </c>
      <c r="J56" s="2">
        <v>0</v>
      </c>
      <c r="K56" s="2"/>
      <c r="L56" s="2"/>
      <c r="M56" s="2"/>
      <c r="N56" s="4" t="e">
        <v>#REF!</v>
      </c>
    </row>
    <row r="57" spans="1:14" x14ac:dyDescent="0.25">
      <c r="B57" t="s">
        <v>390</v>
      </c>
      <c r="C57" s="81">
        <v>37</v>
      </c>
      <c r="D57" s="81">
        <v>7.9999999999999929</v>
      </c>
      <c r="E57" s="81">
        <v>44.999999999999993</v>
      </c>
      <c r="F57" s="4">
        <v>254.375</v>
      </c>
      <c r="G57" s="2">
        <v>0</v>
      </c>
      <c r="H57" s="4">
        <v>254.375</v>
      </c>
      <c r="I57" s="2">
        <v>0</v>
      </c>
      <c r="J57" s="2">
        <v>0</v>
      </c>
      <c r="K57" s="2"/>
      <c r="L57" s="2"/>
      <c r="M57" s="2"/>
      <c r="N57" s="4" t="e">
        <v>#REF!</v>
      </c>
    </row>
    <row r="58" spans="1:14" x14ac:dyDescent="0.25">
      <c r="B58" t="s">
        <v>383</v>
      </c>
      <c r="C58" s="81">
        <v>52</v>
      </c>
      <c r="D58" s="81">
        <v>2.9999999999999933</v>
      </c>
      <c r="E58" s="81">
        <v>55</v>
      </c>
      <c r="F58" s="4">
        <v>256.07111111111107</v>
      </c>
      <c r="G58" s="2">
        <v>0</v>
      </c>
      <c r="H58" s="4">
        <v>256.07111111111107</v>
      </c>
      <c r="I58" s="2">
        <v>0</v>
      </c>
      <c r="J58" s="2">
        <v>0</v>
      </c>
      <c r="K58" s="2"/>
      <c r="L58" s="2"/>
      <c r="M58" s="2"/>
      <c r="N58" s="4" t="e">
        <v>#REF!</v>
      </c>
    </row>
    <row r="59" spans="1:14" x14ac:dyDescent="0.25">
      <c r="B59" t="s">
        <v>386</v>
      </c>
      <c r="C59" s="81">
        <v>48</v>
      </c>
      <c r="D59" s="81">
        <v>12.999999999999989</v>
      </c>
      <c r="E59" s="81">
        <v>61</v>
      </c>
      <c r="F59" s="4">
        <v>390</v>
      </c>
      <c r="G59" s="2">
        <v>0</v>
      </c>
      <c r="H59" s="4">
        <v>390</v>
      </c>
      <c r="I59" s="2">
        <v>0</v>
      </c>
      <c r="J59" s="2">
        <v>0</v>
      </c>
      <c r="K59" s="2"/>
      <c r="L59" s="2"/>
      <c r="M59" s="2"/>
      <c r="N59" s="4" t="e">
        <v>#REF!</v>
      </c>
    </row>
    <row r="60" spans="1:14" x14ac:dyDescent="0.25">
      <c r="B60" t="s">
        <v>384</v>
      </c>
      <c r="C60" s="81">
        <v>41</v>
      </c>
      <c r="D60" s="81">
        <v>1.9999999999999956</v>
      </c>
      <c r="E60" s="81">
        <v>43</v>
      </c>
      <c r="F60" s="4">
        <v>163.13444444444445</v>
      </c>
      <c r="G60" s="2">
        <v>0</v>
      </c>
      <c r="H60" s="4">
        <v>163.13444444444445</v>
      </c>
      <c r="I60" s="2">
        <v>0</v>
      </c>
      <c r="J60" s="2">
        <v>0</v>
      </c>
      <c r="K60" s="2"/>
      <c r="L60" s="2"/>
      <c r="M60" s="2"/>
      <c r="N60" s="4" t="e">
        <v>#REF!</v>
      </c>
    </row>
    <row r="61" spans="1:14" x14ac:dyDescent="0.25">
      <c r="B61" t="s">
        <v>385</v>
      </c>
      <c r="C61" s="81">
        <v>46</v>
      </c>
      <c r="D61" s="81">
        <v>7.9999999999999929</v>
      </c>
      <c r="E61" s="81">
        <v>54</v>
      </c>
      <c r="F61" s="4">
        <v>345</v>
      </c>
      <c r="G61" s="2">
        <v>0</v>
      </c>
      <c r="H61" s="4">
        <v>345</v>
      </c>
      <c r="I61" s="2">
        <v>0</v>
      </c>
      <c r="J61" s="2">
        <v>0</v>
      </c>
      <c r="K61" s="2"/>
      <c r="L61" s="2"/>
      <c r="M61" s="2"/>
      <c r="N61" s="4" t="e">
        <v>#REF!</v>
      </c>
    </row>
    <row r="62" spans="1:14" x14ac:dyDescent="0.25">
      <c r="B62" t="s">
        <v>393</v>
      </c>
      <c r="C62" s="81">
        <v>46</v>
      </c>
      <c r="D62" s="81">
        <v>7.9999999999999929</v>
      </c>
      <c r="E62" s="81">
        <v>54</v>
      </c>
      <c r="F62" s="4">
        <v>0</v>
      </c>
      <c r="G62" s="2">
        <v>0</v>
      </c>
      <c r="H62" s="4">
        <v>0</v>
      </c>
      <c r="I62" s="2">
        <v>0</v>
      </c>
      <c r="J62" s="2">
        <v>0</v>
      </c>
      <c r="K62" s="2"/>
      <c r="L62" s="2"/>
      <c r="M62" s="2"/>
      <c r="N62" s="4" t="e">
        <v>#REF!</v>
      </c>
    </row>
    <row r="63" spans="1:14" x14ac:dyDescent="0.25">
      <c r="B63" t="s">
        <v>395</v>
      </c>
      <c r="C63" s="81">
        <v>54</v>
      </c>
      <c r="D63" s="81">
        <v>6.9999999999999893</v>
      </c>
      <c r="E63" s="81">
        <v>60.999999999999986</v>
      </c>
      <c r="F63" s="4">
        <v>0</v>
      </c>
      <c r="G63" s="2">
        <v>0</v>
      </c>
      <c r="H63" s="4">
        <v>0</v>
      </c>
      <c r="I63" s="2">
        <v>0</v>
      </c>
      <c r="J63" s="2">
        <v>0</v>
      </c>
      <c r="K63" s="2"/>
      <c r="L63" s="2"/>
      <c r="M63" s="2"/>
      <c r="N63" s="4" t="e">
        <v>#REF!</v>
      </c>
    </row>
    <row r="64" spans="1:14" x14ac:dyDescent="0.25">
      <c r="B64" t="s">
        <v>400</v>
      </c>
      <c r="C64" s="81">
        <v>52</v>
      </c>
      <c r="D64" s="81">
        <v>2.9999999999999947</v>
      </c>
      <c r="E64" s="81">
        <v>54.999999999999993</v>
      </c>
      <c r="F64" s="4">
        <v>0</v>
      </c>
      <c r="G64" s="2">
        <v>0</v>
      </c>
      <c r="H64" s="4">
        <v>0</v>
      </c>
      <c r="I64" s="2">
        <v>0</v>
      </c>
      <c r="J64" s="2">
        <v>0</v>
      </c>
      <c r="K64" s="2"/>
      <c r="L64" s="2"/>
      <c r="M64" s="2"/>
      <c r="N64" s="4" t="e">
        <v>#REF!</v>
      </c>
    </row>
    <row r="65" spans="1:14" x14ac:dyDescent="0.25">
      <c r="B65" t="s">
        <v>391</v>
      </c>
      <c r="C65" s="81">
        <v>15</v>
      </c>
      <c r="D65" s="81">
        <v>1.9999999999999982</v>
      </c>
      <c r="E65" s="81">
        <v>17</v>
      </c>
      <c r="F65" s="4">
        <v>150</v>
      </c>
      <c r="G65" s="2">
        <v>0</v>
      </c>
      <c r="H65" s="4">
        <v>150</v>
      </c>
      <c r="I65" s="2">
        <v>0</v>
      </c>
      <c r="J65" s="2">
        <v>0</v>
      </c>
      <c r="K65" s="2"/>
      <c r="L65" s="2"/>
      <c r="M65" s="2"/>
      <c r="N65" s="4" t="e">
        <v>#REF!</v>
      </c>
    </row>
    <row r="66" spans="1:14" x14ac:dyDescent="0.25">
      <c r="B66" t="s">
        <v>388</v>
      </c>
      <c r="C66" s="81">
        <v>39.983333333333334</v>
      </c>
      <c r="D66" s="81">
        <v>10.999999999999989</v>
      </c>
      <c r="E66" s="81">
        <v>50.98333333333332</v>
      </c>
      <c r="F66" s="4">
        <v>299.875</v>
      </c>
      <c r="G66" s="2">
        <v>0</v>
      </c>
      <c r="H66" s="4">
        <v>299.875</v>
      </c>
      <c r="I66" s="2">
        <v>0</v>
      </c>
      <c r="J66" s="2">
        <v>0</v>
      </c>
      <c r="K66" s="2"/>
      <c r="L66" s="2"/>
      <c r="M66" s="2"/>
      <c r="N66" s="4" t="e">
        <v>#REF!</v>
      </c>
    </row>
    <row r="67" spans="1:14" x14ac:dyDescent="0.25">
      <c r="B67" t="s">
        <v>399</v>
      </c>
      <c r="C67" s="81">
        <v>0</v>
      </c>
      <c r="D67" s="81">
        <v>0</v>
      </c>
      <c r="E67" s="81">
        <v>0</v>
      </c>
      <c r="F67" s="4">
        <v>0</v>
      </c>
      <c r="G67" s="2">
        <v>0</v>
      </c>
      <c r="H67" s="4">
        <v>0</v>
      </c>
      <c r="I67" s="2">
        <v>0</v>
      </c>
      <c r="J67" s="2">
        <v>0</v>
      </c>
      <c r="K67" s="2"/>
      <c r="L67" s="2"/>
      <c r="M67" s="2"/>
      <c r="N67" s="4" t="e">
        <v>#REF!</v>
      </c>
    </row>
    <row r="68" spans="1:14" x14ac:dyDescent="0.25">
      <c r="B68" t="s">
        <v>401</v>
      </c>
      <c r="C68" s="81">
        <v>8.9999999999999982</v>
      </c>
      <c r="D68" s="81">
        <v>0</v>
      </c>
      <c r="E68" s="81">
        <v>8.9999999999999982</v>
      </c>
      <c r="F68" s="4">
        <v>0</v>
      </c>
      <c r="G68" s="2">
        <v>0</v>
      </c>
      <c r="H68" s="4">
        <v>0</v>
      </c>
      <c r="I68" s="2">
        <v>0</v>
      </c>
      <c r="J68" s="2">
        <v>0</v>
      </c>
      <c r="K68" s="2"/>
      <c r="L68" s="2"/>
      <c r="M68" s="2"/>
      <c r="N68" s="4" t="e">
        <v>#REF!</v>
      </c>
    </row>
    <row r="69" spans="1:14" x14ac:dyDescent="0.25">
      <c r="B69" t="s">
        <v>389</v>
      </c>
      <c r="C69" s="81">
        <v>8.9999999999999982</v>
      </c>
      <c r="D69" s="81">
        <v>0</v>
      </c>
      <c r="E69" s="81">
        <v>8.9999999999999982</v>
      </c>
      <c r="F69" s="4">
        <v>54.999999999999986</v>
      </c>
      <c r="G69" s="2">
        <v>0</v>
      </c>
      <c r="H69" s="4">
        <v>54.999999999999986</v>
      </c>
      <c r="I69" s="2">
        <v>0</v>
      </c>
      <c r="J69" s="2">
        <v>0</v>
      </c>
      <c r="K69" s="2"/>
      <c r="L69" s="2"/>
      <c r="M69" s="2"/>
      <c r="N69" s="4" t="e">
        <v>#REF!</v>
      </c>
    </row>
    <row r="70" spans="1:14" x14ac:dyDescent="0.25">
      <c r="A70" t="s">
        <v>142</v>
      </c>
      <c r="B70" t="s">
        <v>109</v>
      </c>
      <c r="C70" s="81">
        <v>42</v>
      </c>
      <c r="D70" s="81">
        <v>7.9999999999999929</v>
      </c>
      <c r="E70" s="81">
        <v>50</v>
      </c>
      <c r="F70" s="4">
        <v>367.5</v>
      </c>
      <c r="G70" s="2">
        <v>21.875</v>
      </c>
      <c r="H70" s="4">
        <v>389.375</v>
      </c>
      <c r="I70" s="2">
        <v>0</v>
      </c>
      <c r="J70" s="2">
        <v>0</v>
      </c>
      <c r="K70" s="2"/>
      <c r="L70" s="2"/>
      <c r="M70" s="2"/>
      <c r="N70" s="4" t="e">
        <v>#REF!</v>
      </c>
    </row>
    <row r="71" spans="1:14" x14ac:dyDescent="0.25">
      <c r="A71" s="56" t="s">
        <v>248</v>
      </c>
      <c r="B71" s="56"/>
      <c r="C71" s="80">
        <v>2477.4666666666667</v>
      </c>
      <c r="D71" s="80">
        <v>495.43333333333322</v>
      </c>
      <c r="E71" s="80">
        <v>2972.8999999999992</v>
      </c>
      <c r="F71" s="49">
        <v>18101.869333333332</v>
      </c>
      <c r="G71" s="58">
        <v>131.12587500000001</v>
      </c>
      <c r="H71" s="58">
        <v>18232.995208333334</v>
      </c>
      <c r="I71" s="58">
        <v>0</v>
      </c>
      <c r="J71" s="58">
        <v>0</v>
      </c>
      <c r="K71" s="58"/>
      <c r="L71" s="58"/>
      <c r="M71" s="58"/>
      <c r="N71" s="49" t="e">
        <v>#REF!</v>
      </c>
    </row>
    <row r="72" spans="1:14" x14ac:dyDescent="0.25">
      <c r="C72"/>
      <c r="D72"/>
      <c r="E72"/>
      <c r="F72"/>
      <c r="G72"/>
      <c r="H72"/>
      <c r="I72"/>
      <c r="J72"/>
      <c r="K72"/>
      <c r="L72"/>
      <c r="M72"/>
    </row>
    <row r="73" spans="1:14" x14ac:dyDescent="0.25">
      <c r="C73"/>
      <c r="D73"/>
      <c r="E73"/>
      <c r="F73"/>
      <c r="G73"/>
      <c r="H73"/>
      <c r="I73"/>
      <c r="J73"/>
      <c r="K73"/>
      <c r="L73"/>
      <c r="M73"/>
    </row>
  </sheetData>
  <mergeCells count="3">
    <mergeCell ref="A1:M1"/>
    <mergeCell ref="C5:E5"/>
    <mergeCell ref="F5:M5"/>
  </mergeCells>
  <pageMargins left="0.7" right="0.7" top="0.75" bottom="0.75" header="0.3" footer="0.3"/>
  <pageSetup paperSize="9" scale="60" orientation="landscape" horizontalDpi="300" verticalDpi="300" r:id="rId2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64"/>
  <sheetViews>
    <sheetView showGridLines="0" zoomScale="78" zoomScaleNormal="78" zoomScaleSheetLayoutView="78" workbookViewId="0">
      <selection activeCell="G23" sqref="G23"/>
    </sheetView>
  </sheetViews>
  <sheetFormatPr baseColWidth="10" defaultRowHeight="15" outlineLevelRow="1" x14ac:dyDescent="0.25"/>
  <cols>
    <col min="1" max="1" width="18.28515625" customWidth="1"/>
    <col min="2" max="2" width="34" bestFit="1" customWidth="1"/>
    <col min="3" max="3" width="10.28515625" style="5" bestFit="1" customWidth="1"/>
    <col min="4" max="5" width="8.140625" style="5" bestFit="1" customWidth="1"/>
    <col min="6" max="6" width="17.85546875" style="53" bestFit="1" customWidth="1"/>
    <col min="7" max="7" width="19.28515625" style="53" bestFit="1" customWidth="1"/>
    <col min="8" max="8" width="14.140625" style="53" bestFit="1" customWidth="1"/>
    <col min="9" max="9" width="14.42578125" style="53" bestFit="1" customWidth="1"/>
    <col min="10" max="10" width="14" style="53" bestFit="1" customWidth="1"/>
    <col min="11" max="11" width="11" style="53" bestFit="1" customWidth="1"/>
    <col min="12" max="12" width="7.7109375" style="53" bestFit="1" customWidth="1"/>
    <col min="13" max="13" width="19.140625" style="5" bestFit="1" customWidth="1"/>
    <col min="14" max="15" width="16.85546875" bestFit="1" customWidth="1"/>
  </cols>
  <sheetData>
    <row r="1" spans="1:15" x14ac:dyDescent="0.25">
      <c r="A1" s="151" t="s">
        <v>352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</row>
    <row r="2" spans="1:15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5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5" spans="1:15" x14ac:dyDescent="0.25">
      <c r="C5" s="152" t="s">
        <v>240</v>
      </c>
      <c r="D5" s="152"/>
      <c r="E5" s="152"/>
      <c r="F5" s="153" t="s">
        <v>263</v>
      </c>
      <c r="G5" s="153"/>
      <c r="H5" s="153"/>
      <c r="I5" s="153"/>
      <c r="J5" s="153"/>
      <c r="K5" s="153"/>
      <c r="L5" s="153"/>
      <c r="M5" s="153"/>
    </row>
    <row r="6" spans="1:15" x14ac:dyDescent="0.25">
      <c r="A6" s="78" t="s">
        <v>67</v>
      </c>
      <c r="B6" s="78" t="s">
        <v>1</v>
      </c>
      <c r="C6" s="82" t="s">
        <v>317</v>
      </c>
      <c r="D6" s="82" t="s">
        <v>259</v>
      </c>
      <c r="E6" s="82" t="s">
        <v>318</v>
      </c>
      <c r="F6" s="77" t="s">
        <v>315</v>
      </c>
      <c r="G6" s="77" t="s">
        <v>314</v>
      </c>
      <c r="H6" s="77" t="s">
        <v>300</v>
      </c>
      <c r="I6" s="77" t="s">
        <v>319</v>
      </c>
      <c r="J6" s="77" t="s">
        <v>316</v>
      </c>
      <c r="K6" s="77" t="s">
        <v>306</v>
      </c>
      <c r="L6" s="77" t="s">
        <v>304</v>
      </c>
      <c r="M6" s="77" t="s">
        <v>262</v>
      </c>
    </row>
    <row r="7" spans="1:15" s="54" customFormat="1" outlineLevel="1" x14ac:dyDescent="0.25">
      <c r="A7" s="37" t="s">
        <v>7</v>
      </c>
      <c r="B7" t="s">
        <v>312</v>
      </c>
      <c r="C7" s="57"/>
      <c r="D7" s="57"/>
      <c r="E7" s="57"/>
      <c r="F7" s="55"/>
      <c r="G7" s="55"/>
      <c r="H7" s="55"/>
      <c r="I7" s="55"/>
      <c r="J7" s="55"/>
      <c r="K7" s="55"/>
      <c r="L7" s="55"/>
      <c r="M7" s="55"/>
    </row>
    <row r="8" spans="1:15" outlineLevel="1" x14ac:dyDescent="0.25">
      <c r="A8" s="37" t="s">
        <v>0</v>
      </c>
      <c r="B8" t="s">
        <v>377</v>
      </c>
    </row>
    <row r="9" spans="1:15" outlineLevel="1" x14ac:dyDescent="0.25">
      <c r="A9" s="37" t="s">
        <v>40</v>
      </c>
      <c r="B9" t="s">
        <v>232</v>
      </c>
    </row>
    <row r="10" spans="1:15" outlineLevel="1" x14ac:dyDescent="0.25"/>
    <row r="11" spans="1:15" outlineLevel="1" x14ac:dyDescent="0.25">
      <c r="A11" s="37" t="s">
        <v>67</v>
      </c>
      <c r="B11" s="37" t="s">
        <v>1</v>
      </c>
      <c r="C11" s="5" t="s">
        <v>252</v>
      </c>
      <c r="D11" s="123" t="s">
        <v>253</v>
      </c>
      <c r="E11" s="123" t="s">
        <v>254</v>
      </c>
      <c r="F11" t="s">
        <v>326</v>
      </c>
      <c r="G11" t="s">
        <v>342</v>
      </c>
      <c r="H11" t="s">
        <v>343</v>
      </c>
      <c r="I11" s="54" t="s">
        <v>305</v>
      </c>
      <c r="J11" s="54" t="s">
        <v>306</v>
      </c>
      <c r="K11" s="54" t="s">
        <v>307</v>
      </c>
      <c r="L11" t="s">
        <v>325</v>
      </c>
      <c r="M11"/>
      <c r="N11" s="54"/>
    </row>
    <row r="12" spans="1:15" x14ac:dyDescent="0.25">
      <c r="A12" s="56" t="s">
        <v>248</v>
      </c>
      <c r="B12" s="56"/>
      <c r="C12" s="80"/>
      <c r="D12" s="80"/>
      <c r="E12" s="80"/>
      <c r="F12" s="49"/>
      <c r="G12" s="58"/>
      <c r="H12" s="58"/>
      <c r="I12" s="58"/>
      <c r="J12" s="58"/>
      <c r="K12" s="58"/>
      <c r="L12" s="87"/>
      <c r="M12"/>
      <c r="N12" s="54"/>
      <c r="O12" s="75"/>
    </row>
    <row r="13" spans="1:15" x14ac:dyDescent="0.25">
      <c r="C13"/>
      <c r="D13"/>
      <c r="E13"/>
      <c r="F13"/>
      <c r="G13"/>
      <c r="H13"/>
      <c r="I13"/>
      <c r="J13"/>
      <c r="K13"/>
      <c r="L13"/>
      <c r="M13"/>
      <c r="N13" s="54"/>
    </row>
    <row r="14" spans="1:15" x14ac:dyDescent="0.25">
      <c r="C14"/>
      <c r="D14"/>
      <c r="E14"/>
      <c r="F14"/>
      <c r="G14"/>
      <c r="H14"/>
      <c r="I14"/>
      <c r="J14"/>
      <c r="K14"/>
      <c r="L14"/>
      <c r="M14"/>
      <c r="N14" s="54"/>
      <c r="O14" s="92" t="s">
        <v>353</v>
      </c>
    </row>
    <row r="15" spans="1:15" x14ac:dyDescent="0.25">
      <c r="C15"/>
      <c r="D15"/>
      <c r="E15"/>
      <c r="F15"/>
      <c r="G15"/>
      <c r="H15"/>
      <c r="I15"/>
      <c r="J15"/>
      <c r="K15"/>
      <c r="L15"/>
      <c r="M15"/>
      <c r="N15" s="54"/>
      <c r="O15" s="54"/>
    </row>
    <row r="16" spans="1:15" x14ac:dyDescent="0.25">
      <c r="C16"/>
      <c r="D16"/>
      <c r="E16"/>
      <c r="F16"/>
      <c r="G16"/>
      <c r="H16"/>
      <c r="I16"/>
      <c r="J16"/>
      <c r="K16"/>
      <c r="L16"/>
      <c r="M16"/>
      <c r="N16" s="54"/>
      <c r="O16" s="54"/>
    </row>
    <row r="17" spans="3:15" x14ac:dyDescent="0.25">
      <c r="C17"/>
      <c r="D17"/>
      <c r="E17"/>
      <c r="F17"/>
      <c r="G17"/>
      <c r="H17"/>
      <c r="I17"/>
      <c r="J17"/>
      <c r="K17"/>
      <c r="L17"/>
      <c r="M17"/>
      <c r="N17" s="92"/>
      <c r="O17" s="54"/>
    </row>
    <row r="18" spans="3:15" x14ac:dyDescent="0.25">
      <c r="C18"/>
      <c r="D18"/>
      <c r="E18"/>
      <c r="F18"/>
      <c r="G18"/>
      <c r="H18"/>
      <c r="I18"/>
      <c r="J18"/>
      <c r="K18"/>
      <c r="L18"/>
      <c r="M18"/>
      <c r="N18" s="92"/>
      <c r="O18" s="54"/>
    </row>
    <row r="19" spans="3:15" x14ac:dyDescent="0.25">
      <c r="C19"/>
      <c r="D19"/>
      <c r="E19"/>
      <c r="F19"/>
      <c r="G19"/>
      <c r="H19"/>
      <c r="I19"/>
      <c r="J19"/>
      <c r="K19"/>
      <c r="L19"/>
      <c r="M19"/>
      <c r="N19" s="54"/>
      <c r="O19" s="75"/>
    </row>
    <row r="20" spans="3:15" x14ac:dyDescent="0.25">
      <c r="C20"/>
      <c r="D20"/>
      <c r="E20"/>
      <c r="F20"/>
      <c r="G20"/>
      <c r="H20"/>
      <c r="I20"/>
      <c r="J20"/>
      <c r="K20"/>
      <c r="L20"/>
      <c r="M20"/>
      <c r="N20" s="54"/>
      <c r="O20" s="54"/>
    </row>
    <row r="21" spans="3:15" x14ac:dyDescent="0.25">
      <c r="C21"/>
      <c r="D21"/>
      <c r="E21"/>
      <c r="F21"/>
      <c r="G21"/>
      <c r="H21"/>
      <c r="I21"/>
      <c r="J21"/>
      <c r="K21"/>
      <c r="L21"/>
      <c r="M21"/>
      <c r="N21" s="54"/>
      <c r="O21" s="54"/>
    </row>
    <row r="22" spans="3:15" x14ac:dyDescent="0.25">
      <c r="C22"/>
      <c r="D22"/>
      <c r="E22"/>
      <c r="F22"/>
      <c r="G22"/>
      <c r="H22"/>
      <c r="I22"/>
      <c r="J22"/>
      <c r="K22"/>
      <c r="L22"/>
      <c r="M22"/>
      <c r="N22" s="54"/>
      <c r="O22" s="54"/>
    </row>
    <row r="23" spans="3:15" x14ac:dyDescent="0.25">
      <c r="C23"/>
      <c r="D23"/>
      <c r="E23"/>
      <c r="F23"/>
      <c r="G23"/>
      <c r="H23"/>
      <c r="I23"/>
      <c r="J23"/>
      <c r="K23"/>
      <c r="L23"/>
      <c r="M23"/>
      <c r="N23" s="74"/>
      <c r="O23" s="54"/>
    </row>
    <row r="24" spans="3:15" x14ac:dyDescent="0.25">
      <c r="C24"/>
      <c r="D24"/>
      <c r="E24"/>
      <c r="F24"/>
      <c r="G24"/>
      <c r="H24"/>
      <c r="I24"/>
      <c r="J24"/>
      <c r="K24"/>
      <c r="L24"/>
      <c r="M24"/>
      <c r="N24" s="92"/>
      <c r="O24" s="54"/>
    </row>
    <row r="25" spans="3:15" x14ac:dyDescent="0.25">
      <c r="C25"/>
      <c r="D25"/>
      <c r="E25"/>
      <c r="F25"/>
      <c r="G25"/>
      <c r="H25"/>
      <c r="I25"/>
      <c r="J25"/>
      <c r="K25"/>
      <c r="L25"/>
      <c r="M25"/>
      <c r="N25" s="54"/>
      <c r="O25" s="54"/>
    </row>
    <row r="26" spans="3:15" x14ac:dyDescent="0.25">
      <c r="C26"/>
      <c r="D26"/>
      <c r="E26"/>
      <c r="F26"/>
      <c r="G26"/>
      <c r="H26"/>
      <c r="I26"/>
      <c r="J26"/>
      <c r="K26"/>
      <c r="L26"/>
      <c r="M26"/>
      <c r="N26" s="54"/>
      <c r="O26" s="54"/>
    </row>
    <row r="27" spans="3:15" x14ac:dyDescent="0.25">
      <c r="C27"/>
      <c r="D27"/>
      <c r="E27"/>
      <c r="F27"/>
      <c r="G27"/>
      <c r="H27"/>
      <c r="I27"/>
      <c r="J27"/>
      <c r="K27"/>
      <c r="L27"/>
      <c r="M27"/>
      <c r="N27" s="54"/>
      <c r="O27" s="54"/>
    </row>
    <row r="28" spans="3:15" x14ac:dyDescent="0.25">
      <c r="C28"/>
      <c r="D28"/>
      <c r="E28"/>
      <c r="F28"/>
      <c r="G28"/>
      <c r="H28"/>
      <c r="I28"/>
      <c r="J28"/>
      <c r="K28"/>
      <c r="L28"/>
      <c r="M28"/>
      <c r="N28" s="54"/>
      <c r="O28" s="76"/>
    </row>
    <row r="29" spans="3:15" x14ac:dyDescent="0.25">
      <c r="C29"/>
      <c r="D29"/>
      <c r="E29"/>
      <c r="F29"/>
      <c r="G29"/>
      <c r="H29"/>
      <c r="I29"/>
      <c r="J29"/>
      <c r="K29"/>
      <c r="L29"/>
      <c r="M29"/>
      <c r="N29" s="54"/>
      <c r="O29" s="54"/>
    </row>
    <row r="30" spans="3:15" x14ac:dyDescent="0.25">
      <c r="C30"/>
      <c r="D30"/>
      <c r="E30"/>
      <c r="F30"/>
      <c r="G30"/>
      <c r="H30"/>
      <c r="I30"/>
      <c r="J30"/>
      <c r="K30"/>
      <c r="L30"/>
      <c r="M30"/>
      <c r="N30" s="54"/>
      <c r="O30" s="54"/>
    </row>
    <row r="31" spans="3:15" x14ac:dyDescent="0.25">
      <c r="C31"/>
      <c r="D31"/>
      <c r="E31"/>
      <c r="F31"/>
      <c r="G31"/>
      <c r="H31"/>
      <c r="I31"/>
      <c r="J31"/>
      <c r="K31"/>
      <c r="L31"/>
      <c r="M31"/>
      <c r="N31" s="54"/>
      <c r="O31" s="54"/>
    </row>
    <row r="32" spans="3:15" x14ac:dyDescent="0.25">
      <c r="C32"/>
      <c r="D32"/>
      <c r="E32"/>
      <c r="F32"/>
      <c r="G32"/>
      <c r="H32"/>
      <c r="I32"/>
      <c r="J32"/>
      <c r="K32"/>
      <c r="L32"/>
      <c r="M32"/>
      <c r="N32" s="54"/>
      <c r="O32" s="54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</sheetData>
  <mergeCells count="3">
    <mergeCell ref="C5:E5"/>
    <mergeCell ref="F5:M5"/>
    <mergeCell ref="A1:M1"/>
  </mergeCells>
  <pageMargins left="0.7" right="0.7" top="0.75" bottom="0.75" header="0.3" footer="0.3"/>
  <pageSetup paperSize="9" scale="74" orientation="landscape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56"/>
  <sheetViews>
    <sheetView showGridLines="0" workbookViewId="0">
      <pane ySplit="7" topLeftCell="A23" activePane="bottomLeft" state="frozen"/>
      <selection pane="bottomLeft" activeCell="D15" sqref="D15"/>
    </sheetView>
  </sheetViews>
  <sheetFormatPr baseColWidth="10" defaultRowHeight="15" outlineLevelRow="1" x14ac:dyDescent="0.25"/>
  <cols>
    <col min="1" max="1" width="37.140625" customWidth="1"/>
    <col min="2" max="8" width="10.7109375" customWidth="1"/>
    <col min="9" max="9" width="12.5703125" customWidth="1"/>
    <col min="10" max="10" width="11.7109375" customWidth="1"/>
    <col min="11" max="36" width="10.5703125" customWidth="1"/>
    <col min="37" max="37" width="11.7109375" customWidth="1"/>
    <col min="38" max="42" width="10.7109375" customWidth="1"/>
    <col min="43" max="43" width="12.5703125" bestFit="1" customWidth="1"/>
  </cols>
  <sheetData>
    <row r="2" spans="1:9" outlineLevel="1" x14ac:dyDescent="0.25"/>
    <row r="3" spans="1:9" outlineLevel="1" x14ac:dyDescent="0.25">
      <c r="A3" s="37" t="s">
        <v>7</v>
      </c>
      <c r="B3" t="s">
        <v>312</v>
      </c>
    </row>
    <row r="4" spans="1:9" outlineLevel="1" x14ac:dyDescent="0.25">
      <c r="A4" s="37" t="s">
        <v>40</v>
      </c>
      <c r="B4" t="s">
        <v>231</v>
      </c>
    </row>
    <row r="6" spans="1:9" x14ac:dyDescent="0.25">
      <c r="A6" s="37" t="s">
        <v>356</v>
      </c>
      <c r="B6" s="37" t="s">
        <v>0</v>
      </c>
    </row>
    <row r="7" spans="1:9" x14ac:dyDescent="0.25">
      <c r="A7" s="37" t="s">
        <v>357</v>
      </c>
      <c r="B7" s="93">
        <v>44323</v>
      </c>
      <c r="C7" s="93">
        <v>44324</v>
      </c>
      <c r="D7" s="93">
        <v>44325</v>
      </c>
      <c r="E7" s="93">
        <v>44326</v>
      </c>
      <c r="F7" s="93">
        <v>44327</v>
      </c>
      <c r="G7" s="93">
        <v>44328</v>
      </c>
      <c r="H7" s="93">
        <v>44329</v>
      </c>
      <c r="I7" s="93" t="s">
        <v>248</v>
      </c>
    </row>
    <row r="8" spans="1:9" x14ac:dyDescent="0.25">
      <c r="A8" t="s">
        <v>17</v>
      </c>
      <c r="B8" s="81">
        <v>1</v>
      </c>
      <c r="C8" s="81">
        <v>1</v>
      </c>
      <c r="D8" s="81">
        <v>1</v>
      </c>
      <c r="E8" s="81">
        <v>1</v>
      </c>
      <c r="F8" s="81">
        <v>1</v>
      </c>
      <c r="G8" s="81">
        <v>1</v>
      </c>
      <c r="H8" s="81">
        <v>1</v>
      </c>
      <c r="I8" s="81">
        <v>7</v>
      </c>
    </row>
    <row r="9" spans="1:9" x14ac:dyDescent="0.25">
      <c r="A9" t="s">
        <v>18</v>
      </c>
      <c r="B9" s="81">
        <v>1</v>
      </c>
      <c r="C9" s="81">
        <v>1</v>
      </c>
      <c r="D9" s="81">
        <v>1</v>
      </c>
      <c r="E9" s="81">
        <v>1</v>
      </c>
      <c r="F9" s="81">
        <v>1</v>
      </c>
      <c r="G9" s="81">
        <v>1</v>
      </c>
      <c r="H9" s="81">
        <v>1</v>
      </c>
      <c r="I9" s="81">
        <v>7</v>
      </c>
    </row>
    <row r="10" spans="1:9" x14ac:dyDescent="0.25">
      <c r="A10" t="s">
        <v>72</v>
      </c>
      <c r="B10" s="81">
        <v>1</v>
      </c>
      <c r="C10" s="81">
        <v>1</v>
      </c>
      <c r="D10" s="81">
        <v>1</v>
      </c>
      <c r="E10" s="81">
        <v>1</v>
      </c>
      <c r="F10" s="81">
        <v>1</v>
      </c>
      <c r="G10" s="81">
        <v>1</v>
      </c>
      <c r="H10" s="81">
        <v>1</v>
      </c>
      <c r="I10" s="81">
        <v>7</v>
      </c>
    </row>
    <row r="11" spans="1:9" x14ac:dyDescent="0.25">
      <c r="A11" t="s">
        <v>19</v>
      </c>
      <c r="B11" s="81">
        <v>1</v>
      </c>
      <c r="C11" s="81">
        <v>1</v>
      </c>
      <c r="D11" s="81">
        <v>1</v>
      </c>
      <c r="E11" s="81">
        <v>1</v>
      </c>
      <c r="F11" s="81">
        <v>1</v>
      </c>
      <c r="G11" s="81">
        <v>1</v>
      </c>
      <c r="H11" s="81">
        <v>1</v>
      </c>
      <c r="I11" s="81">
        <v>7</v>
      </c>
    </row>
    <row r="12" spans="1:9" x14ac:dyDescent="0.25">
      <c r="A12" t="s">
        <v>20</v>
      </c>
      <c r="B12" s="81">
        <v>1</v>
      </c>
      <c r="C12" s="81">
        <v>1</v>
      </c>
      <c r="D12" s="81">
        <v>1</v>
      </c>
      <c r="E12" s="81">
        <v>1</v>
      </c>
      <c r="F12" s="81">
        <v>1</v>
      </c>
      <c r="G12" s="81">
        <v>1</v>
      </c>
      <c r="H12" s="81">
        <v>1</v>
      </c>
      <c r="I12" s="81">
        <v>7</v>
      </c>
    </row>
    <row r="13" spans="1:9" x14ac:dyDescent="0.25">
      <c r="A13" t="s">
        <v>74</v>
      </c>
      <c r="B13" s="81">
        <v>1</v>
      </c>
      <c r="C13" s="81">
        <v>1</v>
      </c>
      <c r="D13" s="81">
        <v>1</v>
      </c>
      <c r="E13" s="81">
        <v>1</v>
      </c>
      <c r="F13" s="81">
        <v>1</v>
      </c>
      <c r="G13" s="81">
        <v>1</v>
      </c>
      <c r="H13" s="81">
        <v>1</v>
      </c>
      <c r="I13" s="81">
        <v>7</v>
      </c>
    </row>
    <row r="14" spans="1:9" x14ac:dyDescent="0.25">
      <c r="A14" t="s">
        <v>47</v>
      </c>
      <c r="B14" s="81">
        <v>1</v>
      </c>
      <c r="C14" s="81">
        <v>1</v>
      </c>
      <c r="D14" s="81">
        <v>1</v>
      </c>
      <c r="E14" s="81">
        <v>1</v>
      </c>
      <c r="F14" s="81">
        <v>1</v>
      </c>
      <c r="G14" s="81">
        <v>1</v>
      </c>
      <c r="H14" s="81">
        <v>1</v>
      </c>
      <c r="I14" s="81">
        <v>7</v>
      </c>
    </row>
    <row r="15" spans="1:9" x14ac:dyDescent="0.25">
      <c r="A15" t="s">
        <v>22</v>
      </c>
      <c r="B15" s="81">
        <v>1</v>
      </c>
      <c r="C15" s="81">
        <v>1</v>
      </c>
      <c r="D15" s="81">
        <v>1</v>
      </c>
      <c r="E15" s="81">
        <v>1</v>
      </c>
      <c r="F15" s="81">
        <v>1</v>
      </c>
      <c r="G15" s="81">
        <v>1</v>
      </c>
      <c r="H15" s="81">
        <v>1</v>
      </c>
      <c r="I15" s="81">
        <v>7</v>
      </c>
    </row>
    <row r="16" spans="1:9" x14ac:dyDescent="0.25">
      <c r="A16" t="s">
        <v>77</v>
      </c>
      <c r="B16" s="81">
        <v>1</v>
      </c>
      <c r="C16" s="81">
        <v>1</v>
      </c>
      <c r="D16" s="81">
        <v>1</v>
      </c>
      <c r="E16" s="81">
        <v>1</v>
      </c>
      <c r="F16" s="81">
        <v>1</v>
      </c>
      <c r="G16" s="81">
        <v>1</v>
      </c>
      <c r="H16" s="81">
        <v>1</v>
      </c>
      <c r="I16" s="81">
        <v>7</v>
      </c>
    </row>
    <row r="17" spans="1:9" x14ac:dyDescent="0.25">
      <c r="A17" t="s">
        <v>12</v>
      </c>
      <c r="B17" s="81">
        <v>1</v>
      </c>
      <c r="C17" s="81">
        <v>1</v>
      </c>
      <c r="D17" s="81">
        <v>1</v>
      </c>
      <c r="E17" s="81">
        <v>1</v>
      </c>
      <c r="F17" s="81">
        <v>1</v>
      </c>
      <c r="G17" s="81">
        <v>1</v>
      </c>
      <c r="H17" s="81">
        <v>1</v>
      </c>
      <c r="I17" s="81">
        <v>7</v>
      </c>
    </row>
    <row r="18" spans="1:9" x14ac:dyDescent="0.25">
      <c r="A18" t="s">
        <v>289</v>
      </c>
      <c r="B18" s="81">
        <v>1</v>
      </c>
      <c r="C18" s="81">
        <v>1</v>
      </c>
      <c r="D18" s="81">
        <v>1</v>
      </c>
      <c r="E18" s="81">
        <v>1</v>
      </c>
      <c r="F18" s="81">
        <v>1</v>
      </c>
      <c r="G18" s="81">
        <v>1</v>
      </c>
      <c r="H18" s="81">
        <v>1</v>
      </c>
      <c r="I18" s="81">
        <v>7</v>
      </c>
    </row>
    <row r="19" spans="1:9" x14ac:dyDescent="0.25">
      <c r="A19" t="s">
        <v>87</v>
      </c>
      <c r="B19" s="81">
        <v>1</v>
      </c>
      <c r="C19" s="81">
        <v>1</v>
      </c>
      <c r="D19" s="81">
        <v>1</v>
      </c>
      <c r="E19" s="81">
        <v>1</v>
      </c>
      <c r="F19" s="81">
        <v>1</v>
      </c>
      <c r="G19" s="81">
        <v>1</v>
      </c>
      <c r="H19" s="81">
        <v>1</v>
      </c>
      <c r="I19" s="81">
        <v>7</v>
      </c>
    </row>
    <row r="20" spans="1:9" x14ac:dyDescent="0.25">
      <c r="A20" t="s">
        <v>13</v>
      </c>
      <c r="B20" s="81">
        <v>1</v>
      </c>
      <c r="C20" s="81">
        <v>1</v>
      </c>
      <c r="D20" s="81">
        <v>1</v>
      </c>
      <c r="E20" s="81">
        <v>1</v>
      </c>
      <c r="F20" s="81">
        <v>1</v>
      </c>
      <c r="G20" s="81">
        <v>1</v>
      </c>
      <c r="H20" s="81">
        <v>1</v>
      </c>
      <c r="I20" s="81">
        <v>7</v>
      </c>
    </row>
    <row r="21" spans="1:9" x14ac:dyDescent="0.25">
      <c r="A21" t="s">
        <v>92</v>
      </c>
      <c r="B21" s="81">
        <v>1</v>
      </c>
      <c r="C21" s="81">
        <v>1</v>
      </c>
      <c r="D21" s="81">
        <v>1</v>
      </c>
      <c r="E21" s="81">
        <v>1</v>
      </c>
      <c r="F21" s="81">
        <v>1</v>
      </c>
      <c r="G21" s="81">
        <v>1</v>
      </c>
      <c r="H21" s="81">
        <v>1</v>
      </c>
      <c r="I21" s="81">
        <v>7</v>
      </c>
    </row>
    <row r="22" spans="1:9" x14ac:dyDescent="0.25">
      <c r="A22" t="s">
        <v>26</v>
      </c>
      <c r="B22" s="81">
        <v>1</v>
      </c>
      <c r="C22" s="81">
        <v>1</v>
      </c>
      <c r="D22" s="81">
        <v>1</v>
      </c>
      <c r="E22" s="81">
        <v>1</v>
      </c>
      <c r="F22" s="81">
        <v>1</v>
      </c>
      <c r="G22" s="81">
        <v>1</v>
      </c>
      <c r="H22" s="81">
        <v>1</v>
      </c>
      <c r="I22" s="81">
        <v>7</v>
      </c>
    </row>
    <row r="23" spans="1:9" x14ac:dyDescent="0.25">
      <c r="A23" t="s">
        <v>95</v>
      </c>
      <c r="B23" s="81">
        <v>1</v>
      </c>
      <c r="C23" s="81">
        <v>1</v>
      </c>
      <c r="D23" s="81">
        <v>1</v>
      </c>
      <c r="E23" s="81">
        <v>1</v>
      </c>
      <c r="F23" s="81">
        <v>1</v>
      </c>
      <c r="G23" s="81">
        <v>1</v>
      </c>
      <c r="H23" s="81">
        <v>1</v>
      </c>
      <c r="I23" s="81">
        <v>7</v>
      </c>
    </row>
    <row r="24" spans="1:9" x14ac:dyDescent="0.25">
      <c r="A24" t="s">
        <v>299</v>
      </c>
      <c r="B24" s="81">
        <v>1</v>
      </c>
      <c r="C24" s="81">
        <v>1</v>
      </c>
      <c r="D24" s="81">
        <v>1</v>
      </c>
      <c r="E24" s="81">
        <v>1</v>
      </c>
      <c r="F24" s="81">
        <v>1</v>
      </c>
      <c r="G24" s="81">
        <v>1</v>
      </c>
      <c r="H24" s="81">
        <v>1</v>
      </c>
      <c r="I24" s="81">
        <v>7</v>
      </c>
    </row>
    <row r="25" spans="1:9" x14ac:dyDescent="0.25">
      <c r="A25" t="s">
        <v>29</v>
      </c>
      <c r="B25" s="81">
        <v>1</v>
      </c>
      <c r="C25" s="81">
        <v>1</v>
      </c>
      <c r="D25" s="81">
        <v>1</v>
      </c>
      <c r="E25" s="81">
        <v>1</v>
      </c>
      <c r="F25" s="81">
        <v>1</v>
      </c>
      <c r="G25" s="81">
        <v>1</v>
      </c>
      <c r="H25" s="81">
        <v>1</v>
      </c>
      <c r="I25" s="81">
        <v>7</v>
      </c>
    </row>
    <row r="26" spans="1:9" x14ac:dyDescent="0.25">
      <c r="A26" t="s">
        <v>30</v>
      </c>
      <c r="B26" s="81">
        <v>1</v>
      </c>
      <c r="C26" s="81">
        <v>1</v>
      </c>
      <c r="D26" s="81">
        <v>1</v>
      </c>
      <c r="E26" s="81">
        <v>1</v>
      </c>
      <c r="F26" s="81">
        <v>1</v>
      </c>
      <c r="G26" s="81">
        <v>1</v>
      </c>
      <c r="H26" s="81">
        <v>1</v>
      </c>
      <c r="I26" s="81">
        <v>7</v>
      </c>
    </row>
    <row r="27" spans="1:9" x14ac:dyDescent="0.25">
      <c r="A27" t="s">
        <v>49</v>
      </c>
      <c r="B27" s="81">
        <v>1</v>
      </c>
      <c r="C27" s="81">
        <v>1</v>
      </c>
      <c r="D27" s="81">
        <v>1</v>
      </c>
      <c r="E27" s="81">
        <v>1</v>
      </c>
      <c r="F27" s="81">
        <v>1</v>
      </c>
      <c r="G27" s="81">
        <v>1</v>
      </c>
      <c r="H27" s="81">
        <v>1</v>
      </c>
      <c r="I27" s="81">
        <v>7</v>
      </c>
    </row>
    <row r="28" spans="1:9" x14ac:dyDescent="0.25">
      <c r="A28" t="s">
        <v>14</v>
      </c>
      <c r="B28" s="81">
        <v>1</v>
      </c>
      <c r="C28" s="81">
        <v>1</v>
      </c>
      <c r="D28" s="81">
        <v>1</v>
      </c>
      <c r="E28" s="81">
        <v>1</v>
      </c>
      <c r="F28" s="81">
        <v>1</v>
      </c>
      <c r="G28" s="81">
        <v>1</v>
      </c>
      <c r="H28" s="81">
        <v>1</v>
      </c>
      <c r="I28" s="81">
        <v>7</v>
      </c>
    </row>
    <row r="29" spans="1:9" x14ac:dyDescent="0.25">
      <c r="A29" t="s">
        <v>100</v>
      </c>
      <c r="B29" s="81">
        <v>1</v>
      </c>
      <c r="C29" s="81">
        <v>1</v>
      </c>
      <c r="D29" s="81">
        <v>1</v>
      </c>
      <c r="E29" s="81">
        <v>1</v>
      </c>
      <c r="F29" s="81">
        <v>1</v>
      </c>
      <c r="G29" s="81">
        <v>1</v>
      </c>
      <c r="H29" s="81">
        <v>1</v>
      </c>
      <c r="I29" s="81">
        <v>7</v>
      </c>
    </row>
    <row r="30" spans="1:9" x14ac:dyDescent="0.25">
      <c r="A30" t="s">
        <v>113</v>
      </c>
      <c r="B30" s="81">
        <v>1</v>
      </c>
      <c r="C30" s="81">
        <v>1</v>
      </c>
      <c r="D30" s="81">
        <v>1</v>
      </c>
      <c r="E30" s="81">
        <v>1</v>
      </c>
      <c r="F30" s="81">
        <v>1</v>
      </c>
      <c r="G30" s="81">
        <v>1</v>
      </c>
      <c r="H30" s="81">
        <v>1</v>
      </c>
      <c r="I30" s="81">
        <v>7</v>
      </c>
    </row>
    <row r="31" spans="1:9" x14ac:dyDescent="0.25">
      <c r="A31" t="s">
        <v>102</v>
      </c>
      <c r="B31" s="81">
        <v>1</v>
      </c>
      <c r="C31" s="81">
        <v>1</v>
      </c>
      <c r="D31" s="81">
        <v>1</v>
      </c>
      <c r="E31" s="81">
        <v>1</v>
      </c>
      <c r="F31" s="81">
        <v>1</v>
      </c>
      <c r="G31" s="81">
        <v>1</v>
      </c>
      <c r="H31" s="81">
        <v>1</v>
      </c>
      <c r="I31" s="81">
        <v>7</v>
      </c>
    </row>
    <row r="32" spans="1:9" x14ac:dyDescent="0.25">
      <c r="A32" t="s">
        <v>31</v>
      </c>
      <c r="B32" s="81">
        <v>1</v>
      </c>
      <c r="C32" s="81">
        <v>1</v>
      </c>
      <c r="D32" s="81">
        <v>1</v>
      </c>
      <c r="E32" s="81">
        <v>1</v>
      </c>
      <c r="F32" s="81">
        <v>1</v>
      </c>
      <c r="G32" s="81">
        <v>1</v>
      </c>
      <c r="H32" s="81">
        <v>1</v>
      </c>
      <c r="I32" s="81">
        <v>7</v>
      </c>
    </row>
    <row r="33" spans="1:9" x14ac:dyDescent="0.25">
      <c r="A33" t="s">
        <v>32</v>
      </c>
      <c r="B33" s="81">
        <v>1</v>
      </c>
      <c r="C33" s="81">
        <v>1</v>
      </c>
      <c r="D33" s="81">
        <v>1</v>
      </c>
      <c r="E33" s="81">
        <v>1</v>
      </c>
      <c r="F33" s="81">
        <v>1</v>
      </c>
      <c r="G33" s="81">
        <v>1</v>
      </c>
      <c r="H33" s="81">
        <v>1</v>
      </c>
      <c r="I33" s="81">
        <v>7</v>
      </c>
    </row>
    <row r="34" spans="1:9" x14ac:dyDescent="0.25">
      <c r="A34" t="s">
        <v>103</v>
      </c>
      <c r="B34" s="81">
        <v>1</v>
      </c>
      <c r="C34" s="81">
        <v>1</v>
      </c>
      <c r="D34" s="81">
        <v>1</v>
      </c>
      <c r="E34" s="81">
        <v>1</v>
      </c>
      <c r="F34" s="81">
        <v>1</v>
      </c>
      <c r="G34" s="81">
        <v>1</v>
      </c>
      <c r="H34" s="81">
        <v>1</v>
      </c>
      <c r="I34" s="81">
        <v>7</v>
      </c>
    </row>
    <row r="35" spans="1:9" x14ac:dyDescent="0.25">
      <c r="A35" t="s">
        <v>34</v>
      </c>
      <c r="B35" s="81">
        <v>1</v>
      </c>
      <c r="C35" s="81">
        <v>1</v>
      </c>
      <c r="D35" s="81">
        <v>1</v>
      </c>
      <c r="E35" s="81">
        <v>1</v>
      </c>
      <c r="F35" s="81">
        <v>1</v>
      </c>
      <c r="G35" s="81">
        <v>1</v>
      </c>
      <c r="H35" s="81">
        <v>1</v>
      </c>
      <c r="I35" s="81">
        <v>7</v>
      </c>
    </row>
    <row r="36" spans="1:9" x14ac:dyDescent="0.25">
      <c r="A36" t="s">
        <v>104</v>
      </c>
      <c r="B36" s="81">
        <v>1</v>
      </c>
      <c r="C36" s="81">
        <v>1</v>
      </c>
      <c r="D36" s="81">
        <v>1</v>
      </c>
      <c r="E36" s="81">
        <v>1</v>
      </c>
      <c r="F36" s="81">
        <v>1</v>
      </c>
      <c r="G36" s="81">
        <v>1</v>
      </c>
      <c r="H36" s="81">
        <v>1</v>
      </c>
      <c r="I36" s="81">
        <v>7</v>
      </c>
    </row>
    <row r="37" spans="1:9" x14ac:dyDescent="0.25">
      <c r="A37" t="s">
        <v>105</v>
      </c>
      <c r="B37" s="81">
        <v>1</v>
      </c>
      <c r="C37" s="81">
        <v>1</v>
      </c>
      <c r="D37" s="81">
        <v>1</v>
      </c>
      <c r="E37" s="81">
        <v>1</v>
      </c>
      <c r="F37" s="81">
        <v>1</v>
      </c>
      <c r="G37" s="81">
        <v>1</v>
      </c>
      <c r="H37" s="81">
        <v>1</v>
      </c>
      <c r="I37" s="81">
        <v>7</v>
      </c>
    </row>
    <row r="38" spans="1:9" x14ac:dyDescent="0.25">
      <c r="A38" t="s">
        <v>106</v>
      </c>
      <c r="B38" s="81">
        <v>1</v>
      </c>
      <c r="C38" s="81">
        <v>1</v>
      </c>
      <c r="D38" s="81">
        <v>1</v>
      </c>
      <c r="E38" s="81">
        <v>1</v>
      </c>
      <c r="F38" s="81">
        <v>1</v>
      </c>
      <c r="G38" s="81">
        <v>1</v>
      </c>
      <c r="H38" s="81">
        <v>1</v>
      </c>
      <c r="I38" s="81">
        <v>7</v>
      </c>
    </row>
    <row r="39" spans="1:9" x14ac:dyDescent="0.25">
      <c r="A39" t="s">
        <v>35</v>
      </c>
      <c r="B39" s="81">
        <v>1</v>
      </c>
      <c r="C39" s="81">
        <v>1</v>
      </c>
      <c r="D39" s="81">
        <v>1</v>
      </c>
      <c r="E39" s="81">
        <v>1</v>
      </c>
      <c r="F39" s="81">
        <v>1</v>
      </c>
      <c r="G39" s="81">
        <v>1</v>
      </c>
      <c r="H39" s="81">
        <v>1</v>
      </c>
      <c r="I39" s="81">
        <v>7</v>
      </c>
    </row>
    <row r="40" spans="1:9" x14ac:dyDescent="0.25">
      <c r="A40" t="s">
        <v>36</v>
      </c>
      <c r="B40" s="81">
        <v>1</v>
      </c>
      <c r="C40" s="81">
        <v>1</v>
      </c>
      <c r="D40" s="81">
        <v>1</v>
      </c>
      <c r="E40" s="81">
        <v>1</v>
      </c>
      <c r="F40" s="81">
        <v>1</v>
      </c>
      <c r="G40" s="81">
        <v>1</v>
      </c>
      <c r="H40" s="81">
        <v>1</v>
      </c>
      <c r="I40" s="81">
        <v>7</v>
      </c>
    </row>
    <row r="41" spans="1:9" x14ac:dyDescent="0.25">
      <c r="A41" t="s">
        <v>16</v>
      </c>
      <c r="B41" s="81">
        <v>1</v>
      </c>
      <c r="C41" s="81">
        <v>1</v>
      </c>
      <c r="D41" s="81">
        <v>1</v>
      </c>
      <c r="E41" s="81">
        <v>1</v>
      </c>
      <c r="F41" s="81">
        <v>1</v>
      </c>
      <c r="G41" s="81">
        <v>1</v>
      </c>
      <c r="H41" s="81">
        <v>1</v>
      </c>
      <c r="I41" s="81">
        <v>7</v>
      </c>
    </row>
    <row r="42" spans="1:9" x14ac:dyDescent="0.25">
      <c r="A42" t="s">
        <v>108</v>
      </c>
      <c r="B42" s="81">
        <v>1</v>
      </c>
      <c r="C42" s="81">
        <v>1</v>
      </c>
      <c r="D42" s="81">
        <v>1</v>
      </c>
      <c r="E42" s="81">
        <v>1</v>
      </c>
      <c r="F42" s="81">
        <v>1</v>
      </c>
      <c r="G42" s="81">
        <v>1</v>
      </c>
      <c r="H42" s="81">
        <v>1</v>
      </c>
      <c r="I42" s="81">
        <v>7</v>
      </c>
    </row>
    <row r="43" spans="1:9" x14ac:dyDescent="0.25">
      <c r="A43" t="s">
        <v>349</v>
      </c>
      <c r="B43" s="81">
        <v>1</v>
      </c>
      <c r="C43" s="81">
        <v>1</v>
      </c>
      <c r="D43" s="81">
        <v>1</v>
      </c>
      <c r="E43" s="81">
        <v>1</v>
      </c>
      <c r="F43" s="81">
        <v>1</v>
      </c>
      <c r="G43" s="81">
        <v>1</v>
      </c>
      <c r="H43" s="81">
        <v>1</v>
      </c>
      <c r="I43" s="81">
        <v>7</v>
      </c>
    </row>
    <row r="44" spans="1:9" x14ac:dyDescent="0.25">
      <c r="A44" t="s">
        <v>375</v>
      </c>
      <c r="B44" s="81">
        <v>1</v>
      </c>
      <c r="C44" s="81">
        <v>1</v>
      </c>
      <c r="D44" s="81">
        <v>1</v>
      </c>
      <c r="E44" s="81">
        <v>1</v>
      </c>
      <c r="F44" s="81">
        <v>1</v>
      </c>
      <c r="G44" s="81">
        <v>1</v>
      </c>
      <c r="H44" s="81">
        <v>1</v>
      </c>
      <c r="I44" s="81">
        <v>7</v>
      </c>
    </row>
    <row r="45" spans="1:9" x14ac:dyDescent="0.25">
      <c r="A45" t="s">
        <v>378</v>
      </c>
      <c r="B45" s="81">
        <v>1</v>
      </c>
      <c r="C45" s="81">
        <v>1</v>
      </c>
      <c r="D45" s="81">
        <v>1</v>
      </c>
      <c r="E45" s="81">
        <v>1</v>
      </c>
      <c r="F45" s="81">
        <v>1</v>
      </c>
      <c r="G45" s="81">
        <v>1</v>
      </c>
      <c r="H45" s="81">
        <v>2</v>
      </c>
      <c r="I45" s="81">
        <v>8</v>
      </c>
    </row>
    <row r="46" spans="1:9" x14ac:dyDescent="0.25">
      <c r="A46" t="s">
        <v>390</v>
      </c>
      <c r="B46" s="81">
        <v>1</v>
      </c>
      <c r="C46" s="81">
        <v>1</v>
      </c>
      <c r="D46" s="81">
        <v>1</v>
      </c>
      <c r="E46" s="81">
        <v>1</v>
      </c>
      <c r="F46" s="81">
        <v>1</v>
      </c>
      <c r="G46" s="81">
        <v>1</v>
      </c>
      <c r="H46" s="81">
        <v>1</v>
      </c>
      <c r="I46" s="81">
        <v>7</v>
      </c>
    </row>
    <row r="47" spans="1:9" x14ac:dyDescent="0.25">
      <c r="A47" t="s">
        <v>383</v>
      </c>
      <c r="B47" s="81">
        <v>1</v>
      </c>
      <c r="C47" s="81">
        <v>1</v>
      </c>
      <c r="D47" s="81">
        <v>1</v>
      </c>
      <c r="E47" s="81">
        <v>1</v>
      </c>
      <c r="F47" s="81">
        <v>1</v>
      </c>
      <c r="G47" s="81">
        <v>1</v>
      </c>
      <c r="H47" s="81">
        <v>1</v>
      </c>
      <c r="I47" s="81">
        <v>7</v>
      </c>
    </row>
    <row r="48" spans="1:9" x14ac:dyDescent="0.25">
      <c r="A48" t="s">
        <v>386</v>
      </c>
      <c r="B48" s="81">
        <v>1</v>
      </c>
      <c r="C48" s="81">
        <v>1</v>
      </c>
      <c r="D48" s="81">
        <v>1</v>
      </c>
      <c r="E48" s="81">
        <v>1</v>
      </c>
      <c r="F48" s="81">
        <v>1</v>
      </c>
      <c r="G48" s="81">
        <v>1</v>
      </c>
      <c r="H48" s="81">
        <v>1</v>
      </c>
      <c r="I48" s="81">
        <v>7</v>
      </c>
    </row>
    <row r="49" spans="1:9" x14ac:dyDescent="0.25">
      <c r="A49" t="s">
        <v>384</v>
      </c>
      <c r="B49" s="81">
        <v>1</v>
      </c>
      <c r="C49" s="81">
        <v>1</v>
      </c>
      <c r="D49" s="81">
        <v>1</v>
      </c>
      <c r="E49" s="81">
        <v>1</v>
      </c>
      <c r="F49" s="81">
        <v>1</v>
      </c>
      <c r="G49" s="81">
        <v>1</v>
      </c>
      <c r="H49" s="81">
        <v>1</v>
      </c>
      <c r="I49" s="81">
        <v>7</v>
      </c>
    </row>
    <row r="50" spans="1:9" x14ac:dyDescent="0.25">
      <c r="A50" t="s">
        <v>385</v>
      </c>
      <c r="B50" s="81">
        <v>1</v>
      </c>
      <c r="C50" s="81">
        <v>1</v>
      </c>
      <c r="D50" s="81">
        <v>1</v>
      </c>
      <c r="E50" s="81">
        <v>1</v>
      </c>
      <c r="F50" s="81">
        <v>1</v>
      </c>
      <c r="G50" s="81">
        <v>1</v>
      </c>
      <c r="H50" s="81">
        <v>1</v>
      </c>
      <c r="I50" s="81">
        <v>7</v>
      </c>
    </row>
    <row r="51" spans="1:9" x14ac:dyDescent="0.25">
      <c r="A51" t="s">
        <v>400</v>
      </c>
      <c r="B51" s="81">
        <v>1</v>
      </c>
      <c r="C51" s="81">
        <v>1</v>
      </c>
      <c r="D51" s="81">
        <v>1</v>
      </c>
      <c r="E51" s="81">
        <v>1</v>
      </c>
      <c r="F51" s="81">
        <v>1</v>
      </c>
      <c r="G51" s="81">
        <v>1</v>
      </c>
      <c r="H51" s="81">
        <v>1</v>
      </c>
      <c r="I51" s="81">
        <v>7</v>
      </c>
    </row>
    <row r="52" spans="1:9" x14ac:dyDescent="0.25">
      <c r="A52" t="s">
        <v>391</v>
      </c>
      <c r="B52" s="81">
        <v>1</v>
      </c>
      <c r="C52" s="81">
        <v>1</v>
      </c>
      <c r="D52" s="81">
        <v>1</v>
      </c>
      <c r="E52" s="81">
        <v>1</v>
      </c>
      <c r="F52" s="81">
        <v>1</v>
      </c>
      <c r="G52" s="81">
        <v>1</v>
      </c>
      <c r="H52" s="81">
        <v>1</v>
      </c>
      <c r="I52" s="81">
        <v>7</v>
      </c>
    </row>
    <row r="53" spans="1:9" x14ac:dyDescent="0.25">
      <c r="A53" t="s">
        <v>388</v>
      </c>
      <c r="B53" s="81">
        <v>1</v>
      </c>
      <c r="C53" s="81">
        <v>1</v>
      </c>
      <c r="D53" s="81">
        <v>1</v>
      </c>
      <c r="E53" s="81">
        <v>1</v>
      </c>
      <c r="F53" s="81">
        <v>1</v>
      </c>
      <c r="G53" s="81">
        <v>1</v>
      </c>
      <c r="H53" s="81">
        <v>1</v>
      </c>
      <c r="I53" s="81">
        <v>7</v>
      </c>
    </row>
    <row r="54" spans="1:9" x14ac:dyDescent="0.25">
      <c r="A54" t="s">
        <v>109</v>
      </c>
      <c r="B54" s="81">
        <v>1</v>
      </c>
      <c r="C54" s="81">
        <v>1</v>
      </c>
      <c r="D54" s="81">
        <v>1</v>
      </c>
      <c r="E54" s="81">
        <v>1</v>
      </c>
      <c r="F54" s="81">
        <v>1</v>
      </c>
      <c r="G54" s="81">
        <v>1</v>
      </c>
      <c r="H54" s="81">
        <v>1</v>
      </c>
      <c r="I54" s="81">
        <v>7</v>
      </c>
    </row>
    <row r="55" spans="1:9" x14ac:dyDescent="0.25">
      <c r="A55" t="s">
        <v>389</v>
      </c>
      <c r="B55" s="81"/>
      <c r="C55" s="81"/>
      <c r="D55" s="81"/>
      <c r="E55" s="81"/>
      <c r="F55" s="81"/>
      <c r="G55" s="81"/>
      <c r="H55" s="81">
        <v>1</v>
      </c>
      <c r="I55" s="81">
        <v>1</v>
      </c>
    </row>
    <row r="56" spans="1:9" x14ac:dyDescent="0.25">
      <c r="A56" t="s">
        <v>248</v>
      </c>
      <c r="B56" s="81">
        <v>47</v>
      </c>
      <c r="C56" s="81">
        <v>47</v>
      </c>
      <c r="D56" s="81">
        <v>47</v>
      </c>
      <c r="E56" s="81">
        <v>47</v>
      </c>
      <c r="F56" s="81">
        <v>47</v>
      </c>
      <c r="G56" s="81">
        <v>47</v>
      </c>
      <c r="H56" s="81">
        <v>49</v>
      </c>
      <c r="I56" s="81">
        <v>331</v>
      </c>
    </row>
  </sheetData>
  <pageMargins left="0.7" right="0.7" top="0.75" bottom="0.75" header="0.3" footer="0.3"/>
  <pageSetup paperSize="9" orientation="landscape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DNI</vt:lpstr>
      <vt:lpstr>RUBRO</vt:lpstr>
      <vt:lpstr>BD</vt:lpstr>
      <vt:lpstr>5ta</vt:lpstr>
      <vt:lpstr>5ta (2)</vt:lpstr>
      <vt:lpstr>4ta</vt:lpstr>
      <vt:lpstr>ACUMULADO HORAS (2)</vt:lpstr>
      <vt:lpstr>'4ta'!Área_de_impresión</vt:lpstr>
      <vt:lpstr>'5ta'!Área_de_impresión</vt:lpstr>
      <vt:lpstr>'5ta (2)'!Área_de_impresión</vt:lpstr>
      <vt:lpstr>BD!Área_de_impresión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 Gonzales</dc:creator>
  <cp:lastModifiedBy>Lenovo</cp:lastModifiedBy>
  <cp:lastPrinted>2020-07-24T18:10:36Z</cp:lastPrinted>
  <dcterms:created xsi:type="dcterms:W3CDTF">2019-09-25T13:11:40Z</dcterms:created>
  <dcterms:modified xsi:type="dcterms:W3CDTF">2021-06-15T18:32:48Z</dcterms:modified>
</cp:coreProperties>
</file>